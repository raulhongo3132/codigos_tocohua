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\Documents\Tocohua\Examen.4.5\"/>
    </mc:Choice>
  </mc:AlternateContent>
  <xr:revisionPtr revIDLastSave="0" documentId="13_ncr:1_{0926C8CD-E12C-452D-859E-F20F614BD2F1}" xr6:coauthVersionLast="47" xr6:coauthVersionMax="47" xr10:uidLastSave="{00000000-0000-0000-0000-000000000000}"/>
  <bookViews>
    <workbookView xWindow="-110" yWindow="-110" windowWidth="19420" windowHeight="11020" tabRatio="660" firstSheet="3" activeTab="5" xr2:uid="{CB9263DE-3C46-467F-AEBC-C00144E52AFC}"/>
  </bookViews>
  <sheets>
    <sheet name="Diferenciación 1" sheetId="1" r:id="rId1"/>
    <sheet name="Diferenciación 2" sheetId="2" r:id="rId2"/>
    <sheet name="Diferenciación 3" sheetId="3" r:id="rId3"/>
    <sheet name="Gráfico1" sheetId="10" r:id="rId4"/>
    <sheet name="Rectangulos" sheetId="4" r:id="rId5"/>
    <sheet name="Trapecios" sheetId="5" r:id="rId6"/>
    <sheet name="Simpson 1.3" sheetId="6" r:id="rId7"/>
    <sheet name="Simpson 1.3 (2)" sheetId="7" r:id="rId8"/>
    <sheet name="Simpson 3.8 " sheetId="8" r:id="rId9"/>
    <sheet name="Simpson 3.8  (2)" sheetId="9" r:id="rId1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5" l="1"/>
  <c r="V3" i="4"/>
  <c r="U3" i="4"/>
  <c r="I6" i="9"/>
  <c r="F2" i="9"/>
  <c r="L9" i="9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L49" i="9" s="1"/>
  <c r="L50" i="9" s="1"/>
  <c r="L51" i="9" s="1"/>
  <c r="L52" i="9" s="1"/>
  <c r="L53" i="9" s="1"/>
  <c r="L54" i="9" s="1"/>
  <c r="L55" i="9" s="1"/>
  <c r="L56" i="9" s="1"/>
  <c r="L57" i="9" s="1"/>
  <c r="L58" i="9" s="1"/>
  <c r="L59" i="9" s="1"/>
  <c r="L60" i="9" s="1"/>
  <c r="L61" i="9" s="1"/>
  <c r="L62" i="9" s="1"/>
  <c r="L63" i="9" s="1"/>
  <c r="L64" i="9" s="1"/>
  <c r="L65" i="9" s="1"/>
  <c r="L66" i="9" s="1"/>
  <c r="L67" i="9" s="1"/>
  <c r="L68" i="9" s="1"/>
  <c r="L69" i="9" s="1"/>
  <c r="L70" i="9" s="1"/>
  <c r="L71" i="9" s="1"/>
  <c r="L72" i="9" s="1"/>
  <c r="L73" i="9" s="1"/>
  <c r="L74" i="9" s="1"/>
  <c r="L75" i="9" s="1"/>
  <c r="L76" i="9" s="1"/>
  <c r="L77" i="9" s="1"/>
  <c r="L78" i="9" s="1"/>
  <c r="L79" i="9" s="1"/>
  <c r="L80" i="9" s="1"/>
  <c r="L81" i="9" s="1"/>
  <c r="L82" i="9" s="1"/>
  <c r="L83" i="9" s="1"/>
  <c r="L84" i="9" s="1"/>
  <c r="L85" i="9" s="1"/>
  <c r="L86" i="9" s="1"/>
  <c r="L87" i="9" s="1"/>
  <c r="L88" i="9" s="1"/>
  <c r="L89" i="9" s="1"/>
  <c r="L90" i="9" s="1"/>
  <c r="L91" i="9" s="1"/>
  <c r="L92" i="9" s="1"/>
  <c r="L93" i="9" s="1"/>
  <c r="L94" i="9" s="1"/>
  <c r="L95" i="9" s="1"/>
  <c r="L96" i="9" s="1"/>
  <c r="L97" i="9" s="1"/>
  <c r="L98" i="9" s="1"/>
  <c r="L99" i="9" s="1"/>
  <c r="L100" i="9" s="1"/>
  <c r="L101" i="9" s="1"/>
  <c r="L102" i="9" s="1"/>
  <c r="L103" i="9" s="1"/>
  <c r="L104" i="9" s="1"/>
  <c r="L105" i="9" s="1"/>
  <c r="L106" i="9" s="1"/>
  <c r="L107" i="9" s="1"/>
  <c r="L108" i="9" s="1"/>
  <c r="L109" i="9" s="1"/>
  <c r="L110" i="9" s="1"/>
  <c r="L111" i="9" s="1"/>
  <c r="L112" i="9" s="1"/>
  <c r="L113" i="9" s="1"/>
  <c r="L114" i="9" s="1"/>
  <c r="L115" i="9" s="1"/>
  <c r="L116" i="9" s="1"/>
  <c r="L117" i="9" s="1"/>
  <c r="L118" i="9" s="1"/>
  <c r="L119" i="9" s="1"/>
  <c r="L120" i="9" s="1"/>
  <c r="L121" i="9" s="1"/>
  <c r="L122" i="9" s="1"/>
  <c r="L123" i="9" s="1"/>
  <c r="L124" i="9" s="1"/>
  <c r="L125" i="9" s="1"/>
  <c r="L126" i="9" s="1"/>
  <c r="L127" i="9" s="1"/>
  <c r="L128" i="9" s="1"/>
  <c r="L129" i="9" s="1"/>
  <c r="L130" i="9" s="1"/>
  <c r="L131" i="9" s="1"/>
  <c r="L132" i="9" s="1"/>
  <c r="L133" i="9" s="1"/>
  <c r="L134" i="9" s="1"/>
  <c r="L135" i="9" s="1"/>
  <c r="L136" i="9" s="1"/>
  <c r="L137" i="9" s="1"/>
  <c r="L138" i="9" s="1"/>
  <c r="L139" i="9" s="1"/>
  <c r="L140" i="9" s="1"/>
  <c r="L141" i="9" s="1"/>
  <c r="L142" i="9" s="1"/>
  <c r="L143" i="9" s="1"/>
  <c r="L144" i="9" s="1"/>
  <c r="L145" i="9" s="1"/>
  <c r="L146" i="9" s="1"/>
  <c r="L147" i="9" s="1"/>
  <c r="L148" i="9" s="1"/>
  <c r="L149" i="9" s="1"/>
  <c r="L150" i="9" s="1"/>
  <c r="L151" i="9" s="1"/>
  <c r="L152" i="9" s="1"/>
  <c r="L153" i="9" s="1"/>
  <c r="L154" i="9" s="1"/>
  <c r="L155" i="9" s="1"/>
  <c r="L156" i="9" s="1"/>
  <c r="L157" i="9" s="1"/>
  <c r="L158" i="9" s="1"/>
  <c r="L159" i="9" s="1"/>
  <c r="L160" i="9" s="1"/>
  <c r="L161" i="9" s="1"/>
  <c r="L162" i="9" s="1"/>
  <c r="L163" i="9" s="1"/>
  <c r="L164" i="9" s="1"/>
  <c r="L165" i="9" s="1"/>
  <c r="L166" i="9" s="1"/>
  <c r="L167" i="9" s="1"/>
  <c r="L168" i="9" s="1"/>
  <c r="L169" i="9" s="1"/>
  <c r="L170" i="9" s="1"/>
  <c r="L171" i="9" s="1"/>
  <c r="L172" i="9" s="1"/>
  <c r="L173" i="9" s="1"/>
  <c r="L174" i="9" s="1"/>
  <c r="L175" i="9" s="1"/>
  <c r="L176" i="9" s="1"/>
  <c r="L177" i="9" s="1"/>
  <c r="L178" i="9" s="1"/>
  <c r="L179" i="9" s="1"/>
  <c r="L180" i="9" s="1"/>
  <c r="L181" i="9" s="1"/>
  <c r="L182" i="9" s="1"/>
  <c r="L183" i="9" s="1"/>
  <c r="L184" i="9" s="1"/>
  <c r="L185" i="9" s="1"/>
  <c r="L186" i="9" s="1"/>
  <c r="L187" i="9" s="1"/>
  <c r="L188" i="9" s="1"/>
  <c r="L189" i="9" s="1"/>
  <c r="L190" i="9" s="1"/>
  <c r="L191" i="9" s="1"/>
  <c r="L192" i="9" s="1"/>
  <c r="L193" i="9" s="1"/>
  <c r="L194" i="9" s="1"/>
  <c r="L195" i="9" s="1"/>
  <c r="L196" i="9" s="1"/>
  <c r="L197" i="9" s="1"/>
  <c r="L198" i="9" s="1"/>
  <c r="L199" i="9" s="1"/>
  <c r="L200" i="9" s="1"/>
  <c r="L201" i="9" s="1"/>
  <c r="L202" i="9" s="1"/>
  <c r="L203" i="9" s="1"/>
  <c r="L204" i="9" s="1"/>
  <c r="L205" i="9" s="1"/>
  <c r="L206" i="9" s="1"/>
  <c r="L207" i="9" s="1"/>
  <c r="L208" i="9" s="1"/>
  <c r="L209" i="9" s="1"/>
  <c r="L210" i="9" s="1"/>
  <c r="L211" i="9" s="1"/>
  <c r="L212" i="9" s="1"/>
  <c r="L213" i="9" s="1"/>
  <c r="L214" i="9" s="1"/>
  <c r="L215" i="9" s="1"/>
  <c r="L216" i="9" s="1"/>
  <c r="L217" i="9" s="1"/>
  <c r="L218" i="9" s="1"/>
  <c r="L219" i="9" s="1"/>
  <c r="L220" i="9" s="1"/>
  <c r="L221" i="9" s="1"/>
  <c r="L222" i="9" s="1"/>
  <c r="L223" i="9" s="1"/>
  <c r="L224" i="9" s="1"/>
  <c r="L225" i="9" s="1"/>
  <c r="L226" i="9" s="1"/>
  <c r="L227" i="9" s="1"/>
  <c r="L228" i="9" s="1"/>
  <c r="L229" i="9" s="1"/>
  <c r="L230" i="9" s="1"/>
  <c r="L231" i="9" s="1"/>
  <c r="L232" i="9" s="1"/>
  <c r="L233" i="9" s="1"/>
  <c r="L234" i="9" s="1"/>
  <c r="L235" i="9" s="1"/>
  <c r="L236" i="9" s="1"/>
  <c r="L237" i="9" s="1"/>
  <c r="L238" i="9" s="1"/>
  <c r="L239" i="9" s="1"/>
  <c r="L240" i="9" s="1"/>
  <c r="L241" i="9" s="1"/>
  <c r="L242" i="9" s="1"/>
  <c r="L243" i="9" s="1"/>
  <c r="L244" i="9" s="1"/>
  <c r="L245" i="9" s="1"/>
  <c r="L246" i="9" s="1"/>
  <c r="L247" i="9" s="1"/>
  <c r="L248" i="9" s="1"/>
  <c r="L249" i="9" s="1"/>
  <c r="L250" i="9" s="1"/>
  <c r="L251" i="9" s="1"/>
  <c r="L252" i="9" s="1"/>
  <c r="L253" i="9" s="1"/>
  <c r="L254" i="9" s="1"/>
  <c r="L255" i="9" s="1"/>
  <c r="L256" i="9" s="1"/>
  <c r="L257" i="9" s="1"/>
  <c r="L258" i="9" s="1"/>
  <c r="L259" i="9" s="1"/>
  <c r="L260" i="9" s="1"/>
  <c r="L261" i="9" s="1"/>
  <c r="L262" i="9" s="1"/>
  <c r="L263" i="9" s="1"/>
  <c r="L264" i="9" s="1"/>
  <c r="L265" i="9" s="1"/>
  <c r="L266" i="9" s="1"/>
  <c r="L267" i="9" s="1"/>
  <c r="L268" i="9" s="1"/>
  <c r="L269" i="9" s="1"/>
  <c r="L270" i="9" s="1"/>
  <c r="L271" i="9" s="1"/>
  <c r="L272" i="9" s="1"/>
  <c r="L273" i="9" s="1"/>
  <c r="L274" i="9" s="1"/>
  <c r="L275" i="9" s="1"/>
  <c r="L276" i="9" s="1"/>
  <c r="L277" i="9" s="1"/>
  <c r="L278" i="9" s="1"/>
  <c r="L279" i="9" s="1"/>
  <c r="L280" i="9" s="1"/>
  <c r="L281" i="9" s="1"/>
  <c r="L282" i="9" s="1"/>
  <c r="L283" i="9" s="1"/>
  <c r="L284" i="9" s="1"/>
  <c r="L285" i="9" s="1"/>
  <c r="L286" i="9" s="1"/>
  <c r="L287" i="9" s="1"/>
  <c r="L288" i="9" s="1"/>
  <c r="L289" i="9" s="1"/>
  <c r="L290" i="9" s="1"/>
  <c r="L291" i="9" s="1"/>
  <c r="L292" i="9" s="1"/>
  <c r="L293" i="9" s="1"/>
  <c r="L294" i="9" s="1"/>
  <c r="L295" i="9" s="1"/>
  <c r="L296" i="9" s="1"/>
  <c r="L297" i="9" s="1"/>
  <c r="L298" i="9" s="1"/>
  <c r="L299" i="9" s="1"/>
  <c r="L300" i="9" s="1"/>
  <c r="L301" i="9" s="1"/>
  <c r="L302" i="9" s="1"/>
  <c r="L303" i="9" s="1"/>
  <c r="L304" i="9" s="1"/>
  <c r="L305" i="9" s="1"/>
  <c r="L306" i="9" s="1"/>
  <c r="L307" i="9" s="1"/>
  <c r="L308" i="9" s="1"/>
  <c r="L309" i="9" s="1"/>
  <c r="L310" i="9" s="1"/>
  <c r="L311" i="9" s="1"/>
  <c r="L312" i="9" s="1"/>
  <c r="L313" i="9" s="1"/>
  <c r="L314" i="9" s="1"/>
  <c r="L315" i="9" s="1"/>
  <c r="L316" i="9" s="1"/>
  <c r="L317" i="9" s="1"/>
  <c r="L318" i="9" s="1"/>
  <c r="L319" i="9" s="1"/>
  <c r="L320" i="9" s="1"/>
  <c r="L321" i="9" s="1"/>
  <c r="L322" i="9" s="1"/>
  <c r="L323" i="9" s="1"/>
  <c r="L324" i="9" s="1"/>
  <c r="L325" i="9" s="1"/>
  <c r="L326" i="9" s="1"/>
  <c r="L327" i="9" s="1"/>
  <c r="L328" i="9" s="1"/>
  <c r="L329" i="9" s="1"/>
  <c r="L330" i="9" s="1"/>
  <c r="L331" i="9" s="1"/>
  <c r="L332" i="9" s="1"/>
  <c r="L333" i="9" s="1"/>
  <c r="L334" i="9" s="1"/>
  <c r="L335" i="9" s="1"/>
  <c r="L336" i="9" s="1"/>
  <c r="L337" i="9" s="1"/>
  <c r="L338" i="9" s="1"/>
  <c r="L339" i="9" s="1"/>
  <c r="L340" i="9" s="1"/>
  <c r="L341" i="9" s="1"/>
  <c r="L342" i="9" s="1"/>
  <c r="L343" i="9" s="1"/>
  <c r="L344" i="9" s="1"/>
  <c r="L345" i="9" s="1"/>
  <c r="L346" i="9" s="1"/>
  <c r="L347" i="9" s="1"/>
  <c r="L348" i="9" s="1"/>
  <c r="L349" i="9" s="1"/>
  <c r="L350" i="9" s="1"/>
  <c r="L351" i="9" s="1"/>
  <c r="L352" i="9" s="1"/>
  <c r="L353" i="9" s="1"/>
  <c r="L354" i="9" s="1"/>
  <c r="L355" i="9" s="1"/>
  <c r="L356" i="9" s="1"/>
  <c r="L357" i="9" s="1"/>
  <c r="L358" i="9" s="1"/>
  <c r="L359" i="9" s="1"/>
  <c r="L360" i="9" s="1"/>
  <c r="L361" i="9" s="1"/>
  <c r="L362" i="9" s="1"/>
  <c r="L363" i="9" s="1"/>
  <c r="L364" i="9" s="1"/>
  <c r="L365" i="9" s="1"/>
  <c r="L366" i="9" s="1"/>
  <c r="L367" i="9" s="1"/>
  <c r="L368" i="9" s="1"/>
  <c r="L369" i="9" s="1"/>
  <c r="L370" i="9" s="1"/>
  <c r="L371" i="9" s="1"/>
  <c r="L372" i="9" s="1"/>
  <c r="L373" i="9" s="1"/>
  <c r="L374" i="9" s="1"/>
  <c r="L375" i="9" s="1"/>
  <c r="L376" i="9" s="1"/>
  <c r="L377" i="9" s="1"/>
  <c r="L378" i="9" s="1"/>
  <c r="L379" i="9" s="1"/>
  <c r="L380" i="9" s="1"/>
  <c r="L381" i="9" s="1"/>
  <c r="L382" i="9" s="1"/>
  <c r="L383" i="9" s="1"/>
  <c r="L384" i="9" s="1"/>
  <c r="L385" i="9" s="1"/>
  <c r="L386" i="9" s="1"/>
  <c r="L387" i="9" s="1"/>
  <c r="L388" i="9" s="1"/>
  <c r="L389" i="9" s="1"/>
  <c r="L390" i="9" s="1"/>
  <c r="L391" i="9" s="1"/>
  <c r="L392" i="9" s="1"/>
  <c r="L393" i="9" s="1"/>
  <c r="L394" i="9" s="1"/>
  <c r="L395" i="9" s="1"/>
  <c r="L396" i="9" s="1"/>
  <c r="L397" i="9" s="1"/>
  <c r="L398" i="9" s="1"/>
  <c r="L399" i="9" s="1"/>
  <c r="L400" i="9" s="1"/>
  <c r="L401" i="9" s="1"/>
  <c r="L402" i="9" s="1"/>
  <c r="L403" i="9" s="1"/>
  <c r="L404" i="9" s="1"/>
  <c r="L405" i="9" s="1"/>
  <c r="L406" i="9" s="1"/>
  <c r="L407" i="9" s="1"/>
  <c r="L408" i="9" s="1"/>
  <c r="L409" i="9" s="1"/>
  <c r="L410" i="9" s="1"/>
  <c r="L411" i="9" s="1"/>
  <c r="L412" i="9" s="1"/>
  <c r="L413" i="9" s="1"/>
  <c r="L414" i="9" s="1"/>
  <c r="L415" i="9" s="1"/>
  <c r="L416" i="9" s="1"/>
  <c r="L417" i="9" s="1"/>
  <c r="L418" i="9" s="1"/>
  <c r="L419" i="9" s="1"/>
  <c r="L420" i="9" s="1"/>
  <c r="L421" i="9" s="1"/>
  <c r="L422" i="9" s="1"/>
  <c r="L423" i="9" s="1"/>
  <c r="L424" i="9" s="1"/>
  <c r="L425" i="9" s="1"/>
  <c r="L426" i="9" s="1"/>
  <c r="L427" i="9" s="1"/>
  <c r="L428" i="9" s="1"/>
  <c r="L429" i="9" s="1"/>
  <c r="L430" i="9" s="1"/>
  <c r="L431" i="9" s="1"/>
  <c r="L432" i="9" s="1"/>
  <c r="L433" i="9" s="1"/>
  <c r="L434" i="9" s="1"/>
  <c r="L435" i="9" s="1"/>
  <c r="L436" i="9" s="1"/>
  <c r="L437" i="9" s="1"/>
  <c r="L438" i="9" s="1"/>
  <c r="L439" i="9" s="1"/>
  <c r="L440" i="9" s="1"/>
  <c r="L441" i="9" s="1"/>
  <c r="L442" i="9" s="1"/>
  <c r="L443" i="9" s="1"/>
  <c r="L444" i="9" s="1"/>
  <c r="L445" i="9" s="1"/>
  <c r="L446" i="9" s="1"/>
  <c r="L447" i="9" s="1"/>
  <c r="L448" i="9" s="1"/>
  <c r="L449" i="9" s="1"/>
  <c r="L450" i="9" s="1"/>
  <c r="L451" i="9" s="1"/>
  <c r="L452" i="9" s="1"/>
  <c r="L453" i="9" s="1"/>
  <c r="L454" i="9" s="1"/>
  <c r="L455" i="9" s="1"/>
  <c r="L456" i="9" s="1"/>
  <c r="L457" i="9" s="1"/>
  <c r="L458" i="9" s="1"/>
  <c r="L459" i="9" s="1"/>
  <c r="L460" i="9" s="1"/>
  <c r="L461" i="9" s="1"/>
  <c r="L462" i="9" s="1"/>
  <c r="L463" i="9" s="1"/>
  <c r="L464" i="9" s="1"/>
  <c r="L465" i="9" s="1"/>
  <c r="L466" i="9" s="1"/>
  <c r="L467" i="9" s="1"/>
  <c r="L468" i="9" s="1"/>
  <c r="L469" i="9" s="1"/>
  <c r="L470" i="9" s="1"/>
  <c r="L471" i="9" s="1"/>
  <c r="L472" i="9" s="1"/>
  <c r="L473" i="9" s="1"/>
  <c r="L474" i="9" s="1"/>
  <c r="L475" i="9" s="1"/>
  <c r="L476" i="9" s="1"/>
  <c r="L477" i="9" s="1"/>
  <c r="L478" i="9" s="1"/>
  <c r="L479" i="9" s="1"/>
  <c r="L480" i="9" s="1"/>
  <c r="L481" i="9" s="1"/>
  <c r="L482" i="9" s="1"/>
  <c r="L483" i="9" s="1"/>
  <c r="L484" i="9" s="1"/>
  <c r="L485" i="9" s="1"/>
  <c r="L486" i="9" s="1"/>
  <c r="L487" i="9" s="1"/>
  <c r="L488" i="9" s="1"/>
  <c r="L489" i="9" s="1"/>
  <c r="L490" i="9" s="1"/>
  <c r="L491" i="9" s="1"/>
  <c r="L492" i="9" s="1"/>
  <c r="L493" i="9" s="1"/>
  <c r="L494" i="9" s="1"/>
  <c r="L495" i="9" s="1"/>
  <c r="L496" i="9" s="1"/>
  <c r="L497" i="9" s="1"/>
  <c r="L498" i="9" s="1"/>
  <c r="L499" i="9" s="1"/>
  <c r="L500" i="9" s="1"/>
  <c r="L501" i="9" s="1"/>
  <c r="L8" i="9"/>
  <c r="L7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H62" i="9" s="1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H78" i="9" s="1"/>
  <c r="H79" i="9" s="1"/>
  <c r="H80" i="9" s="1"/>
  <c r="H81" i="9" s="1"/>
  <c r="H82" i="9" s="1"/>
  <c r="H83" i="9" s="1"/>
  <c r="H84" i="9" s="1"/>
  <c r="H85" i="9" s="1"/>
  <c r="H86" i="9" s="1"/>
  <c r="H87" i="9" s="1"/>
  <c r="H88" i="9" s="1"/>
  <c r="H89" i="9" s="1"/>
  <c r="H90" i="9" s="1"/>
  <c r="H91" i="9" s="1"/>
  <c r="H92" i="9" s="1"/>
  <c r="H93" i="9" s="1"/>
  <c r="H94" i="9" s="1"/>
  <c r="H95" i="9" s="1"/>
  <c r="H96" i="9" s="1"/>
  <c r="H97" i="9" s="1"/>
  <c r="H98" i="9" s="1"/>
  <c r="H99" i="9" s="1"/>
  <c r="H100" i="9" s="1"/>
  <c r="H101" i="9" s="1"/>
  <c r="H102" i="9" s="1"/>
  <c r="H103" i="9" s="1"/>
  <c r="H104" i="9" s="1"/>
  <c r="H105" i="9" s="1"/>
  <c r="H106" i="9" s="1"/>
  <c r="H107" i="9" s="1"/>
  <c r="H108" i="9" s="1"/>
  <c r="H109" i="9" s="1"/>
  <c r="H110" i="9" s="1"/>
  <c r="H111" i="9" s="1"/>
  <c r="H112" i="9" s="1"/>
  <c r="H113" i="9" s="1"/>
  <c r="H114" i="9" s="1"/>
  <c r="H115" i="9" s="1"/>
  <c r="H116" i="9" s="1"/>
  <c r="H117" i="9" s="1"/>
  <c r="H118" i="9" s="1"/>
  <c r="H119" i="9" s="1"/>
  <c r="H120" i="9" s="1"/>
  <c r="H121" i="9" s="1"/>
  <c r="H122" i="9" s="1"/>
  <c r="H123" i="9" s="1"/>
  <c r="H124" i="9" s="1"/>
  <c r="H125" i="9" s="1"/>
  <c r="H126" i="9" s="1"/>
  <c r="H127" i="9" s="1"/>
  <c r="H128" i="9" s="1"/>
  <c r="H129" i="9" s="1"/>
  <c r="H130" i="9" s="1"/>
  <c r="H131" i="9" s="1"/>
  <c r="H132" i="9" s="1"/>
  <c r="H133" i="9" s="1"/>
  <c r="H134" i="9" s="1"/>
  <c r="H135" i="9" s="1"/>
  <c r="H136" i="9" s="1"/>
  <c r="H137" i="9" s="1"/>
  <c r="H138" i="9" s="1"/>
  <c r="H139" i="9" s="1"/>
  <c r="H140" i="9" s="1"/>
  <c r="H141" i="9" s="1"/>
  <c r="H142" i="9" s="1"/>
  <c r="H143" i="9" s="1"/>
  <c r="H144" i="9" s="1"/>
  <c r="H145" i="9" s="1"/>
  <c r="H146" i="9" s="1"/>
  <c r="H147" i="9" s="1"/>
  <c r="H148" i="9" s="1"/>
  <c r="H149" i="9" s="1"/>
  <c r="H150" i="9" s="1"/>
  <c r="H151" i="9" s="1"/>
  <c r="H152" i="9" s="1"/>
  <c r="H153" i="9" s="1"/>
  <c r="H154" i="9" s="1"/>
  <c r="H155" i="9" s="1"/>
  <c r="H156" i="9" s="1"/>
  <c r="H157" i="9" s="1"/>
  <c r="H158" i="9" s="1"/>
  <c r="H159" i="9" s="1"/>
  <c r="H160" i="9" s="1"/>
  <c r="H161" i="9" s="1"/>
  <c r="H162" i="9" s="1"/>
  <c r="H163" i="9" s="1"/>
  <c r="H164" i="9" s="1"/>
  <c r="H165" i="9" s="1"/>
  <c r="H166" i="9" s="1"/>
  <c r="H167" i="9" s="1"/>
  <c r="H168" i="9" s="1"/>
  <c r="H169" i="9" s="1"/>
  <c r="H170" i="9" s="1"/>
  <c r="H171" i="9" s="1"/>
  <c r="H172" i="9" s="1"/>
  <c r="H173" i="9" s="1"/>
  <c r="H174" i="9" s="1"/>
  <c r="H175" i="9" s="1"/>
  <c r="H176" i="9" s="1"/>
  <c r="H177" i="9" s="1"/>
  <c r="H178" i="9" s="1"/>
  <c r="H179" i="9" s="1"/>
  <c r="H180" i="9" s="1"/>
  <c r="H181" i="9" s="1"/>
  <c r="H182" i="9" s="1"/>
  <c r="H183" i="9" s="1"/>
  <c r="H184" i="9" s="1"/>
  <c r="H185" i="9" s="1"/>
  <c r="H186" i="9" s="1"/>
  <c r="H187" i="9" s="1"/>
  <c r="H188" i="9" s="1"/>
  <c r="H189" i="9" s="1"/>
  <c r="H190" i="9" s="1"/>
  <c r="H191" i="9" s="1"/>
  <c r="H192" i="9" s="1"/>
  <c r="H193" i="9" s="1"/>
  <c r="H194" i="9" s="1"/>
  <c r="H195" i="9" s="1"/>
  <c r="H196" i="9" s="1"/>
  <c r="H197" i="9" s="1"/>
  <c r="H198" i="9" s="1"/>
  <c r="H199" i="9" s="1"/>
  <c r="H200" i="9" s="1"/>
  <c r="H201" i="9" s="1"/>
  <c r="H202" i="9" s="1"/>
  <c r="H203" i="9" s="1"/>
  <c r="H204" i="9" s="1"/>
  <c r="H205" i="9" s="1"/>
  <c r="H206" i="9" s="1"/>
  <c r="H207" i="9" s="1"/>
  <c r="H208" i="9" s="1"/>
  <c r="H209" i="9" s="1"/>
  <c r="H210" i="9" s="1"/>
  <c r="H211" i="9" s="1"/>
  <c r="H212" i="9" s="1"/>
  <c r="H213" i="9" s="1"/>
  <c r="H214" i="9" s="1"/>
  <c r="H215" i="9" s="1"/>
  <c r="H216" i="9" s="1"/>
  <c r="H217" i="9" s="1"/>
  <c r="H218" i="9" s="1"/>
  <c r="H219" i="9" s="1"/>
  <c r="H220" i="9" s="1"/>
  <c r="H221" i="9" s="1"/>
  <c r="H222" i="9" s="1"/>
  <c r="H223" i="9" s="1"/>
  <c r="H224" i="9" s="1"/>
  <c r="H225" i="9" s="1"/>
  <c r="H226" i="9" s="1"/>
  <c r="H227" i="9" s="1"/>
  <c r="H228" i="9" s="1"/>
  <c r="H229" i="9" s="1"/>
  <c r="H230" i="9" s="1"/>
  <c r="H231" i="9" s="1"/>
  <c r="H232" i="9" s="1"/>
  <c r="H233" i="9" s="1"/>
  <c r="H234" i="9" s="1"/>
  <c r="H235" i="9" s="1"/>
  <c r="H236" i="9" s="1"/>
  <c r="H237" i="9" s="1"/>
  <c r="H238" i="9" s="1"/>
  <c r="H239" i="9" s="1"/>
  <c r="H240" i="9" s="1"/>
  <c r="H241" i="9" s="1"/>
  <c r="H242" i="9" s="1"/>
  <c r="H243" i="9" s="1"/>
  <c r="H244" i="9" s="1"/>
  <c r="H245" i="9" s="1"/>
  <c r="H246" i="9" s="1"/>
  <c r="H247" i="9" s="1"/>
  <c r="H248" i="9" s="1"/>
  <c r="H249" i="9" s="1"/>
  <c r="H250" i="9" s="1"/>
  <c r="H251" i="9" s="1"/>
  <c r="H252" i="9" s="1"/>
  <c r="H253" i="9" s="1"/>
  <c r="H254" i="9" s="1"/>
  <c r="H255" i="9" s="1"/>
  <c r="H256" i="9" s="1"/>
  <c r="H257" i="9" s="1"/>
  <c r="H258" i="9" s="1"/>
  <c r="H259" i="9" s="1"/>
  <c r="H260" i="9" s="1"/>
  <c r="H261" i="9" s="1"/>
  <c r="H262" i="9" s="1"/>
  <c r="H263" i="9" s="1"/>
  <c r="H264" i="9" s="1"/>
  <c r="H265" i="9" s="1"/>
  <c r="H266" i="9" s="1"/>
  <c r="H267" i="9" s="1"/>
  <c r="H268" i="9" s="1"/>
  <c r="H269" i="9" s="1"/>
  <c r="H270" i="9" s="1"/>
  <c r="H271" i="9" s="1"/>
  <c r="H272" i="9" s="1"/>
  <c r="H273" i="9" s="1"/>
  <c r="H274" i="9" s="1"/>
  <c r="H275" i="9" s="1"/>
  <c r="H276" i="9" s="1"/>
  <c r="H277" i="9" s="1"/>
  <c r="H278" i="9" s="1"/>
  <c r="H279" i="9" s="1"/>
  <c r="H280" i="9" s="1"/>
  <c r="H281" i="9" s="1"/>
  <c r="H282" i="9" s="1"/>
  <c r="H283" i="9" s="1"/>
  <c r="H284" i="9" s="1"/>
  <c r="H285" i="9" s="1"/>
  <c r="H286" i="9" s="1"/>
  <c r="H287" i="9" s="1"/>
  <c r="H288" i="9" s="1"/>
  <c r="H289" i="9" s="1"/>
  <c r="H290" i="9" s="1"/>
  <c r="H291" i="9" s="1"/>
  <c r="H292" i="9" s="1"/>
  <c r="H293" i="9" s="1"/>
  <c r="H294" i="9" s="1"/>
  <c r="H295" i="9" s="1"/>
  <c r="H296" i="9" s="1"/>
  <c r="H297" i="9" s="1"/>
  <c r="H298" i="9" s="1"/>
  <c r="H299" i="9" s="1"/>
  <c r="H300" i="9" s="1"/>
  <c r="H301" i="9" s="1"/>
  <c r="H302" i="9" s="1"/>
  <c r="H303" i="9" s="1"/>
  <c r="H304" i="9" s="1"/>
  <c r="H305" i="9" s="1"/>
  <c r="H306" i="9" s="1"/>
  <c r="H307" i="9" s="1"/>
  <c r="H308" i="9" s="1"/>
  <c r="H309" i="9" s="1"/>
  <c r="H310" i="9" s="1"/>
  <c r="H311" i="9" s="1"/>
  <c r="H312" i="9" s="1"/>
  <c r="H313" i="9" s="1"/>
  <c r="H314" i="9" s="1"/>
  <c r="H315" i="9" s="1"/>
  <c r="H316" i="9" s="1"/>
  <c r="H317" i="9" s="1"/>
  <c r="H318" i="9" s="1"/>
  <c r="H319" i="9" s="1"/>
  <c r="H320" i="9" s="1"/>
  <c r="H321" i="9" s="1"/>
  <c r="H322" i="9" s="1"/>
  <c r="H323" i="9" s="1"/>
  <c r="H324" i="9" s="1"/>
  <c r="H325" i="9" s="1"/>
  <c r="H326" i="9" s="1"/>
  <c r="H327" i="9" s="1"/>
  <c r="H328" i="9" s="1"/>
  <c r="H329" i="9" s="1"/>
  <c r="H330" i="9" s="1"/>
  <c r="H331" i="9" s="1"/>
  <c r="H332" i="9" s="1"/>
  <c r="H333" i="9" s="1"/>
  <c r="H334" i="9" s="1"/>
  <c r="H335" i="9" s="1"/>
  <c r="H336" i="9" s="1"/>
  <c r="H337" i="9" s="1"/>
  <c r="H338" i="9" s="1"/>
  <c r="H339" i="9" s="1"/>
  <c r="H340" i="9" s="1"/>
  <c r="H341" i="9" s="1"/>
  <c r="H342" i="9" s="1"/>
  <c r="H343" i="9" s="1"/>
  <c r="H344" i="9" s="1"/>
  <c r="H345" i="9" s="1"/>
  <c r="H346" i="9" s="1"/>
  <c r="H347" i="9" s="1"/>
  <c r="H348" i="9" s="1"/>
  <c r="H349" i="9" s="1"/>
  <c r="H350" i="9" s="1"/>
  <c r="H351" i="9" s="1"/>
  <c r="H352" i="9" s="1"/>
  <c r="H353" i="9" s="1"/>
  <c r="H354" i="9" s="1"/>
  <c r="H355" i="9" s="1"/>
  <c r="H356" i="9" s="1"/>
  <c r="H357" i="9" s="1"/>
  <c r="H358" i="9" s="1"/>
  <c r="H359" i="9" s="1"/>
  <c r="H360" i="9" s="1"/>
  <c r="H361" i="9" s="1"/>
  <c r="H362" i="9" s="1"/>
  <c r="H363" i="9" s="1"/>
  <c r="H364" i="9" s="1"/>
  <c r="H365" i="9" s="1"/>
  <c r="H366" i="9" s="1"/>
  <c r="H367" i="9" s="1"/>
  <c r="H368" i="9" s="1"/>
  <c r="H369" i="9" s="1"/>
  <c r="H370" i="9" s="1"/>
  <c r="H371" i="9" s="1"/>
  <c r="H372" i="9" s="1"/>
  <c r="H373" i="9" s="1"/>
  <c r="H374" i="9" s="1"/>
  <c r="H375" i="9" s="1"/>
  <c r="H376" i="9" s="1"/>
  <c r="H377" i="9" s="1"/>
  <c r="H378" i="9" s="1"/>
  <c r="H379" i="9" s="1"/>
  <c r="H380" i="9" s="1"/>
  <c r="H381" i="9" s="1"/>
  <c r="H382" i="9" s="1"/>
  <c r="H383" i="9" s="1"/>
  <c r="H384" i="9" s="1"/>
  <c r="H385" i="9" s="1"/>
  <c r="H386" i="9" s="1"/>
  <c r="H387" i="9" s="1"/>
  <c r="H388" i="9" s="1"/>
  <c r="H389" i="9" s="1"/>
  <c r="H390" i="9" s="1"/>
  <c r="H391" i="9" s="1"/>
  <c r="H392" i="9" s="1"/>
  <c r="H393" i="9" s="1"/>
  <c r="H394" i="9" s="1"/>
  <c r="H395" i="9" s="1"/>
  <c r="H396" i="9" s="1"/>
  <c r="H397" i="9" s="1"/>
  <c r="H398" i="9" s="1"/>
  <c r="H399" i="9" s="1"/>
  <c r="H400" i="9" s="1"/>
  <c r="H401" i="9" s="1"/>
  <c r="H402" i="9" s="1"/>
  <c r="H403" i="9" s="1"/>
  <c r="H404" i="9" s="1"/>
  <c r="H405" i="9" s="1"/>
  <c r="H406" i="9" s="1"/>
  <c r="H407" i="9" s="1"/>
  <c r="H408" i="9" s="1"/>
  <c r="H409" i="9" s="1"/>
  <c r="H410" i="9" s="1"/>
  <c r="H411" i="9" s="1"/>
  <c r="H412" i="9" s="1"/>
  <c r="H413" i="9" s="1"/>
  <c r="H414" i="9" s="1"/>
  <c r="H415" i="9" s="1"/>
  <c r="H416" i="9" s="1"/>
  <c r="H417" i="9" s="1"/>
  <c r="H418" i="9" s="1"/>
  <c r="H419" i="9" s="1"/>
  <c r="H420" i="9" s="1"/>
  <c r="H421" i="9" s="1"/>
  <c r="H422" i="9" s="1"/>
  <c r="H423" i="9" s="1"/>
  <c r="H424" i="9" s="1"/>
  <c r="H425" i="9" s="1"/>
  <c r="H426" i="9" s="1"/>
  <c r="H427" i="9" s="1"/>
  <c r="H428" i="9" s="1"/>
  <c r="H429" i="9" s="1"/>
  <c r="H430" i="9" s="1"/>
  <c r="H431" i="9" s="1"/>
  <c r="H432" i="9" s="1"/>
  <c r="H433" i="9" s="1"/>
  <c r="H434" i="9" s="1"/>
  <c r="H435" i="9" s="1"/>
  <c r="H436" i="9" s="1"/>
  <c r="H437" i="9" s="1"/>
  <c r="H438" i="9" s="1"/>
  <c r="H439" i="9" s="1"/>
  <c r="H440" i="9" s="1"/>
  <c r="H441" i="9" s="1"/>
  <c r="H442" i="9" s="1"/>
  <c r="H443" i="9" s="1"/>
  <c r="H444" i="9" s="1"/>
  <c r="H445" i="9" s="1"/>
  <c r="H446" i="9" s="1"/>
  <c r="H447" i="9" s="1"/>
  <c r="H448" i="9" s="1"/>
  <c r="H449" i="9" s="1"/>
  <c r="H450" i="9" s="1"/>
  <c r="H451" i="9" s="1"/>
  <c r="H452" i="9" s="1"/>
  <c r="H453" i="9" s="1"/>
  <c r="H454" i="9" s="1"/>
  <c r="H455" i="9" s="1"/>
  <c r="H456" i="9" s="1"/>
  <c r="H457" i="9" s="1"/>
  <c r="H458" i="9" s="1"/>
  <c r="H459" i="9" s="1"/>
  <c r="H460" i="9" s="1"/>
  <c r="H461" i="9" s="1"/>
  <c r="H462" i="9" s="1"/>
  <c r="H463" i="9" s="1"/>
  <c r="H464" i="9" s="1"/>
  <c r="H465" i="9" s="1"/>
  <c r="H466" i="9" s="1"/>
  <c r="H467" i="9" s="1"/>
  <c r="H468" i="9" s="1"/>
  <c r="H469" i="9" s="1"/>
  <c r="H470" i="9" s="1"/>
  <c r="H471" i="9" s="1"/>
  <c r="H472" i="9" s="1"/>
  <c r="H473" i="9" s="1"/>
  <c r="H474" i="9" s="1"/>
  <c r="H475" i="9" s="1"/>
  <c r="H476" i="9" s="1"/>
  <c r="H477" i="9" s="1"/>
  <c r="H478" i="9" s="1"/>
  <c r="H479" i="9" s="1"/>
  <c r="H480" i="9" s="1"/>
  <c r="H481" i="9" s="1"/>
  <c r="H482" i="9" s="1"/>
  <c r="H483" i="9" s="1"/>
  <c r="H484" i="9" s="1"/>
  <c r="H485" i="9" s="1"/>
  <c r="H486" i="9" s="1"/>
  <c r="H487" i="9" s="1"/>
  <c r="H488" i="9" s="1"/>
  <c r="H489" i="9" s="1"/>
  <c r="H490" i="9" s="1"/>
  <c r="H491" i="9" s="1"/>
  <c r="H492" i="9" s="1"/>
  <c r="H493" i="9" s="1"/>
  <c r="H494" i="9" s="1"/>
  <c r="H495" i="9" s="1"/>
  <c r="H496" i="9" s="1"/>
  <c r="H497" i="9" s="1"/>
  <c r="H498" i="9" s="1"/>
  <c r="H499" i="9" s="1"/>
  <c r="H500" i="9" s="1"/>
  <c r="H501" i="9" s="1"/>
  <c r="L6" i="9"/>
  <c r="J6" i="9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5" i="9" s="1"/>
  <c r="J96" i="9" s="1"/>
  <c r="J97" i="9" s="1"/>
  <c r="J98" i="9" s="1"/>
  <c r="J99" i="9" s="1"/>
  <c r="J100" i="9" s="1"/>
  <c r="J101" i="9" s="1"/>
  <c r="J102" i="9" s="1"/>
  <c r="J103" i="9" s="1"/>
  <c r="J104" i="9" s="1"/>
  <c r="J105" i="9" s="1"/>
  <c r="J106" i="9" s="1"/>
  <c r="J107" i="9" s="1"/>
  <c r="J108" i="9" s="1"/>
  <c r="J109" i="9" s="1"/>
  <c r="J110" i="9" s="1"/>
  <c r="J111" i="9" s="1"/>
  <c r="J112" i="9" s="1"/>
  <c r="J113" i="9" s="1"/>
  <c r="J114" i="9" s="1"/>
  <c r="J115" i="9" s="1"/>
  <c r="J116" i="9" s="1"/>
  <c r="J117" i="9" s="1"/>
  <c r="J118" i="9" s="1"/>
  <c r="J119" i="9" s="1"/>
  <c r="J120" i="9" s="1"/>
  <c r="J121" i="9" s="1"/>
  <c r="J122" i="9" s="1"/>
  <c r="J123" i="9" s="1"/>
  <c r="J124" i="9" s="1"/>
  <c r="J125" i="9" s="1"/>
  <c r="J126" i="9" s="1"/>
  <c r="J127" i="9" s="1"/>
  <c r="J128" i="9" s="1"/>
  <c r="J129" i="9" s="1"/>
  <c r="J130" i="9" s="1"/>
  <c r="J131" i="9" s="1"/>
  <c r="J132" i="9" s="1"/>
  <c r="J133" i="9" s="1"/>
  <c r="J134" i="9" s="1"/>
  <c r="J135" i="9" s="1"/>
  <c r="J136" i="9" s="1"/>
  <c r="J137" i="9" s="1"/>
  <c r="J138" i="9" s="1"/>
  <c r="J139" i="9" s="1"/>
  <c r="J140" i="9" s="1"/>
  <c r="J141" i="9" s="1"/>
  <c r="J142" i="9" s="1"/>
  <c r="J143" i="9" s="1"/>
  <c r="J144" i="9" s="1"/>
  <c r="J145" i="9" s="1"/>
  <c r="J146" i="9" s="1"/>
  <c r="J147" i="9" s="1"/>
  <c r="J148" i="9" s="1"/>
  <c r="J149" i="9" s="1"/>
  <c r="J150" i="9" s="1"/>
  <c r="J151" i="9" s="1"/>
  <c r="J152" i="9" s="1"/>
  <c r="J153" i="9" s="1"/>
  <c r="J154" i="9" s="1"/>
  <c r="J155" i="9" s="1"/>
  <c r="J156" i="9" s="1"/>
  <c r="J157" i="9" s="1"/>
  <c r="J158" i="9" s="1"/>
  <c r="J159" i="9" s="1"/>
  <c r="J160" i="9" s="1"/>
  <c r="J161" i="9" s="1"/>
  <c r="J162" i="9" s="1"/>
  <c r="J163" i="9" s="1"/>
  <c r="J164" i="9" s="1"/>
  <c r="J165" i="9" s="1"/>
  <c r="J166" i="9" s="1"/>
  <c r="J167" i="9" s="1"/>
  <c r="J168" i="9" s="1"/>
  <c r="J169" i="9" s="1"/>
  <c r="J170" i="9" s="1"/>
  <c r="J171" i="9" s="1"/>
  <c r="J172" i="9" s="1"/>
  <c r="J173" i="9" s="1"/>
  <c r="J174" i="9" s="1"/>
  <c r="J175" i="9" s="1"/>
  <c r="J176" i="9" s="1"/>
  <c r="J177" i="9" s="1"/>
  <c r="J178" i="9" s="1"/>
  <c r="J179" i="9" s="1"/>
  <c r="J180" i="9" s="1"/>
  <c r="J181" i="9" s="1"/>
  <c r="J182" i="9" s="1"/>
  <c r="J183" i="9" s="1"/>
  <c r="J184" i="9" s="1"/>
  <c r="J185" i="9" s="1"/>
  <c r="J186" i="9" s="1"/>
  <c r="J187" i="9" s="1"/>
  <c r="J188" i="9" s="1"/>
  <c r="J189" i="9" s="1"/>
  <c r="J190" i="9" s="1"/>
  <c r="J191" i="9" s="1"/>
  <c r="J192" i="9" s="1"/>
  <c r="J193" i="9" s="1"/>
  <c r="J194" i="9" s="1"/>
  <c r="J195" i="9" s="1"/>
  <c r="J196" i="9" s="1"/>
  <c r="J197" i="9" s="1"/>
  <c r="J198" i="9" s="1"/>
  <c r="J199" i="9" s="1"/>
  <c r="J200" i="9" s="1"/>
  <c r="J201" i="9" s="1"/>
  <c r="J202" i="9" s="1"/>
  <c r="J203" i="9" s="1"/>
  <c r="J204" i="9" s="1"/>
  <c r="J205" i="9" s="1"/>
  <c r="J206" i="9" s="1"/>
  <c r="J207" i="9" s="1"/>
  <c r="J208" i="9" s="1"/>
  <c r="J209" i="9" s="1"/>
  <c r="J210" i="9" s="1"/>
  <c r="J211" i="9" s="1"/>
  <c r="J212" i="9" s="1"/>
  <c r="J213" i="9" s="1"/>
  <c r="J214" i="9" s="1"/>
  <c r="J215" i="9" s="1"/>
  <c r="J216" i="9" s="1"/>
  <c r="J217" i="9" s="1"/>
  <c r="J218" i="9" s="1"/>
  <c r="J219" i="9" s="1"/>
  <c r="J220" i="9" s="1"/>
  <c r="J221" i="9" s="1"/>
  <c r="J222" i="9" s="1"/>
  <c r="J223" i="9" s="1"/>
  <c r="J224" i="9" s="1"/>
  <c r="J225" i="9" s="1"/>
  <c r="J226" i="9" s="1"/>
  <c r="J227" i="9" s="1"/>
  <c r="J228" i="9" s="1"/>
  <c r="J229" i="9" s="1"/>
  <c r="J230" i="9" s="1"/>
  <c r="J231" i="9" s="1"/>
  <c r="J232" i="9" s="1"/>
  <c r="J233" i="9" s="1"/>
  <c r="J234" i="9" s="1"/>
  <c r="J235" i="9" s="1"/>
  <c r="J236" i="9" s="1"/>
  <c r="J237" i="9" s="1"/>
  <c r="J238" i="9" s="1"/>
  <c r="J239" i="9" s="1"/>
  <c r="J240" i="9" s="1"/>
  <c r="J241" i="9" s="1"/>
  <c r="J242" i="9" s="1"/>
  <c r="J243" i="9" s="1"/>
  <c r="J244" i="9" s="1"/>
  <c r="J245" i="9" s="1"/>
  <c r="J246" i="9" s="1"/>
  <c r="J247" i="9" s="1"/>
  <c r="J248" i="9" s="1"/>
  <c r="J249" i="9" s="1"/>
  <c r="J250" i="9" s="1"/>
  <c r="J251" i="9" s="1"/>
  <c r="J252" i="9" s="1"/>
  <c r="J253" i="9" s="1"/>
  <c r="J254" i="9" s="1"/>
  <c r="J255" i="9" s="1"/>
  <c r="J256" i="9" s="1"/>
  <c r="J257" i="9" s="1"/>
  <c r="J258" i="9" s="1"/>
  <c r="J259" i="9" s="1"/>
  <c r="J260" i="9" s="1"/>
  <c r="J261" i="9" s="1"/>
  <c r="J262" i="9" s="1"/>
  <c r="J263" i="9" s="1"/>
  <c r="J264" i="9" s="1"/>
  <c r="J265" i="9" s="1"/>
  <c r="J266" i="9" s="1"/>
  <c r="J267" i="9" s="1"/>
  <c r="J268" i="9" s="1"/>
  <c r="J269" i="9" s="1"/>
  <c r="J270" i="9" s="1"/>
  <c r="J271" i="9" s="1"/>
  <c r="J272" i="9" s="1"/>
  <c r="J273" i="9" s="1"/>
  <c r="J274" i="9" s="1"/>
  <c r="J275" i="9" s="1"/>
  <c r="J276" i="9" s="1"/>
  <c r="J277" i="9" s="1"/>
  <c r="J278" i="9" s="1"/>
  <c r="J279" i="9" s="1"/>
  <c r="J280" i="9" s="1"/>
  <c r="J281" i="9" s="1"/>
  <c r="J282" i="9" s="1"/>
  <c r="J283" i="9" s="1"/>
  <c r="J284" i="9" s="1"/>
  <c r="J285" i="9" s="1"/>
  <c r="J286" i="9" s="1"/>
  <c r="J287" i="9" s="1"/>
  <c r="J288" i="9" s="1"/>
  <c r="J289" i="9" s="1"/>
  <c r="J290" i="9" s="1"/>
  <c r="J291" i="9" s="1"/>
  <c r="J292" i="9" s="1"/>
  <c r="J293" i="9" s="1"/>
  <c r="J294" i="9" s="1"/>
  <c r="J295" i="9" s="1"/>
  <c r="J296" i="9" s="1"/>
  <c r="J297" i="9" s="1"/>
  <c r="J298" i="9" s="1"/>
  <c r="J299" i="9" s="1"/>
  <c r="J300" i="9" s="1"/>
  <c r="J301" i="9" s="1"/>
  <c r="J302" i="9" s="1"/>
  <c r="J303" i="9" s="1"/>
  <c r="J304" i="9" s="1"/>
  <c r="J305" i="9" s="1"/>
  <c r="J306" i="9" s="1"/>
  <c r="J307" i="9" s="1"/>
  <c r="J308" i="9" s="1"/>
  <c r="J309" i="9" s="1"/>
  <c r="J310" i="9" s="1"/>
  <c r="J311" i="9" s="1"/>
  <c r="J312" i="9" s="1"/>
  <c r="J313" i="9" s="1"/>
  <c r="J314" i="9" s="1"/>
  <c r="J315" i="9" s="1"/>
  <c r="J316" i="9" s="1"/>
  <c r="J317" i="9" s="1"/>
  <c r="J318" i="9" s="1"/>
  <c r="J319" i="9" s="1"/>
  <c r="J320" i="9" s="1"/>
  <c r="J321" i="9" s="1"/>
  <c r="J322" i="9" s="1"/>
  <c r="J323" i="9" s="1"/>
  <c r="J324" i="9" s="1"/>
  <c r="J325" i="9" s="1"/>
  <c r="J326" i="9" s="1"/>
  <c r="J327" i="9" s="1"/>
  <c r="J328" i="9" s="1"/>
  <c r="J329" i="9" s="1"/>
  <c r="J330" i="9" s="1"/>
  <c r="J331" i="9" s="1"/>
  <c r="J332" i="9" s="1"/>
  <c r="J333" i="9" s="1"/>
  <c r="J334" i="9" s="1"/>
  <c r="J335" i="9" s="1"/>
  <c r="J336" i="9" s="1"/>
  <c r="J337" i="9" s="1"/>
  <c r="J338" i="9" s="1"/>
  <c r="J339" i="9" s="1"/>
  <c r="J340" i="9" s="1"/>
  <c r="J341" i="9" s="1"/>
  <c r="J342" i="9" s="1"/>
  <c r="J343" i="9" s="1"/>
  <c r="J344" i="9" s="1"/>
  <c r="J345" i="9" s="1"/>
  <c r="J346" i="9" s="1"/>
  <c r="J347" i="9" s="1"/>
  <c r="J348" i="9" s="1"/>
  <c r="J349" i="9" s="1"/>
  <c r="J350" i="9" s="1"/>
  <c r="J351" i="9" s="1"/>
  <c r="J352" i="9" s="1"/>
  <c r="J353" i="9" s="1"/>
  <c r="J354" i="9" s="1"/>
  <c r="J355" i="9" s="1"/>
  <c r="J356" i="9" s="1"/>
  <c r="J357" i="9" s="1"/>
  <c r="J358" i="9" s="1"/>
  <c r="J359" i="9" s="1"/>
  <c r="J360" i="9" s="1"/>
  <c r="J361" i="9" s="1"/>
  <c r="J362" i="9" s="1"/>
  <c r="J363" i="9" s="1"/>
  <c r="J364" i="9" s="1"/>
  <c r="J365" i="9" s="1"/>
  <c r="J366" i="9" s="1"/>
  <c r="J367" i="9" s="1"/>
  <c r="J368" i="9" s="1"/>
  <c r="J369" i="9" s="1"/>
  <c r="J370" i="9" s="1"/>
  <c r="J371" i="9" s="1"/>
  <c r="J372" i="9" s="1"/>
  <c r="J373" i="9" s="1"/>
  <c r="J374" i="9" s="1"/>
  <c r="J375" i="9" s="1"/>
  <c r="J376" i="9" s="1"/>
  <c r="J377" i="9" s="1"/>
  <c r="J378" i="9" s="1"/>
  <c r="J379" i="9" s="1"/>
  <c r="J380" i="9" s="1"/>
  <c r="J381" i="9" s="1"/>
  <c r="J382" i="9" s="1"/>
  <c r="J383" i="9" s="1"/>
  <c r="J384" i="9" s="1"/>
  <c r="J385" i="9" s="1"/>
  <c r="J386" i="9" s="1"/>
  <c r="J387" i="9" s="1"/>
  <c r="J388" i="9" s="1"/>
  <c r="J389" i="9" s="1"/>
  <c r="J390" i="9" s="1"/>
  <c r="J391" i="9" s="1"/>
  <c r="J392" i="9" s="1"/>
  <c r="J393" i="9" s="1"/>
  <c r="J394" i="9" s="1"/>
  <c r="J395" i="9" s="1"/>
  <c r="J396" i="9" s="1"/>
  <c r="J397" i="9" s="1"/>
  <c r="J398" i="9" s="1"/>
  <c r="J399" i="9" s="1"/>
  <c r="J400" i="9" s="1"/>
  <c r="J401" i="9" s="1"/>
  <c r="J402" i="9" s="1"/>
  <c r="J403" i="9" s="1"/>
  <c r="J404" i="9" s="1"/>
  <c r="J405" i="9" s="1"/>
  <c r="J406" i="9" s="1"/>
  <c r="J407" i="9" s="1"/>
  <c r="J408" i="9" s="1"/>
  <c r="J409" i="9" s="1"/>
  <c r="J410" i="9" s="1"/>
  <c r="J411" i="9" s="1"/>
  <c r="J412" i="9" s="1"/>
  <c r="J413" i="9" s="1"/>
  <c r="J414" i="9" s="1"/>
  <c r="J415" i="9" s="1"/>
  <c r="J416" i="9" s="1"/>
  <c r="J417" i="9" s="1"/>
  <c r="J418" i="9" s="1"/>
  <c r="J419" i="9" s="1"/>
  <c r="J420" i="9" s="1"/>
  <c r="J421" i="9" s="1"/>
  <c r="J422" i="9" s="1"/>
  <c r="J423" i="9" s="1"/>
  <c r="J424" i="9" s="1"/>
  <c r="J425" i="9" s="1"/>
  <c r="J426" i="9" s="1"/>
  <c r="J427" i="9" s="1"/>
  <c r="J428" i="9" s="1"/>
  <c r="J429" i="9" s="1"/>
  <c r="J430" i="9" s="1"/>
  <c r="J431" i="9" s="1"/>
  <c r="J432" i="9" s="1"/>
  <c r="J433" i="9" s="1"/>
  <c r="J434" i="9" s="1"/>
  <c r="J435" i="9" s="1"/>
  <c r="J436" i="9" s="1"/>
  <c r="J437" i="9" s="1"/>
  <c r="J438" i="9" s="1"/>
  <c r="J439" i="9" s="1"/>
  <c r="J440" i="9" s="1"/>
  <c r="J441" i="9" s="1"/>
  <c r="J442" i="9" s="1"/>
  <c r="J443" i="9" s="1"/>
  <c r="J444" i="9" s="1"/>
  <c r="J445" i="9" s="1"/>
  <c r="J446" i="9" s="1"/>
  <c r="J447" i="9" s="1"/>
  <c r="J448" i="9" s="1"/>
  <c r="J449" i="9" s="1"/>
  <c r="J450" i="9" s="1"/>
  <c r="J451" i="9" s="1"/>
  <c r="J452" i="9" s="1"/>
  <c r="J453" i="9" s="1"/>
  <c r="J454" i="9" s="1"/>
  <c r="J455" i="9" s="1"/>
  <c r="J456" i="9" s="1"/>
  <c r="J457" i="9" s="1"/>
  <c r="J458" i="9" s="1"/>
  <c r="J459" i="9" s="1"/>
  <c r="J460" i="9" s="1"/>
  <c r="J461" i="9" s="1"/>
  <c r="J462" i="9" s="1"/>
  <c r="J463" i="9" s="1"/>
  <c r="J464" i="9" s="1"/>
  <c r="J465" i="9" s="1"/>
  <c r="J466" i="9" s="1"/>
  <c r="J467" i="9" s="1"/>
  <c r="J468" i="9" s="1"/>
  <c r="J469" i="9" s="1"/>
  <c r="J470" i="9" s="1"/>
  <c r="J471" i="9" s="1"/>
  <c r="J472" i="9" s="1"/>
  <c r="J473" i="9" s="1"/>
  <c r="J474" i="9" s="1"/>
  <c r="J475" i="9" s="1"/>
  <c r="J476" i="9" s="1"/>
  <c r="J477" i="9" s="1"/>
  <c r="J478" i="9" s="1"/>
  <c r="J479" i="9" s="1"/>
  <c r="J480" i="9" s="1"/>
  <c r="J481" i="9" s="1"/>
  <c r="J482" i="9" s="1"/>
  <c r="J483" i="9" s="1"/>
  <c r="J484" i="9" s="1"/>
  <c r="J485" i="9" s="1"/>
  <c r="J486" i="9" s="1"/>
  <c r="J487" i="9" s="1"/>
  <c r="J488" i="9" s="1"/>
  <c r="J489" i="9" s="1"/>
  <c r="J490" i="9" s="1"/>
  <c r="J491" i="9" s="1"/>
  <c r="J492" i="9" s="1"/>
  <c r="J493" i="9" s="1"/>
  <c r="J494" i="9" s="1"/>
  <c r="J495" i="9" s="1"/>
  <c r="J496" i="9" s="1"/>
  <c r="J497" i="9" s="1"/>
  <c r="J498" i="9" s="1"/>
  <c r="J499" i="9" s="1"/>
  <c r="J500" i="9" s="1"/>
  <c r="J501" i="9" s="1"/>
  <c r="H6" i="9"/>
  <c r="B6" i="9"/>
  <c r="E3" i="9" s="1"/>
  <c r="F3" i="9" s="1"/>
  <c r="C5" i="9"/>
  <c r="D3" i="9"/>
  <c r="G3" i="9" s="1"/>
  <c r="N3" i="9" s="1"/>
  <c r="Q2" i="9"/>
  <c r="P2" i="9"/>
  <c r="O2" i="9"/>
  <c r="G2" i="9"/>
  <c r="L6" i="8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L58" i="8" s="1"/>
  <c r="L59" i="8" s="1"/>
  <c r="L60" i="8" s="1"/>
  <c r="L61" i="8" s="1"/>
  <c r="L62" i="8" s="1"/>
  <c r="L63" i="8" s="1"/>
  <c r="L64" i="8" s="1"/>
  <c r="L65" i="8" s="1"/>
  <c r="L66" i="8" s="1"/>
  <c r="L67" i="8" s="1"/>
  <c r="L68" i="8" s="1"/>
  <c r="L69" i="8" s="1"/>
  <c r="L70" i="8" s="1"/>
  <c r="L71" i="8" s="1"/>
  <c r="L72" i="8" s="1"/>
  <c r="L73" i="8" s="1"/>
  <c r="L74" i="8" s="1"/>
  <c r="L75" i="8" s="1"/>
  <c r="L76" i="8" s="1"/>
  <c r="L77" i="8" s="1"/>
  <c r="L78" i="8" s="1"/>
  <c r="L79" i="8" s="1"/>
  <c r="L80" i="8" s="1"/>
  <c r="L81" i="8" s="1"/>
  <c r="L82" i="8" s="1"/>
  <c r="L83" i="8" s="1"/>
  <c r="L84" i="8" s="1"/>
  <c r="L85" i="8" s="1"/>
  <c r="L86" i="8" s="1"/>
  <c r="L87" i="8" s="1"/>
  <c r="L88" i="8" s="1"/>
  <c r="L89" i="8" s="1"/>
  <c r="L90" i="8" s="1"/>
  <c r="L91" i="8" s="1"/>
  <c r="L92" i="8" s="1"/>
  <c r="L93" i="8" s="1"/>
  <c r="L94" i="8" s="1"/>
  <c r="L95" i="8" s="1"/>
  <c r="L96" i="8" s="1"/>
  <c r="L97" i="8" s="1"/>
  <c r="L98" i="8" s="1"/>
  <c r="L99" i="8" s="1"/>
  <c r="L100" i="8" s="1"/>
  <c r="L101" i="8" s="1"/>
  <c r="L102" i="8" s="1"/>
  <c r="L103" i="8" s="1"/>
  <c r="L104" i="8" s="1"/>
  <c r="L105" i="8" s="1"/>
  <c r="L106" i="8" s="1"/>
  <c r="L107" i="8" s="1"/>
  <c r="L108" i="8" s="1"/>
  <c r="L109" i="8" s="1"/>
  <c r="L110" i="8" s="1"/>
  <c r="L111" i="8" s="1"/>
  <c r="L112" i="8" s="1"/>
  <c r="L113" i="8" s="1"/>
  <c r="L114" i="8" s="1"/>
  <c r="L115" i="8" s="1"/>
  <c r="L116" i="8" s="1"/>
  <c r="L117" i="8" s="1"/>
  <c r="L118" i="8" s="1"/>
  <c r="L119" i="8" s="1"/>
  <c r="L120" i="8" s="1"/>
  <c r="L121" i="8" s="1"/>
  <c r="L122" i="8" s="1"/>
  <c r="L123" i="8" s="1"/>
  <c r="L124" i="8" s="1"/>
  <c r="L125" i="8" s="1"/>
  <c r="L126" i="8" s="1"/>
  <c r="L127" i="8" s="1"/>
  <c r="L128" i="8" s="1"/>
  <c r="L129" i="8" s="1"/>
  <c r="L130" i="8" s="1"/>
  <c r="L131" i="8" s="1"/>
  <c r="L132" i="8" s="1"/>
  <c r="L133" i="8" s="1"/>
  <c r="L134" i="8" s="1"/>
  <c r="L135" i="8" s="1"/>
  <c r="L136" i="8" s="1"/>
  <c r="L137" i="8" s="1"/>
  <c r="L138" i="8" s="1"/>
  <c r="L139" i="8" s="1"/>
  <c r="L140" i="8" s="1"/>
  <c r="L141" i="8" s="1"/>
  <c r="L142" i="8" s="1"/>
  <c r="L143" i="8" s="1"/>
  <c r="L144" i="8" s="1"/>
  <c r="L145" i="8" s="1"/>
  <c r="L146" i="8" s="1"/>
  <c r="L147" i="8" s="1"/>
  <c r="L148" i="8" s="1"/>
  <c r="L149" i="8" s="1"/>
  <c r="L150" i="8" s="1"/>
  <c r="L151" i="8" s="1"/>
  <c r="L152" i="8" s="1"/>
  <c r="L153" i="8" s="1"/>
  <c r="L154" i="8" s="1"/>
  <c r="L155" i="8" s="1"/>
  <c r="L156" i="8" s="1"/>
  <c r="L157" i="8" s="1"/>
  <c r="L158" i="8" s="1"/>
  <c r="L159" i="8" s="1"/>
  <c r="L160" i="8" s="1"/>
  <c r="L161" i="8" s="1"/>
  <c r="L162" i="8" s="1"/>
  <c r="L163" i="8" s="1"/>
  <c r="L164" i="8" s="1"/>
  <c r="L165" i="8" s="1"/>
  <c r="L166" i="8" s="1"/>
  <c r="L167" i="8" s="1"/>
  <c r="L168" i="8" s="1"/>
  <c r="L169" i="8" s="1"/>
  <c r="L170" i="8" s="1"/>
  <c r="L171" i="8" s="1"/>
  <c r="L172" i="8" s="1"/>
  <c r="L173" i="8" s="1"/>
  <c r="L174" i="8" s="1"/>
  <c r="L175" i="8" s="1"/>
  <c r="L176" i="8" s="1"/>
  <c r="L177" i="8" s="1"/>
  <c r="L178" i="8" s="1"/>
  <c r="L179" i="8" s="1"/>
  <c r="L180" i="8" s="1"/>
  <c r="L181" i="8" s="1"/>
  <c r="L182" i="8" s="1"/>
  <c r="L183" i="8" s="1"/>
  <c r="L184" i="8" s="1"/>
  <c r="L185" i="8" s="1"/>
  <c r="L186" i="8" s="1"/>
  <c r="L187" i="8" s="1"/>
  <c r="L188" i="8" s="1"/>
  <c r="L189" i="8" s="1"/>
  <c r="L190" i="8" s="1"/>
  <c r="L191" i="8" s="1"/>
  <c r="L192" i="8" s="1"/>
  <c r="L193" i="8" s="1"/>
  <c r="L194" i="8" s="1"/>
  <c r="L195" i="8" s="1"/>
  <c r="L196" i="8" s="1"/>
  <c r="L197" i="8" s="1"/>
  <c r="L198" i="8" s="1"/>
  <c r="L199" i="8" s="1"/>
  <c r="L200" i="8" s="1"/>
  <c r="L201" i="8" s="1"/>
  <c r="L202" i="8" s="1"/>
  <c r="L203" i="8" s="1"/>
  <c r="L204" i="8" s="1"/>
  <c r="L205" i="8" s="1"/>
  <c r="L206" i="8" s="1"/>
  <c r="L207" i="8" s="1"/>
  <c r="L208" i="8" s="1"/>
  <c r="L209" i="8" s="1"/>
  <c r="L210" i="8" s="1"/>
  <c r="L211" i="8" s="1"/>
  <c r="L212" i="8" s="1"/>
  <c r="L213" i="8" s="1"/>
  <c r="L214" i="8" s="1"/>
  <c r="L215" i="8" s="1"/>
  <c r="L216" i="8" s="1"/>
  <c r="L217" i="8" s="1"/>
  <c r="L218" i="8" s="1"/>
  <c r="L219" i="8" s="1"/>
  <c r="L220" i="8" s="1"/>
  <c r="L221" i="8" s="1"/>
  <c r="L222" i="8" s="1"/>
  <c r="L223" i="8" s="1"/>
  <c r="L224" i="8" s="1"/>
  <c r="L225" i="8" s="1"/>
  <c r="L226" i="8" s="1"/>
  <c r="L227" i="8" s="1"/>
  <c r="L228" i="8" s="1"/>
  <c r="L229" i="8" s="1"/>
  <c r="L230" i="8" s="1"/>
  <c r="L231" i="8" s="1"/>
  <c r="L232" i="8" s="1"/>
  <c r="L233" i="8" s="1"/>
  <c r="L234" i="8" s="1"/>
  <c r="L235" i="8" s="1"/>
  <c r="L236" i="8" s="1"/>
  <c r="L237" i="8" s="1"/>
  <c r="L238" i="8" s="1"/>
  <c r="L239" i="8" s="1"/>
  <c r="L240" i="8" s="1"/>
  <c r="L241" i="8" s="1"/>
  <c r="L242" i="8" s="1"/>
  <c r="L243" i="8" s="1"/>
  <c r="L244" i="8" s="1"/>
  <c r="L245" i="8" s="1"/>
  <c r="L246" i="8" s="1"/>
  <c r="L247" i="8" s="1"/>
  <c r="L248" i="8" s="1"/>
  <c r="L249" i="8" s="1"/>
  <c r="L250" i="8" s="1"/>
  <c r="L251" i="8" s="1"/>
  <c r="L252" i="8" s="1"/>
  <c r="L253" i="8" s="1"/>
  <c r="L254" i="8" s="1"/>
  <c r="L255" i="8" s="1"/>
  <c r="L256" i="8" s="1"/>
  <c r="L257" i="8" s="1"/>
  <c r="L258" i="8" s="1"/>
  <c r="L259" i="8" s="1"/>
  <c r="L260" i="8" s="1"/>
  <c r="L261" i="8" s="1"/>
  <c r="L262" i="8" s="1"/>
  <c r="L263" i="8" s="1"/>
  <c r="L264" i="8" s="1"/>
  <c r="L265" i="8" s="1"/>
  <c r="L266" i="8" s="1"/>
  <c r="L267" i="8" s="1"/>
  <c r="L268" i="8" s="1"/>
  <c r="L269" i="8" s="1"/>
  <c r="L270" i="8" s="1"/>
  <c r="L271" i="8" s="1"/>
  <c r="L272" i="8" s="1"/>
  <c r="L273" i="8" s="1"/>
  <c r="L274" i="8" s="1"/>
  <c r="L275" i="8" s="1"/>
  <c r="L276" i="8" s="1"/>
  <c r="L277" i="8" s="1"/>
  <c r="L278" i="8" s="1"/>
  <c r="L279" i="8" s="1"/>
  <c r="L280" i="8" s="1"/>
  <c r="L281" i="8" s="1"/>
  <c r="L282" i="8" s="1"/>
  <c r="L283" i="8" s="1"/>
  <c r="L284" i="8" s="1"/>
  <c r="L285" i="8" s="1"/>
  <c r="L286" i="8" s="1"/>
  <c r="L287" i="8" s="1"/>
  <c r="L288" i="8" s="1"/>
  <c r="L289" i="8" s="1"/>
  <c r="L290" i="8" s="1"/>
  <c r="L291" i="8" s="1"/>
  <c r="L292" i="8" s="1"/>
  <c r="L293" i="8" s="1"/>
  <c r="L294" i="8" s="1"/>
  <c r="L295" i="8" s="1"/>
  <c r="L296" i="8" s="1"/>
  <c r="L297" i="8" s="1"/>
  <c r="L298" i="8" s="1"/>
  <c r="L299" i="8" s="1"/>
  <c r="L300" i="8" s="1"/>
  <c r="L301" i="8" s="1"/>
  <c r="L302" i="8" s="1"/>
  <c r="L303" i="8" s="1"/>
  <c r="L304" i="8" s="1"/>
  <c r="L305" i="8" s="1"/>
  <c r="L306" i="8" s="1"/>
  <c r="L307" i="8" s="1"/>
  <c r="L308" i="8" s="1"/>
  <c r="L309" i="8" s="1"/>
  <c r="L310" i="8" s="1"/>
  <c r="L311" i="8" s="1"/>
  <c r="L312" i="8" s="1"/>
  <c r="L313" i="8" s="1"/>
  <c r="L314" i="8" s="1"/>
  <c r="L315" i="8" s="1"/>
  <c r="L316" i="8" s="1"/>
  <c r="L317" i="8" s="1"/>
  <c r="L318" i="8" s="1"/>
  <c r="L319" i="8" s="1"/>
  <c r="L320" i="8" s="1"/>
  <c r="L321" i="8" s="1"/>
  <c r="L322" i="8" s="1"/>
  <c r="L323" i="8" s="1"/>
  <c r="L324" i="8" s="1"/>
  <c r="L325" i="8" s="1"/>
  <c r="L326" i="8" s="1"/>
  <c r="L327" i="8" s="1"/>
  <c r="L328" i="8" s="1"/>
  <c r="L329" i="8" s="1"/>
  <c r="L330" i="8" s="1"/>
  <c r="L331" i="8" s="1"/>
  <c r="L332" i="8" s="1"/>
  <c r="L333" i="8" s="1"/>
  <c r="L334" i="8" s="1"/>
  <c r="L335" i="8" s="1"/>
  <c r="L336" i="8" s="1"/>
  <c r="L337" i="8" s="1"/>
  <c r="L338" i="8" s="1"/>
  <c r="L339" i="8" s="1"/>
  <c r="L340" i="8" s="1"/>
  <c r="L341" i="8" s="1"/>
  <c r="L342" i="8" s="1"/>
  <c r="L343" i="8" s="1"/>
  <c r="L344" i="8" s="1"/>
  <c r="L345" i="8" s="1"/>
  <c r="L346" i="8" s="1"/>
  <c r="L347" i="8" s="1"/>
  <c r="L348" i="8" s="1"/>
  <c r="L349" i="8" s="1"/>
  <c r="L350" i="8" s="1"/>
  <c r="L351" i="8" s="1"/>
  <c r="L352" i="8" s="1"/>
  <c r="L353" i="8" s="1"/>
  <c r="L354" i="8" s="1"/>
  <c r="L355" i="8" s="1"/>
  <c r="L356" i="8" s="1"/>
  <c r="L357" i="8" s="1"/>
  <c r="L358" i="8" s="1"/>
  <c r="L359" i="8" s="1"/>
  <c r="L360" i="8" s="1"/>
  <c r="L361" i="8" s="1"/>
  <c r="L362" i="8" s="1"/>
  <c r="L363" i="8" s="1"/>
  <c r="L364" i="8" s="1"/>
  <c r="L365" i="8" s="1"/>
  <c r="L366" i="8" s="1"/>
  <c r="L367" i="8" s="1"/>
  <c r="L368" i="8" s="1"/>
  <c r="L369" i="8" s="1"/>
  <c r="L370" i="8" s="1"/>
  <c r="L371" i="8" s="1"/>
  <c r="L372" i="8" s="1"/>
  <c r="L373" i="8" s="1"/>
  <c r="L374" i="8" s="1"/>
  <c r="L375" i="8" s="1"/>
  <c r="L376" i="8" s="1"/>
  <c r="L377" i="8" s="1"/>
  <c r="L378" i="8" s="1"/>
  <c r="L379" i="8" s="1"/>
  <c r="L380" i="8" s="1"/>
  <c r="L381" i="8" s="1"/>
  <c r="L382" i="8" s="1"/>
  <c r="L383" i="8" s="1"/>
  <c r="L384" i="8" s="1"/>
  <c r="L385" i="8" s="1"/>
  <c r="L386" i="8" s="1"/>
  <c r="L387" i="8" s="1"/>
  <c r="L388" i="8" s="1"/>
  <c r="L389" i="8" s="1"/>
  <c r="L390" i="8" s="1"/>
  <c r="L391" i="8" s="1"/>
  <c r="L392" i="8" s="1"/>
  <c r="L393" i="8" s="1"/>
  <c r="L394" i="8" s="1"/>
  <c r="L395" i="8" s="1"/>
  <c r="L396" i="8" s="1"/>
  <c r="L397" i="8" s="1"/>
  <c r="L398" i="8" s="1"/>
  <c r="L399" i="8" s="1"/>
  <c r="L400" i="8" s="1"/>
  <c r="L401" i="8" s="1"/>
  <c r="L402" i="8" s="1"/>
  <c r="L403" i="8" s="1"/>
  <c r="L404" i="8" s="1"/>
  <c r="L405" i="8" s="1"/>
  <c r="L406" i="8" s="1"/>
  <c r="L407" i="8" s="1"/>
  <c r="L408" i="8" s="1"/>
  <c r="L409" i="8" s="1"/>
  <c r="L410" i="8" s="1"/>
  <c r="L411" i="8" s="1"/>
  <c r="L412" i="8" s="1"/>
  <c r="L413" i="8" s="1"/>
  <c r="L414" i="8" s="1"/>
  <c r="L415" i="8" s="1"/>
  <c r="L416" i="8" s="1"/>
  <c r="L417" i="8" s="1"/>
  <c r="L418" i="8" s="1"/>
  <c r="L419" i="8" s="1"/>
  <c r="L420" i="8" s="1"/>
  <c r="L421" i="8" s="1"/>
  <c r="L422" i="8" s="1"/>
  <c r="L423" i="8" s="1"/>
  <c r="L424" i="8" s="1"/>
  <c r="L425" i="8" s="1"/>
  <c r="L426" i="8" s="1"/>
  <c r="L427" i="8" s="1"/>
  <c r="L428" i="8" s="1"/>
  <c r="L429" i="8" s="1"/>
  <c r="L430" i="8" s="1"/>
  <c r="L431" i="8" s="1"/>
  <c r="L432" i="8" s="1"/>
  <c r="L433" i="8" s="1"/>
  <c r="L434" i="8" s="1"/>
  <c r="L435" i="8" s="1"/>
  <c r="L436" i="8" s="1"/>
  <c r="L437" i="8" s="1"/>
  <c r="L438" i="8" s="1"/>
  <c r="L439" i="8" s="1"/>
  <c r="L440" i="8" s="1"/>
  <c r="L441" i="8" s="1"/>
  <c r="L442" i="8" s="1"/>
  <c r="L443" i="8" s="1"/>
  <c r="L444" i="8" s="1"/>
  <c r="L445" i="8" s="1"/>
  <c r="L446" i="8" s="1"/>
  <c r="L447" i="8" s="1"/>
  <c r="L448" i="8" s="1"/>
  <c r="L449" i="8" s="1"/>
  <c r="L450" i="8" s="1"/>
  <c r="L451" i="8" s="1"/>
  <c r="L452" i="8" s="1"/>
  <c r="L453" i="8" s="1"/>
  <c r="L454" i="8" s="1"/>
  <c r="L455" i="8" s="1"/>
  <c r="L456" i="8" s="1"/>
  <c r="L457" i="8" s="1"/>
  <c r="L458" i="8" s="1"/>
  <c r="L459" i="8" s="1"/>
  <c r="L460" i="8" s="1"/>
  <c r="L461" i="8" s="1"/>
  <c r="L462" i="8" s="1"/>
  <c r="L463" i="8" s="1"/>
  <c r="L464" i="8" s="1"/>
  <c r="L465" i="8" s="1"/>
  <c r="L466" i="8" s="1"/>
  <c r="L467" i="8" s="1"/>
  <c r="L468" i="8" s="1"/>
  <c r="L469" i="8" s="1"/>
  <c r="L470" i="8" s="1"/>
  <c r="L471" i="8" s="1"/>
  <c r="L472" i="8" s="1"/>
  <c r="L473" i="8" s="1"/>
  <c r="L474" i="8" s="1"/>
  <c r="L475" i="8" s="1"/>
  <c r="L476" i="8" s="1"/>
  <c r="L477" i="8" s="1"/>
  <c r="L478" i="8" s="1"/>
  <c r="L479" i="8" s="1"/>
  <c r="L480" i="8" s="1"/>
  <c r="L481" i="8" s="1"/>
  <c r="L482" i="8" s="1"/>
  <c r="L483" i="8" s="1"/>
  <c r="L484" i="8" s="1"/>
  <c r="L485" i="8" s="1"/>
  <c r="L486" i="8" s="1"/>
  <c r="L487" i="8" s="1"/>
  <c r="L488" i="8" s="1"/>
  <c r="L489" i="8" s="1"/>
  <c r="L490" i="8" s="1"/>
  <c r="L491" i="8" s="1"/>
  <c r="L492" i="8" s="1"/>
  <c r="L493" i="8" s="1"/>
  <c r="L494" i="8" s="1"/>
  <c r="L495" i="8" s="1"/>
  <c r="L496" i="8" s="1"/>
  <c r="L497" i="8" s="1"/>
  <c r="L498" i="8" s="1"/>
  <c r="L499" i="8" s="1"/>
  <c r="L500" i="8" s="1"/>
  <c r="L501" i="8" s="1"/>
  <c r="J6" i="8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J79" i="8" s="1"/>
  <c r="J80" i="8" s="1"/>
  <c r="J81" i="8" s="1"/>
  <c r="J82" i="8" s="1"/>
  <c r="J83" i="8" s="1"/>
  <c r="J84" i="8" s="1"/>
  <c r="J85" i="8" s="1"/>
  <c r="J86" i="8" s="1"/>
  <c r="J87" i="8" s="1"/>
  <c r="J88" i="8" s="1"/>
  <c r="J89" i="8" s="1"/>
  <c r="J90" i="8" s="1"/>
  <c r="J91" i="8" s="1"/>
  <c r="J92" i="8" s="1"/>
  <c r="J93" i="8" s="1"/>
  <c r="J94" i="8" s="1"/>
  <c r="J95" i="8" s="1"/>
  <c r="J96" i="8" s="1"/>
  <c r="J97" i="8" s="1"/>
  <c r="J98" i="8" s="1"/>
  <c r="J99" i="8" s="1"/>
  <c r="J100" i="8" s="1"/>
  <c r="J101" i="8" s="1"/>
  <c r="J102" i="8" s="1"/>
  <c r="J103" i="8" s="1"/>
  <c r="J104" i="8" s="1"/>
  <c r="J105" i="8" s="1"/>
  <c r="J106" i="8" s="1"/>
  <c r="J107" i="8" s="1"/>
  <c r="J108" i="8" s="1"/>
  <c r="J109" i="8" s="1"/>
  <c r="J110" i="8" s="1"/>
  <c r="J111" i="8" s="1"/>
  <c r="J112" i="8" s="1"/>
  <c r="J113" i="8" s="1"/>
  <c r="J114" i="8" s="1"/>
  <c r="J115" i="8" s="1"/>
  <c r="J116" i="8" s="1"/>
  <c r="J117" i="8" s="1"/>
  <c r="J118" i="8" s="1"/>
  <c r="J119" i="8" s="1"/>
  <c r="J120" i="8" s="1"/>
  <c r="J121" i="8" s="1"/>
  <c r="J122" i="8" s="1"/>
  <c r="J123" i="8" s="1"/>
  <c r="J124" i="8" s="1"/>
  <c r="J125" i="8" s="1"/>
  <c r="J126" i="8" s="1"/>
  <c r="J127" i="8" s="1"/>
  <c r="J128" i="8" s="1"/>
  <c r="J129" i="8" s="1"/>
  <c r="J130" i="8" s="1"/>
  <c r="J131" i="8" s="1"/>
  <c r="J132" i="8" s="1"/>
  <c r="J133" i="8" s="1"/>
  <c r="J134" i="8" s="1"/>
  <c r="J135" i="8" s="1"/>
  <c r="J136" i="8" s="1"/>
  <c r="J137" i="8" s="1"/>
  <c r="J138" i="8" s="1"/>
  <c r="J139" i="8" s="1"/>
  <c r="J140" i="8" s="1"/>
  <c r="J141" i="8" s="1"/>
  <c r="J142" i="8" s="1"/>
  <c r="J143" i="8" s="1"/>
  <c r="J144" i="8" s="1"/>
  <c r="J145" i="8" s="1"/>
  <c r="J146" i="8" s="1"/>
  <c r="J147" i="8" s="1"/>
  <c r="J148" i="8" s="1"/>
  <c r="J149" i="8" s="1"/>
  <c r="J150" i="8" s="1"/>
  <c r="J151" i="8" s="1"/>
  <c r="J152" i="8" s="1"/>
  <c r="J153" i="8" s="1"/>
  <c r="J154" i="8" s="1"/>
  <c r="J155" i="8" s="1"/>
  <c r="J156" i="8" s="1"/>
  <c r="J157" i="8" s="1"/>
  <c r="J158" i="8" s="1"/>
  <c r="J159" i="8" s="1"/>
  <c r="J160" i="8" s="1"/>
  <c r="J161" i="8" s="1"/>
  <c r="J162" i="8" s="1"/>
  <c r="J163" i="8" s="1"/>
  <c r="J164" i="8" s="1"/>
  <c r="J165" i="8" s="1"/>
  <c r="J166" i="8" s="1"/>
  <c r="J167" i="8" s="1"/>
  <c r="J168" i="8" s="1"/>
  <c r="J169" i="8" s="1"/>
  <c r="J170" i="8" s="1"/>
  <c r="J171" i="8" s="1"/>
  <c r="J172" i="8" s="1"/>
  <c r="J173" i="8" s="1"/>
  <c r="J174" i="8" s="1"/>
  <c r="J175" i="8" s="1"/>
  <c r="J176" i="8" s="1"/>
  <c r="J177" i="8" s="1"/>
  <c r="J178" i="8" s="1"/>
  <c r="J179" i="8" s="1"/>
  <c r="J180" i="8" s="1"/>
  <c r="J181" i="8" s="1"/>
  <c r="J182" i="8" s="1"/>
  <c r="J183" i="8" s="1"/>
  <c r="J184" i="8" s="1"/>
  <c r="J185" i="8" s="1"/>
  <c r="J186" i="8" s="1"/>
  <c r="J187" i="8" s="1"/>
  <c r="J188" i="8" s="1"/>
  <c r="J189" i="8" s="1"/>
  <c r="J190" i="8" s="1"/>
  <c r="J191" i="8" s="1"/>
  <c r="J192" i="8" s="1"/>
  <c r="J193" i="8" s="1"/>
  <c r="J194" i="8" s="1"/>
  <c r="J195" i="8" s="1"/>
  <c r="J196" i="8" s="1"/>
  <c r="J197" i="8" s="1"/>
  <c r="J198" i="8" s="1"/>
  <c r="J199" i="8" s="1"/>
  <c r="J200" i="8" s="1"/>
  <c r="J201" i="8" s="1"/>
  <c r="J202" i="8" s="1"/>
  <c r="J203" i="8" s="1"/>
  <c r="J204" i="8" s="1"/>
  <c r="J205" i="8" s="1"/>
  <c r="J206" i="8" s="1"/>
  <c r="J207" i="8" s="1"/>
  <c r="J208" i="8" s="1"/>
  <c r="J209" i="8" s="1"/>
  <c r="J210" i="8" s="1"/>
  <c r="J211" i="8" s="1"/>
  <c r="J212" i="8" s="1"/>
  <c r="J213" i="8" s="1"/>
  <c r="J214" i="8" s="1"/>
  <c r="J215" i="8" s="1"/>
  <c r="J216" i="8" s="1"/>
  <c r="J217" i="8" s="1"/>
  <c r="J218" i="8" s="1"/>
  <c r="J219" i="8" s="1"/>
  <c r="J220" i="8" s="1"/>
  <c r="J221" i="8" s="1"/>
  <c r="J222" i="8" s="1"/>
  <c r="J223" i="8" s="1"/>
  <c r="J224" i="8" s="1"/>
  <c r="J225" i="8" s="1"/>
  <c r="J226" i="8" s="1"/>
  <c r="J227" i="8" s="1"/>
  <c r="J228" i="8" s="1"/>
  <c r="J229" i="8" s="1"/>
  <c r="J230" i="8" s="1"/>
  <c r="J231" i="8" s="1"/>
  <c r="J232" i="8" s="1"/>
  <c r="J233" i="8" s="1"/>
  <c r="J234" i="8" s="1"/>
  <c r="J235" i="8" s="1"/>
  <c r="J236" i="8" s="1"/>
  <c r="J237" i="8" s="1"/>
  <c r="J238" i="8" s="1"/>
  <c r="J239" i="8" s="1"/>
  <c r="J240" i="8" s="1"/>
  <c r="J241" i="8" s="1"/>
  <c r="J242" i="8" s="1"/>
  <c r="J243" i="8" s="1"/>
  <c r="J244" i="8" s="1"/>
  <c r="J245" i="8" s="1"/>
  <c r="J246" i="8" s="1"/>
  <c r="J247" i="8" s="1"/>
  <c r="J248" i="8" s="1"/>
  <c r="J249" i="8" s="1"/>
  <c r="J250" i="8" s="1"/>
  <c r="J251" i="8" s="1"/>
  <c r="J252" i="8" s="1"/>
  <c r="J253" i="8" s="1"/>
  <c r="J254" i="8" s="1"/>
  <c r="J255" i="8" s="1"/>
  <c r="J256" i="8" s="1"/>
  <c r="J257" i="8" s="1"/>
  <c r="J258" i="8" s="1"/>
  <c r="J259" i="8" s="1"/>
  <c r="J260" i="8" s="1"/>
  <c r="J261" i="8" s="1"/>
  <c r="J262" i="8" s="1"/>
  <c r="J263" i="8" s="1"/>
  <c r="J264" i="8" s="1"/>
  <c r="J265" i="8" s="1"/>
  <c r="J266" i="8" s="1"/>
  <c r="J267" i="8" s="1"/>
  <c r="J268" i="8" s="1"/>
  <c r="J269" i="8" s="1"/>
  <c r="J270" i="8" s="1"/>
  <c r="J271" i="8" s="1"/>
  <c r="J272" i="8" s="1"/>
  <c r="J273" i="8" s="1"/>
  <c r="J274" i="8" s="1"/>
  <c r="J275" i="8" s="1"/>
  <c r="J276" i="8" s="1"/>
  <c r="J277" i="8" s="1"/>
  <c r="J278" i="8" s="1"/>
  <c r="J279" i="8" s="1"/>
  <c r="J280" i="8" s="1"/>
  <c r="J281" i="8" s="1"/>
  <c r="J282" i="8" s="1"/>
  <c r="J283" i="8" s="1"/>
  <c r="J284" i="8" s="1"/>
  <c r="J285" i="8" s="1"/>
  <c r="J286" i="8" s="1"/>
  <c r="J287" i="8" s="1"/>
  <c r="J288" i="8" s="1"/>
  <c r="J289" i="8" s="1"/>
  <c r="J290" i="8" s="1"/>
  <c r="J291" i="8" s="1"/>
  <c r="J292" i="8" s="1"/>
  <c r="J293" i="8" s="1"/>
  <c r="J294" i="8" s="1"/>
  <c r="J295" i="8" s="1"/>
  <c r="J296" i="8" s="1"/>
  <c r="J297" i="8" s="1"/>
  <c r="J298" i="8" s="1"/>
  <c r="J299" i="8" s="1"/>
  <c r="J300" i="8" s="1"/>
  <c r="J301" i="8" s="1"/>
  <c r="J302" i="8" s="1"/>
  <c r="J303" i="8" s="1"/>
  <c r="J304" i="8" s="1"/>
  <c r="J305" i="8" s="1"/>
  <c r="J306" i="8" s="1"/>
  <c r="J307" i="8" s="1"/>
  <c r="J308" i="8" s="1"/>
  <c r="J309" i="8" s="1"/>
  <c r="J310" i="8" s="1"/>
  <c r="J311" i="8" s="1"/>
  <c r="J312" i="8" s="1"/>
  <c r="J313" i="8" s="1"/>
  <c r="J314" i="8" s="1"/>
  <c r="J315" i="8" s="1"/>
  <c r="J316" i="8" s="1"/>
  <c r="J317" i="8" s="1"/>
  <c r="J318" i="8" s="1"/>
  <c r="J319" i="8" s="1"/>
  <c r="J320" i="8" s="1"/>
  <c r="J321" i="8" s="1"/>
  <c r="J322" i="8" s="1"/>
  <c r="J323" i="8" s="1"/>
  <c r="J324" i="8" s="1"/>
  <c r="J325" i="8" s="1"/>
  <c r="J326" i="8" s="1"/>
  <c r="J327" i="8" s="1"/>
  <c r="J328" i="8" s="1"/>
  <c r="J329" i="8" s="1"/>
  <c r="J330" i="8" s="1"/>
  <c r="J331" i="8" s="1"/>
  <c r="J332" i="8" s="1"/>
  <c r="J333" i="8" s="1"/>
  <c r="J334" i="8" s="1"/>
  <c r="J335" i="8" s="1"/>
  <c r="J336" i="8" s="1"/>
  <c r="J337" i="8" s="1"/>
  <c r="J338" i="8" s="1"/>
  <c r="J339" i="8" s="1"/>
  <c r="J340" i="8" s="1"/>
  <c r="J341" i="8" s="1"/>
  <c r="J342" i="8" s="1"/>
  <c r="J343" i="8" s="1"/>
  <c r="J344" i="8" s="1"/>
  <c r="J345" i="8" s="1"/>
  <c r="J346" i="8" s="1"/>
  <c r="J347" i="8" s="1"/>
  <c r="J348" i="8" s="1"/>
  <c r="J349" i="8" s="1"/>
  <c r="J350" i="8" s="1"/>
  <c r="J351" i="8" s="1"/>
  <c r="J352" i="8" s="1"/>
  <c r="J353" i="8" s="1"/>
  <c r="J354" i="8" s="1"/>
  <c r="J355" i="8" s="1"/>
  <c r="J356" i="8" s="1"/>
  <c r="J357" i="8" s="1"/>
  <c r="J358" i="8" s="1"/>
  <c r="J359" i="8" s="1"/>
  <c r="J360" i="8" s="1"/>
  <c r="J361" i="8" s="1"/>
  <c r="J362" i="8" s="1"/>
  <c r="J363" i="8" s="1"/>
  <c r="J364" i="8" s="1"/>
  <c r="J365" i="8" s="1"/>
  <c r="J366" i="8" s="1"/>
  <c r="J367" i="8" s="1"/>
  <c r="J368" i="8" s="1"/>
  <c r="J369" i="8" s="1"/>
  <c r="J370" i="8" s="1"/>
  <c r="J371" i="8" s="1"/>
  <c r="J372" i="8" s="1"/>
  <c r="J373" i="8" s="1"/>
  <c r="J374" i="8" s="1"/>
  <c r="J375" i="8" s="1"/>
  <c r="J376" i="8" s="1"/>
  <c r="J377" i="8" s="1"/>
  <c r="J378" i="8" s="1"/>
  <c r="J379" i="8" s="1"/>
  <c r="J380" i="8" s="1"/>
  <c r="J381" i="8" s="1"/>
  <c r="J382" i="8" s="1"/>
  <c r="J383" i="8" s="1"/>
  <c r="J384" i="8" s="1"/>
  <c r="J385" i="8" s="1"/>
  <c r="J386" i="8" s="1"/>
  <c r="J387" i="8" s="1"/>
  <c r="J388" i="8" s="1"/>
  <c r="J389" i="8" s="1"/>
  <c r="J390" i="8" s="1"/>
  <c r="J391" i="8" s="1"/>
  <c r="J392" i="8" s="1"/>
  <c r="J393" i="8" s="1"/>
  <c r="J394" i="8" s="1"/>
  <c r="J395" i="8" s="1"/>
  <c r="J396" i="8" s="1"/>
  <c r="J397" i="8" s="1"/>
  <c r="J398" i="8" s="1"/>
  <c r="J399" i="8" s="1"/>
  <c r="J400" i="8" s="1"/>
  <c r="J401" i="8" s="1"/>
  <c r="J402" i="8" s="1"/>
  <c r="J403" i="8" s="1"/>
  <c r="J404" i="8" s="1"/>
  <c r="J405" i="8" s="1"/>
  <c r="J406" i="8" s="1"/>
  <c r="J407" i="8" s="1"/>
  <c r="J408" i="8" s="1"/>
  <c r="J409" i="8" s="1"/>
  <c r="J410" i="8" s="1"/>
  <c r="J411" i="8" s="1"/>
  <c r="J412" i="8" s="1"/>
  <c r="J413" i="8" s="1"/>
  <c r="J414" i="8" s="1"/>
  <c r="J415" i="8" s="1"/>
  <c r="J416" i="8" s="1"/>
  <c r="J417" i="8" s="1"/>
  <c r="J418" i="8" s="1"/>
  <c r="J419" i="8" s="1"/>
  <c r="J420" i="8" s="1"/>
  <c r="J421" i="8" s="1"/>
  <c r="J422" i="8" s="1"/>
  <c r="J423" i="8" s="1"/>
  <c r="J424" i="8" s="1"/>
  <c r="J425" i="8" s="1"/>
  <c r="J426" i="8" s="1"/>
  <c r="J427" i="8" s="1"/>
  <c r="J428" i="8" s="1"/>
  <c r="J429" i="8" s="1"/>
  <c r="J430" i="8" s="1"/>
  <c r="J431" i="8" s="1"/>
  <c r="J432" i="8" s="1"/>
  <c r="J433" i="8" s="1"/>
  <c r="J434" i="8" s="1"/>
  <c r="J435" i="8" s="1"/>
  <c r="J436" i="8" s="1"/>
  <c r="J437" i="8" s="1"/>
  <c r="J438" i="8" s="1"/>
  <c r="J439" i="8" s="1"/>
  <c r="J440" i="8" s="1"/>
  <c r="J441" i="8" s="1"/>
  <c r="J442" i="8" s="1"/>
  <c r="J443" i="8" s="1"/>
  <c r="J444" i="8" s="1"/>
  <c r="J445" i="8" s="1"/>
  <c r="J446" i="8" s="1"/>
  <c r="J447" i="8" s="1"/>
  <c r="J448" i="8" s="1"/>
  <c r="J449" i="8" s="1"/>
  <c r="J450" i="8" s="1"/>
  <c r="J451" i="8" s="1"/>
  <c r="J452" i="8" s="1"/>
  <c r="J453" i="8" s="1"/>
  <c r="J454" i="8" s="1"/>
  <c r="J455" i="8" s="1"/>
  <c r="J456" i="8" s="1"/>
  <c r="J457" i="8" s="1"/>
  <c r="J458" i="8" s="1"/>
  <c r="J459" i="8" s="1"/>
  <c r="J460" i="8" s="1"/>
  <c r="J461" i="8" s="1"/>
  <c r="J462" i="8" s="1"/>
  <c r="J463" i="8" s="1"/>
  <c r="J464" i="8" s="1"/>
  <c r="J465" i="8" s="1"/>
  <c r="J466" i="8" s="1"/>
  <c r="J467" i="8" s="1"/>
  <c r="J468" i="8" s="1"/>
  <c r="J469" i="8" s="1"/>
  <c r="J470" i="8" s="1"/>
  <c r="J471" i="8" s="1"/>
  <c r="J472" i="8" s="1"/>
  <c r="J473" i="8" s="1"/>
  <c r="J474" i="8" s="1"/>
  <c r="J475" i="8" s="1"/>
  <c r="J476" i="8" s="1"/>
  <c r="J477" i="8" s="1"/>
  <c r="J478" i="8" s="1"/>
  <c r="J479" i="8" s="1"/>
  <c r="J480" i="8" s="1"/>
  <c r="J481" i="8" s="1"/>
  <c r="J482" i="8" s="1"/>
  <c r="J483" i="8" s="1"/>
  <c r="J484" i="8" s="1"/>
  <c r="J485" i="8" s="1"/>
  <c r="J486" i="8" s="1"/>
  <c r="J487" i="8" s="1"/>
  <c r="J488" i="8" s="1"/>
  <c r="J489" i="8" s="1"/>
  <c r="J490" i="8" s="1"/>
  <c r="J491" i="8" s="1"/>
  <c r="J492" i="8" s="1"/>
  <c r="J493" i="8" s="1"/>
  <c r="J494" i="8" s="1"/>
  <c r="J495" i="8" s="1"/>
  <c r="J496" i="8" s="1"/>
  <c r="J497" i="8" s="1"/>
  <c r="J498" i="8" s="1"/>
  <c r="J499" i="8" s="1"/>
  <c r="J500" i="8" s="1"/>
  <c r="J501" i="8" s="1"/>
  <c r="H6" i="8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H116" i="8" s="1"/>
  <c r="H117" i="8" s="1"/>
  <c r="H118" i="8" s="1"/>
  <c r="H119" i="8" s="1"/>
  <c r="H120" i="8" s="1"/>
  <c r="H121" i="8" s="1"/>
  <c r="H122" i="8" s="1"/>
  <c r="H123" i="8" s="1"/>
  <c r="H124" i="8" s="1"/>
  <c r="H125" i="8" s="1"/>
  <c r="H126" i="8" s="1"/>
  <c r="H127" i="8" s="1"/>
  <c r="H128" i="8" s="1"/>
  <c r="H129" i="8" s="1"/>
  <c r="H130" i="8" s="1"/>
  <c r="H131" i="8" s="1"/>
  <c r="H132" i="8" s="1"/>
  <c r="H133" i="8" s="1"/>
  <c r="H134" i="8" s="1"/>
  <c r="H135" i="8" s="1"/>
  <c r="H136" i="8" s="1"/>
  <c r="H137" i="8" s="1"/>
  <c r="H138" i="8" s="1"/>
  <c r="H139" i="8" s="1"/>
  <c r="H140" i="8" s="1"/>
  <c r="H141" i="8" s="1"/>
  <c r="H142" i="8" s="1"/>
  <c r="H143" i="8" s="1"/>
  <c r="H144" i="8" s="1"/>
  <c r="H145" i="8" s="1"/>
  <c r="H146" i="8" s="1"/>
  <c r="H147" i="8" s="1"/>
  <c r="H148" i="8" s="1"/>
  <c r="H149" i="8" s="1"/>
  <c r="H150" i="8" s="1"/>
  <c r="H151" i="8" s="1"/>
  <c r="H152" i="8" s="1"/>
  <c r="H153" i="8" s="1"/>
  <c r="H154" i="8" s="1"/>
  <c r="H155" i="8" s="1"/>
  <c r="H156" i="8" s="1"/>
  <c r="H157" i="8" s="1"/>
  <c r="H158" i="8" s="1"/>
  <c r="H159" i="8" s="1"/>
  <c r="H160" i="8" s="1"/>
  <c r="H161" i="8" s="1"/>
  <c r="H162" i="8" s="1"/>
  <c r="H163" i="8" s="1"/>
  <c r="H164" i="8" s="1"/>
  <c r="H165" i="8" s="1"/>
  <c r="H166" i="8" s="1"/>
  <c r="H167" i="8" s="1"/>
  <c r="H168" i="8" s="1"/>
  <c r="H169" i="8" s="1"/>
  <c r="H170" i="8" s="1"/>
  <c r="H171" i="8" s="1"/>
  <c r="H172" i="8" s="1"/>
  <c r="H173" i="8" s="1"/>
  <c r="H174" i="8" s="1"/>
  <c r="H175" i="8" s="1"/>
  <c r="H176" i="8" s="1"/>
  <c r="H177" i="8" s="1"/>
  <c r="H178" i="8" s="1"/>
  <c r="H179" i="8" s="1"/>
  <c r="H180" i="8" s="1"/>
  <c r="H181" i="8" s="1"/>
  <c r="H182" i="8" s="1"/>
  <c r="H183" i="8" s="1"/>
  <c r="H184" i="8" s="1"/>
  <c r="H185" i="8" s="1"/>
  <c r="H186" i="8" s="1"/>
  <c r="H187" i="8" s="1"/>
  <c r="H188" i="8" s="1"/>
  <c r="H189" i="8" s="1"/>
  <c r="H190" i="8" s="1"/>
  <c r="H191" i="8" s="1"/>
  <c r="H192" i="8" s="1"/>
  <c r="H193" i="8" s="1"/>
  <c r="H194" i="8" s="1"/>
  <c r="H195" i="8" s="1"/>
  <c r="H196" i="8" s="1"/>
  <c r="H197" i="8" s="1"/>
  <c r="H198" i="8" s="1"/>
  <c r="H199" i="8" s="1"/>
  <c r="H200" i="8" s="1"/>
  <c r="H201" i="8" s="1"/>
  <c r="H202" i="8" s="1"/>
  <c r="H203" i="8" s="1"/>
  <c r="H204" i="8" s="1"/>
  <c r="H205" i="8" s="1"/>
  <c r="H206" i="8" s="1"/>
  <c r="H207" i="8" s="1"/>
  <c r="H208" i="8" s="1"/>
  <c r="H209" i="8" s="1"/>
  <c r="H210" i="8" s="1"/>
  <c r="H211" i="8" s="1"/>
  <c r="H212" i="8" s="1"/>
  <c r="H213" i="8" s="1"/>
  <c r="H214" i="8" s="1"/>
  <c r="H215" i="8" s="1"/>
  <c r="H216" i="8" s="1"/>
  <c r="H217" i="8" s="1"/>
  <c r="H218" i="8" s="1"/>
  <c r="H219" i="8" s="1"/>
  <c r="H220" i="8" s="1"/>
  <c r="H221" i="8" s="1"/>
  <c r="H222" i="8" s="1"/>
  <c r="H223" i="8" s="1"/>
  <c r="H224" i="8" s="1"/>
  <c r="H225" i="8" s="1"/>
  <c r="H226" i="8" s="1"/>
  <c r="H227" i="8" s="1"/>
  <c r="H228" i="8" s="1"/>
  <c r="H229" i="8" s="1"/>
  <c r="H230" i="8" s="1"/>
  <c r="H231" i="8" s="1"/>
  <c r="H232" i="8" s="1"/>
  <c r="H233" i="8" s="1"/>
  <c r="H234" i="8" s="1"/>
  <c r="H235" i="8" s="1"/>
  <c r="H236" i="8" s="1"/>
  <c r="H237" i="8" s="1"/>
  <c r="H238" i="8" s="1"/>
  <c r="H239" i="8" s="1"/>
  <c r="H240" i="8" s="1"/>
  <c r="H241" i="8" s="1"/>
  <c r="H242" i="8" s="1"/>
  <c r="H243" i="8" s="1"/>
  <c r="H244" i="8" s="1"/>
  <c r="H245" i="8" s="1"/>
  <c r="H246" i="8" s="1"/>
  <c r="H247" i="8" s="1"/>
  <c r="H248" i="8" s="1"/>
  <c r="H249" i="8" s="1"/>
  <c r="H250" i="8" s="1"/>
  <c r="H251" i="8" s="1"/>
  <c r="H252" i="8" s="1"/>
  <c r="H253" i="8" s="1"/>
  <c r="H254" i="8" s="1"/>
  <c r="H255" i="8" s="1"/>
  <c r="H256" i="8" s="1"/>
  <c r="H257" i="8" s="1"/>
  <c r="H258" i="8" s="1"/>
  <c r="H259" i="8" s="1"/>
  <c r="H260" i="8" s="1"/>
  <c r="H261" i="8" s="1"/>
  <c r="H262" i="8" s="1"/>
  <c r="H263" i="8" s="1"/>
  <c r="H264" i="8" s="1"/>
  <c r="H265" i="8" s="1"/>
  <c r="H266" i="8" s="1"/>
  <c r="H267" i="8" s="1"/>
  <c r="H268" i="8" s="1"/>
  <c r="H269" i="8" s="1"/>
  <c r="H270" i="8" s="1"/>
  <c r="H271" i="8" s="1"/>
  <c r="H272" i="8" s="1"/>
  <c r="H273" i="8" s="1"/>
  <c r="H274" i="8" s="1"/>
  <c r="H275" i="8" s="1"/>
  <c r="H276" i="8" s="1"/>
  <c r="H277" i="8" s="1"/>
  <c r="H278" i="8" s="1"/>
  <c r="H279" i="8" s="1"/>
  <c r="H280" i="8" s="1"/>
  <c r="H281" i="8" s="1"/>
  <c r="H282" i="8" s="1"/>
  <c r="H283" i="8" s="1"/>
  <c r="H284" i="8" s="1"/>
  <c r="H285" i="8" s="1"/>
  <c r="H286" i="8" s="1"/>
  <c r="H287" i="8" s="1"/>
  <c r="H288" i="8" s="1"/>
  <c r="H289" i="8" s="1"/>
  <c r="H290" i="8" s="1"/>
  <c r="H291" i="8" s="1"/>
  <c r="H292" i="8" s="1"/>
  <c r="H293" i="8" s="1"/>
  <c r="H294" i="8" s="1"/>
  <c r="H295" i="8" s="1"/>
  <c r="H296" i="8" s="1"/>
  <c r="H297" i="8" s="1"/>
  <c r="H298" i="8" s="1"/>
  <c r="H299" i="8" s="1"/>
  <c r="H300" i="8" s="1"/>
  <c r="H301" i="8" s="1"/>
  <c r="H302" i="8" s="1"/>
  <c r="H303" i="8" s="1"/>
  <c r="H304" i="8" s="1"/>
  <c r="H305" i="8" s="1"/>
  <c r="H306" i="8" s="1"/>
  <c r="H307" i="8" s="1"/>
  <c r="H308" i="8" s="1"/>
  <c r="H309" i="8" s="1"/>
  <c r="H310" i="8" s="1"/>
  <c r="H311" i="8" s="1"/>
  <c r="H312" i="8" s="1"/>
  <c r="H313" i="8" s="1"/>
  <c r="H314" i="8" s="1"/>
  <c r="H315" i="8" s="1"/>
  <c r="H316" i="8" s="1"/>
  <c r="H317" i="8" s="1"/>
  <c r="H318" i="8" s="1"/>
  <c r="H319" i="8" s="1"/>
  <c r="H320" i="8" s="1"/>
  <c r="H321" i="8" s="1"/>
  <c r="H322" i="8" s="1"/>
  <c r="H323" i="8" s="1"/>
  <c r="H324" i="8" s="1"/>
  <c r="H325" i="8" s="1"/>
  <c r="H326" i="8" s="1"/>
  <c r="H327" i="8" s="1"/>
  <c r="H328" i="8" s="1"/>
  <c r="H329" i="8" s="1"/>
  <c r="H330" i="8" s="1"/>
  <c r="H331" i="8" s="1"/>
  <c r="H332" i="8" s="1"/>
  <c r="H333" i="8" s="1"/>
  <c r="H334" i="8" s="1"/>
  <c r="H335" i="8" s="1"/>
  <c r="H336" i="8" s="1"/>
  <c r="H337" i="8" s="1"/>
  <c r="H338" i="8" s="1"/>
  <c r="H339" i="8" s="1"/>
  <c r="H340" i="8" s="1"/>
  <c r="H341" i="8" s="1"/>
  <c r="H342" i="8" s="1"/>
  <c r="H343" i="8" s="1"/>
  <c r="H344" i="8" s="1"/>
  <c r="H345" i="8" s="1"/>
  <c r="H346" i="8" s="1"/>
  <c r="H347" i="8" s="1"/>
  <c r="H348" i="8" s="1"/>
  <c r="H349" i="8" s="1"/>
  <c r="H350" i="8" s="1"/>
  <c r="H351" i="8" s="1"/>
  <c r="H352" i="8" s="1"/>
  <c r="H353" i="8" s="1"/>
  <c r="H354" i="8" s="1"/>
  <c r="H355" i="8" s="1"/>
  <c r="H356" i="8" s="1"/>
  <c r="H357" i="8" s="1"/>
  <c r="H358" i="8" s="1"/>
  <c r="H359" i="8" s="1"/>
  <c r="H360" i="8" s="1"/>
  <c r="H361" i="8" s="1"/>
  <c r="H362" i="8" s="1"/>
  <c r="H363" i="8" s="1"/>
  <c r="H364" i="8" s="1"/>
  <c r="H365" i="8" s="1"/>
  <c r="H366" i="8" s="1"/>
  <c r="H367" i="8" s="1"/>
  <c r="H368" i="8" s="1"/>
  <c r="H369" i="8" s="1"/>
  <c r="H370" i="8" s="1"/>
  <c r="H371" i="8" s="1"/>
  <c r="H372" i="8" s="1"/>
  <c r="H373" i="8" s="1"/>
  <c r="H374" i="8" s="1"/>
  <c r="H375" i="8" s="1"/>
  <c r="H376" i="8" s="1"/>
  <c r="H377" i="8" s="1"/>
  <c r="H378" i="8" s="1"/>
  <c r="H379" i="8" s="1"/>
  <c r="H380" i="8" s="1"/>
  <c r="H381" i="8" s="1"/>
  <c r="H382" i="8" s="1"/>
  <c r="H383" i="8" s="1"/>
  <c r="H384" i="8" s="1"/>
  <c r="H385" i="8" s="1"/>
  <c r="H386" i="8" s="1"/>
  <c r="H387" i="8" s="1"/>
  <c r="H388" i="8" s="1"/>
  <c r="H389" i="8" s="1"/>
  <c r="H390" i="8" s="1"/>
  <c r="H391" i="8" s="1"/>
  <c r="H392" i="8" s="1"/>
  <c r="H393" i="8" s="1"/>
  <c r="H394" i="8" s="1"/>
  <c r="H395" i="8" s="1"/>
  <c r="H396" i="8" s="1"/>
  <c r="H397" i="8" s="1"/>
  <c r="H398" i="8" s="1"/>
  <c r="H399" i="8" s="1"/>
  <c r="H400" i="8" s="1"/>
  <c r="H401" i="8" s="1"/>
  <c r="H402" i="8" s="1"/>
  <c r="H403" i="8" s="1"/>
  <c r="H404" i="8" s="1"/>
  <c r="H405" i="8" s="1"/>
  <c r="H406" i="8" s="1"/>
  <c r="H407" i="8" s="1"/>
  <c r="H408" i="8" s="1"/>
  <c r="H409" i="8" s="1"/>
  <c r="H410" i="8" s="1"/>
  <c r="H411" i="8" s="1"/>
  <c r="H412" i="8" s="1"/>
  <c r="H413" i="8" s="1"/>
  <c r="H414" i="8" s="1"/>
  <c r="H415" i="8" s="1"/>
  <c r="H416" i="8" s="1"/>
  <c r="H417" i="8" s="1"/>
  <c r="H418" i="8" s="1"/>
  <c r="H419" i="8" s="1"/>
  <c r="H420" i="8" s="1"/>
  <c r="H421" i="8" s="1"/>
  <c r="H422" i="8" s="1"/>
  <c r="H423" i="8" s="1"/>
  <c r="H424" i="8" s="1"/>
  <c r="H425" i="8" s="1"/>
  <c r="H426" i="8" s="1"/>
  <c r="H427" i="8" s="1"/>
  <c r="H428" i="8" s="1"/>
  <c r="H429" i="8" s="1"/>
  <c r="H430" i="8" s="1"/>
  <c r="H431" i="8" s="1"/>
  <c r="H432" i="8" s="1"/>
  <c r="H433" i="8" s="1"/>
  <c r="H434" i="8" s="1"/>
  <c r="H435" i="8" s="1"/>
  <c r="H436" i="8" s="1"/>
  <c r="H437" i="8" s="1"/>
  <c r="H438" i="8" s="1"/>
  <c r="H439" i="8" s="1"/>
  <c r="H440" i="8" s="1"/>
  <c r="H441" i="8" s="1"/>
  <c r="H442" i="8" s="1"/>
  <c r="H443" i="8" s="1"/>
  <c r="H444" i="8" s="1"/>
  <c r="H445" i="8" s="1"/>
  <c r="H446" i="8" s="1"/>
  <c r="H447" i="8" s="1"/>
  <c r="H448" i="8" s="1"/>
  <c r="H449" i="8" s="1"/>
  <c r="H450" i="8" s="1"/>
  <c r="H451" i="8" s="1"/>
  <c r="H452" i="8" s="1"/>
  <c r="H453" i="8" s="1"/>
  <c r="H454" i="8" s="1"/>
  <c r="H455" i="8" s="1"/>
  <c r="H456" i="8" s="1"/>
  <c r="H457" i="8" s="1"/>
  <c r="H458" i="8" s="1"/>
  <c r="H459" i="8" s="1"/>
  <c r="H460" i="8" s="1"/>
  <c r="H461" i="8" s="1"/>
  <c r="H462" i="8" s="1"/>
  <c r="H463" i="8" s="1"/>
  <c r="H464" i="8" s="1"/>
  <c r="H465" i="8" s="1"/>
  <c r="H466" i="8" s="1"/>
  <c r="H467" i="8" s="1"/>
  <c r="H468" i="8" s="1"/>
  <c r="H469" i="8" s="1"/>
  <c r="H470" i="8" s="1"/>
  <c r="H471" i="8" s="1"/>
  <c r="H472" i="8" s="1"/>
  <c r="H473" i="8" s="1"/>
  <c r="H474" i="8" s="1"/>
  <c r="H475" i="8" s="1"/>
  <c r="H476" i="8" s="1"/>
  <c r="H477" i="8" s="1"/>
  <c r="H478" i="8" s="1"/>
  <c r="H479" i="8" s="1"/>
  <c r="H480" i="8" s="1"/>
  <c r="H481" i="8" s="1"/>
  <c r="H482" i="8" s="1"/>
  <c r="H483" i="8" s="1"/>
  <c r="H484" i="8" s="1"/>
  <c r="H485" i="8" s="1"/>
  <c r="H486" i="8" s="1"/>
  <c r="H487" i="8" s="1"/>
  <c r="H488" i="8" s="1"/>
  <c r="H489" i="8" s="1"/>
  <c r="H490" i="8" s="1"/>
  <c r="H491" i="8" s="1"/>
  <c r="H492" i="8" s="1"/>
  <c r="H493" i="8" s="1"/>
  <c r="H494" i="8" s="1"/>
  <c r="H495" i="8" s="1"/>
  <c r="H496" i="8" s="1"/>
  <c r="H497" i="8" s="1"/>
  <c r="H498" i="8" s="1"/>
  <c r="H499" i="8" s="1"/>
  <c r="H500" i="8" s="1"/>
  <c r="H501" i="8" s="1"/>
  <c r="Q2" i="8"/>
  <c r="F2" i="8"/>
  <c r="C5" i="8"/>
  <c r="B6" i="8"/>
  <c r="D3" i="8"/>
  <c r="P2" i="8"/>
  <c r="O2" i="8"/>
  <c r="G2" i="8"/>
  <c r="N2" i="8" s="1"/>
  <c r="F2" i="7"/>
  <c r="B6" i="6"/>
  <c r="C5" i="6"/>
  <c r="D4" i="6"/>
  <c r="D5" i="6" s="1"/>
  <c r="E3" i="6"/>
  <c r="F3" i="6" s="1"/>
  <c r="D3" i="6"/>
  <c r="G3" i="6" s="1"/>
  <c r="J3" i="6" s="1"/>
  <c r="L2" i="6"/>
  <c r="K2" i="6"/>
  <c r="G2" i="6"/>
  <c r="J2" i="6" s="1"/>
  <c r="F2" i="6"/>
  <c r="D3" i="7"/>
  <c r="D4" i="7" s="1"/>
  <c r="K2" i="7"/>
  <c r="L2" i="7"/>
  <c r="B6" i="7"/>
  <c r="E3" i="7" s="1"/>
  <c r="F3" i="7" s="1"/>
  <c r="C5" i="7"/>
  <c r="G2" i="7"/>
  <c r="J2" i="7" s="1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4" i="5"/>
  <c r="F4" i="5"/>
  <c r="I9" i="5"/>
  <c r="N4" i="5"/>
  <c r="K4" i="5"/>
  <c r="L3" i="5"/>
  <c r="C4" i="5"/>
  <c r="E3" i="8" l="1"/>
  <c r="F3" i="8" s="1"/>
  <c r="I3" i="9"/>
  <c r="O3" i="9" s="1"/>
  <c r="M3" i="9"/>
  <c r="Q3" i="9" s="1"/>
  <c r="K3" i="9"/>
  <c r="N2" i="9"/>
  <c r="P3" i="9"/>
  <c r="D4" i="9"/>
  <c r="E4" i="9"/>
  <c r="F4" i="9" s="1"/>
  <c r="I4" i="9" s="1"/>
  <c r="O4" i="9" s="1"/>
  <c r="G3" i="8"/>
  <c r="D4" i="8"/>
  <c r="E4" i="8"/>
  <c r="F4" i="8" s="1"/>
  <c r="M4" i="8" s="1"/>
  <c r="Q4" i="8" s="1"/>
  <c r="G3" i="7"/>
  <c r="J3" i="7" s="1"/>
  <c r="I3" i="6"/>
  <c r="L3" i="6" s="1"/>
  <c r="H3" i="6"/>
  <c r="K3" i="6" s="1"/>
  <c r="G4" i="6"/>
  <c r="J4" i="6" s="1"/>
  <c r="D6" i="6"/>
  <c r="G5" i="6"/>
  <c r="J5" i="6" s="1"/>
  <c r="E4" i="6"/>
  <c r="F4" i="6" s="1"/>
  <c r="H4" i="6" s="1"/>
  <c r="D5" i="7"/>
  <c r="D6" i="7" s="1"/>
  <c r="D7" i="7" s="1"/>
  <c r="E4" i="7"/>
  <c r="C5" i="5"/>
  <c r="N3" i="5"/>
  <c r="O3" i="5" s="1"/>
  <c r="O4" i="5"/>
  <c r="P4" i="5"/>
  <c r="K5" i="5"/>
  <c r="I4" i="8" l="1"/>
  <c r="M3" i="8"/>
  <c r="I3" i="8"/>
  <c r="K3" i="8"/>
  <c r="K4" i="8"/>
  <c r="K4" i="9"/>
  <c r="P4" i="9" s="1"/>
  <c r="G4" i="9"/>
  <c r="E5" i="9"/>
  <c r="F5" i="9" s="1"/>
  <c r="D5" i="9"/>
  <c r="M4" i="9"/>
  <c r="N3" i="8"/>
  <c r="E5" i="8"/>
  <c r="F5" i="8" s="1"/>
  <c r="D5" i="8"/>
  <c r="G4" i="8"/>
  <c r="E5" i="7"/>
  <c r="F5" i="7" s="1"/>
  <c r="F4" i="7"/>
  <c r="K4" i="6"/>
  <c r="I4" i="6"/>
  <c r="E5" i="6"/>
  <c r="G6" i="6"/>
  <c r="J6" i="6" s="1"/>
  <c r="D7" i="6"/>
  <c r="D8" i="7"/>
  <c r="H3" i="7"/>
  <c r="K3" i="7" s="1"/>
  <c r="I3" i="7"/>
  <c r="L3" i="7" s="1"/>
  <c r="G4" i="7"/>
  <c r="F5" i="5"/>
  <c r="C6" i="5"/>
  <c r="K6" i="5"/>
  <c r="O5" i="5"/>
  <c r="P3" i="8" l="1"/>
  <c r="O3" i="8"/>
  <c r="Q3" i="8"/>
  <c r="I5" i="8"/>
  <c r="K5" i="8"/>
  <c r="M5" i="8"/>
  <c r="Q5" i="8" s="1"/>
  <c r="E6" i="7"/>
  <c r="F6" i="7" s="1"/>
  <c r="M5" i="9"/>
  <c r="Q5" i="9" s="1"/>
  <c r="K5" i="9"/>
  <c r="I5" i="9"/>
  <c r="Q4" i="9"/>
  <c r="D6" i="9"/>
  <c r="G5" i="9"/>
  <c r="N5" i="9" s="1"/>
  <c r="E6" i="9"/>
  <c r="F6" i="9" s="1"/>
  <c r="N4" i="9"/>
  <c r="N4" i="8"/>
  <c r="E6" i="8"/>
  <c r="D6" i="8"/>
  <c r="G5" i="8"/>
  <c r="P4" i="8"/>
  <c r="O4" i="8"/>
  <c r="D8" i="6"/>
  <c r="G7" i="6"/>
  <c r="E6" i="6"/>
  <c r="F5" i="6"/>
  <c r="L4" i="6"/>
  <c r="D9" i="7"/>
  <c r="G5" i="7"/>
  <c r="J5" i="7" s="1"/>
  <c r="I4" i="7"/>
  <c r="L4" i="7" s="1"/>
  <c r="H4" i="7"/>
  <c r="J4" i="7"/>
  <c r="F6" i="5"/>
  <c r="C7" i="5"/>
  <c r="K7" i="5"/>
  <c r="O6" i="5"/>
  <c r="O5" i="8" l="1"/>
  <c r="P5" i="8"/>
  <c r="E7" i="7"/>
  <c r="M6" i="9"/>
  <c r="K6" i="9"/>
  <c r="P6" i="9" s="1"/>
  <c r="O6" i="9"/>
  <c r="E7" i="9"/>
  <c r="F7" i="9" s="1"/>
  <c r="M7" i="9" s="1"/>
  <c r="Q7" i="9" s="1"/>
  <c r="D7" i="9"/>
  <c r="I7" i="9"/>
  <c r="O7" i="9" s="1"/>
  <c r="G6" i="9"/>
  <c r="O5" i="9"/>
  <c r="P5" i="9"/>
  <c r="F6" i="8"/>
  <c r="N5" i="8"/>
  <c r="G6" i="8"/>
  <c r="E7" i="8"/>
  <c r="F7" i="8" s="1"/>
  <c r="D7" i="8"/>
  <c r="H5" i="6"/>
  <c r="I5" i="6"/>
  <c r="F6" i="6"/>
  <c r="E7" i="6"/>
  <c r="J7" i="6"/>
  <c r="D9" i="6"/>
  <c r="G8" i="6"/>
  <c r="J8" i="6" s="1"/>
  <c r="D10" i="7"/>
  <c r="G6" i="7"/>
  <c r="I5" i="7"/>
  <c r="L5" i="7" s="1"/>
  <c r="H5" i="7"/>
  <c r="K5" i="7" s="1"/>
  <c r="K4" i="7"/>
  <c r="F7" i="5"/>
  <c r="C8" i="5"/>
  <c r="O7" i="5"/>
  <c r="K8" i="5"/>
  <c r="I6" i="8" l="1"/>
  <c r="M6" i="8"/>
  <c r="K6" i="8"/>
  <c r="K7" i="8"/>
  <c r="M7" i="8"/>
  <c r="Q7" i="8" s="1"/>
  <c r="I7" i="8"/>
  <c r="O7" i="8" s="1"/>
  <c r="F7" i="7"/>
  <c r="E8" i="7"/>
  <c r="K7" i="9"/>
  <c r="P7" i="9" s="1"/>
  <c r="N6" i="9"/>
  <c r="E8" i="9"/>
  <c r="F8" i="9" s="1"/>
  <c r="D8" i="9"/>
  <c r="G7" i="9"/>
  <c r="N7" i="9" s="1"/>
  <c r="Q6" i="9"/>
  <c r="N6" i="8"/>
  <c r="O6" i="8"/>
  <c r="E8" i="8"/>
  <c r="F8" i="8" s="1"/>
  <c r="D8" i="8"/>
  <c r="G7" i="8"/>
  <c r="G9" i="6"/>
  <c r="J9" i="6" s="1"/>
  <c r="D10" i="6"/>
  <c r="F7" i="6"/>
  <c r="E8" i="6"/>
  <c r="H6" i="6"/>
  <c r="K6" i="6" s="1"/>
  <c r="I6" i="6"/>
  <c r="L6" i="6" s="1"/>
  <c r="L5" i="6"/>
  <c r="K5" i="6"/>
  <c r="D11" i="7"/>
  <c r="G7" i="7"/>
  <c r="J7" i="7" s="1"/>
  <c r="I6" i="7"/>
  <c r="L6" i="7" s="1"/>
  <c r="H6" i="7"/>
  <c r="K6" i="7" s="1"/>
  <c r="J6" i="7"/>
  <c r="F8" i="5"/>
  <c r="C9" i="5"/>
  <c r="K9" i="5"/>
  <c r="O8" i="5"/>
  <c r="Q6" i="8" l="1"/>
  <c r="P6" i="8"/>
  <c r="I8" i="8"/>
  <c r="M8" i="8"/>
  <c r="Q8" i="8" s="1"/>
  <c r="K8" i="8"/>
  <c r="P8" i="8" s="1"/>
  <c r="F8" i="7"/>
  <c r="I8" i="7" s="1"/>
  <c r="L8" i="7" s="1"/>
  <c r="E9" i="7"/>
  <c r="M8" i="9"/>
  <c r="K8" i="9"/>
  <c r="I8" i="9"/>
  <c r="E9" i="9"/>
  <c r="F9" i="9" s="1"/>
  <c r="D9" i="9"/>
  <c r="G8" i="9"/>
  <c r="N8" i="9" s="1"/>
  <c r="N7" i="8"/>
  <c r="G8" i="8"/>
  <c r="E9" i="8"/>
  <c r="F9" i="8" s="1"/>
  <c r="D9" i="8"/>
  <c r="P7" i="8"/>
  <c r="F8" i="6"/>
  <c r="E9" i="6"/>
  <c r="H7" i="6"/>
  <c r="I7" i="6"/>
  <c r="D11" i="6"/>
  <c r="G10" i="6"/>
  <c r="J10" i="6" s="1"/>
  <c r="D12" i="7"/>
  <c r="G8" i="7"/>
  <c r="I7" i="7"/>
  <c r="L7" i="7" s="1"/>
  <c r="H7" i="7"/>
  <c r="K7" i="7" s="1"/>
  <c r="H8" i="7"/>
  <c r="K8" i="7" s="1"/>
  <c r="F9" i="5"/>
  <c r="C10" i="5"/>
  <c r="K10" i="5"/>
  <c r="O9" i="5"/>
  <c r="M9" i="8" l="1"/>
  <c r="Q9" i="8" s="1"/>
  <c r="I9" i="8"/>
  <c r="O9" i="8" s="1"/>
  <c r="K9" i="8"/>
  <c r="F9" i="7"/>
  <c r="I9" i="7" s="1"/>
  <c r="L9" i="7" s="1"/>
  <c r="E10" i="7"/>
  <c r="M9" i="9"/>
  <c r="Q9" i="9" s="1"/>
  <c r="K9" i="9"/>
  <c r="P9" i="9" s="1"/>
  <c r="I9" i="9"/>
  <c r="O9" i="9" s="1"/>
  <c r="G9" i="9"/>
  <c r="E10" i="9"/>
  <c r="F10" i="9" s="1"/>
  <c r="K10" i="9" s="1"/>
  <c r="P10" i="9" s="1"/>
  <c r="D10" i="9"/>
  <c r="O8" i="9"/>
  <c r="P8" i="9"/>
  <c r="Q8" i="9"/>
  <c r="N8" i="8"/>
  <c r="E10" i="8"/>
  <c r="F10" i="8" s="1"/>
  <c r="M10" i="8" s="1"/>
  <c r="D10" i="8"/>
  <c r="G9" i="8"/>
  <c r="O8" i="8"/>
  <c r="K7" i="6"/>
  <c r="G11" i="6"/>
  <c r="J11" i="6" s="1"/>
  <c r="D12" i="6"/>
  <c r="L7" i="6"/>
  <c r="F9" i="6"/>
  <c r="E10" i="6"/>
  <c r="I8" i="6"/>
  <c r="L8" i="6" s="1"/>
  <c r="H8" i="6"/>
  <c r="K8" i="6" s="1"/>
  <c r="D13" i="7"/>
  <c r="J8" i="7"/>
  <c r="G9" i="7"/>
  <c r="J9" i="7" s="1"/>
  <c r="H9" i="7"/>
  <c r="K9" i="7" s="1"/>
  <c r="F10" i="5"/>
  <c r="C11" i="5"/>
  <c r="O10" i="5"/>
  <c r="K11" i="5"/>
  <c r="Q10" i="8" l="1"/>
  <c r="I10" i="8"/>
  <c r="K10" i="8"/>
  <c r="F10" i="7"/>
  <c r="H10" i="7" s="1"/>
  <c r="K10" i="7" s="1"/>
  <c r="E11" i="7"/>
  <c r="N9" i="9"/>
  <c r="I10" i="9"/>
  <c r="M10" i="9"/>
  <c r="G10" i="9"/>
  <c r="N10" i="9" s="1"/>
  <c r="E11" i="9"/>
  <c r="F11" i="9" s="1"/>
  <c r="D11" i="9"/>
  <c r="N9" i="8"/>
  <c r="P10" i="8"/>
  <c r="G10" i="8"/>
  <c r="E11" i="8"/>
  <c r="F11" i="8" s="1"/>
  <c r="M11" i="8" s="1"/>
  <c r="D11" i="8"/>
  <c r="P9" i="8"/>
  <c r="I9" i="6"/>
  <c r="L9" i="6" s="1"/>
  <c r="H9" i="6"/>
  <c r="K9" i="6" s="1"/>
  <c r="F10" i="6"/>
  <c r="E11" i="6"/>
  <c r="D13" i="6"/>
  <c r="G12" i="6"/>
  <c r="J12" i="6" s="1"/>
  <c r="D14" i="7"/>
  <c r="G10" i="7"/>
  <c r="J10" i="7" s="1"/>
  <c r="I10" i="7"/>
  <c r="L10" i="7" s="1"/>
  <c r="F11" i="5"/>
  <c r="C12" i="5"/>
  <c r="K12" i="5"/>
  <c r="O11" i="5"/>
  <c r="I11" i="8" l="1"/>
  <c r="K11" i="8"/>
  <c r="Q11" i="8"/>
  <c r="F11" i="7"/>
  <c r="I11" i="7" s="1"/>
  <c r="L11" i="7" s="1"/>
  <c r="E12" i="7"/>
  <c r="M11" i="9"/>
  <c r="Q11" i="9" s="1"/>
  <c r="K11" i="9"/>
  <c r="P11" i="9" s="1"/>
  <c r="I11" i="9"/>
  <c r="O11" i="9" s="1"/>
  <c r="Q10" i="9"/>
  <c r="G11" i="9"/>
  <c r="N11" i="9" s="1"/>
  <c r="E12" i="9"/>
  <c r="F12" i="9" s="1"/>
  <c r="D12" i="9"/>
  <c r="O10" i="9"/>
  <c r="N10" i="8"/>
  <c r="P11" i="8"/>
  <c r="O11" i="8"/>
  <c r="G11" i="8"/>
  <c r="E12" i="8"/>
  <c r="F12" i="8" s="1"/>
  <c r="D12" i="8"/>
  <c r="O10" i="8"/>
  <c r="F11" i="6"/>
  <c r="E12" i="6"/>
  <c r="H10" i="6"/>
  <c r="K10" i="6" s="1"/>
  <c r="I10" i="6"/>
  <c r="L10" i="6" s="1"/>
  <c r="D14" i="6"/>
  <c r="G13" i="6"/>
  <c r="J13" i="6" s="1"/>
  <c r="D15" i="7"/>
  <c r="G11" i="7"/>
  <c r="J11" i="7" s="1"/>
  <c r="H11" i="7"/>
  <c r="K11" i="7" s="1"/>
  <c r="F12" i="5"/>
  <c r="C13" i="5"/>
  <c r="O12" i="5"/>
  <c r="K13" i="5"/>
  <c r="I12" i="8" l="1"/>
  <c r="O12" i="8" s="1"/>
  <c r="K12" i="8"/>
  <c r="P12" i="8" s="1"/>
  <c r="M12" i="8"/>
  <c r="Q12" i="8" s="1"/>
  <c r="F12" i="7"/>
  <c r="I12" i="7" s="1"/>
  <c r="L12" i="7" s="1"/>
  <c r="E13" i="7"/>
  <c r="K12" i="9"/>
  <c r="P12" i="9" s="1"/>
  <c r="I12" i="9"/>
  <c r="O12" i="9" s="1"/>
  <c r="M12" i="9"/>
  <c r="Q12" i="9" s="1"/>
  <c r="G12" i="9"/>
  <c r="N12" i="9" s="1"/>
  <c r="E13" i="9"/>
  <c r="F13" i="9" s="1"/>
  <c r="I13" i="9" s="1"/>
  <c r="O13" i="9" s="1"/>
  <c r="D13" i="9"/>
  <c r="N11" i="8"/>
  <c r="E13" i="8"/>
  <c r="F13" i="8" s="1"/>
  <c r="D13" i="8"/>
  <c r="G12" i="8"/>
  <c r="G14" i="6"/>
  <c r="J14" i="6" s="1"/>
  <c r="D15" i="6"/>
  <c r="F12" i="6"/>
  <c r="E13" i="6"/>
  <c r="H11" i="6"/>
  <c r="K11" i="6" s="1"/>
  <c r="I11" i="6"/>
  <c r="L11" i="6" s="1"/>
  <c r="D16" i="7"/>
  <c r="H12" i="7"/>
  <c r="K12" i="7" s="1"/>
  <c r="G12" i="7"/>
  <c r="J12" i="7" s="1"/>
  <c r="F13" i="5"/>
  <c r="C14" i="5"/>
  <c r="K14" i="5"/>
  <c r="O13" i="5"/>
  <c r="I13" i="8" l="1"/>
  <c r="O13" i="8" s="1"/>
  <c r="K13" i="8"/>
  <c r="M13" i="8"/>
  <c r="Q13" i="8" s="1"/>
  <c r="F13" i="7"/>
  <c r="I13" i="7" s="1"/>
  <c r="L13" i="7" s="1"/>
  <c r="E14" i="7"/>
  <c r="K13" i="9"/>
  <c r="P13" i="9" s="1"/>
  <c r="G13" i="9"/>
  <c r="N13" i="9" s="1"/>
  <c r="E14" i="9"/>
  <c r="F14" i="9" s="1"/>
  <c r="D14" i="9"/>
  <c r="M13" i="9"/>
  <c r="Q13" i="9" s="1"/>
  <c r="N12" i="8"/>
  <c r="P13" i="8"/>
  <c r="G13" i="8"/>
  <c r="E14" i="8"/>
  <c r="F14" i="8" s="1"/>
  <c r="D14" i="8"/>
  <c r="D16" i="6"/>
  <c r="G15" i="6"/>
  <c r="J15" i="6" s="1"/>
  <c r="F13" i="6"/>
  <c r="E14" i="6"/>
  <c r="I12" i="6"/>
  <c r="L12" i="6" s="1"/>
  <c r="H12" i="6"/>
  <c r="K12" i="6" s="1"/>
  <c r="D17" i="7"/>
  <c r="H13" i="7"/>
  <c r="K13" i="7" s="1"/>
  <c r="G13" i="7"/>
  <c r="J13" i="7" s="1"/>
  <c r="F14" i="5"/>
  <c r="C15" i="5"/>
  <c r="K15" i="5"/>
  <c r="O14" i="5"/>
  <c r="I14" i="8" l="1"/>
  <c r="O14" i="8" s="1"/>
  <c r="K14" i="8"/>
  <c r="P14" i="8" s="1"/>
  <c r="M14" i="8"/>
  <c r="Q14" i="8" s="1"/>
  <c r="F14" i="7"/>
  <c r="I14" i="7" s="1"/>
  <c r="L14" i="7" s="1"/>
  <c r="E15" i="7"/>
  <c r="M14" i="9"/>
  <c r="Q14" i="9" s="1"/>
  <c r="I14" i="9"/>
  <c r="O14" i="9" s="1"/>
  <c r="K14" i="9"/>
  <c r="P14" i="9" s="1"/>
  <c r="G14" i="9"/>
  <c r="N14" i="9" s="1"/>
  <c r="E15" i="9"/>
  <c r="F15" i="9" s="1"/>
  <c r="D15" i="9"/>
  <c r="N13" i="8"/>
  <c r="E15" i="8"/>
  <c r="F15" i="8" s="1"/>
  <c r="D15" i="8"/>
  <c r="G14" i="8"/>
  <c r="G16" i="6"/>
  <c r="J16" i="6" s="1"/>
  <c r="D17" i="6"/>
  <c r="F14" i="6"/>
  <c r="E15" i="6"/>
  <c r="H13" i="6"/>
  <c r="K13" i="6" s="1"/>
  <c r="I13" i="6"/>
  <c r="L13" i="6" s="1"/>
  <c r="D18" i="7"/>
  <c r="G14" i="7"/>
  <c r="J14" i="7" s="1"/>
  <c r="H14" i="7"/>
  <c r="K14" i="7" s="1"/>
  <c r="F15" i="5"/>
  <c r="C16" i="5"/>
  <c r="O15" i="5"/>
  <c r="K16" i="5"/>
  <c r="K15" i="8" l="1"/>
  <c r="P15" i="8" s="1"/>
  <c r="I15" i="8"/>
  <c r="O15" i="8" s="1"/>
  <c r="M15" i="8"/>
  <c r="Q15" i="8" s="1"/>
  <c r="F15" i="7"/>
  <c r="H15" i="7" s="1"/>
  <c r="K15" i="7" s="1"/>
  <c r="E16" i="7"/>
  <c r="I15" i="9"/>
  <c r="O15" i="9" s="1"/>
  <c r="M15" i="9"/>
  <c r="Q15" i="9" s="1"/>
  <c r="K15" i="9"/>
  <c r="P15" i="9" s="1"/>
  <c r="G15" i="9"/>
  <c r="N15" i="9" s="1"/>
  <c r="E16" i="9"/>
  <c r="F16" i="9" s="1"/>
  <c r="D16" i="9"/>
  <c r="N14" i="8"/>
  <c r="G15" i="8"/>
  <c r="E16" i="8"/>
  <c r="F16" i="8" s="1"/>
  <c r="D16" i="8"/>
  <c r="F15" i="6"/>
  <c r="E16" i="6"/>
  <c r="D18" i="6"/>
  <c r="G17" i="6"/>
  <c r="J17" i="6" s="1"/>
  <c r="H14" i="6"/>
  <c r="K14" i="6" s="1"/>
  <c r="I14" i="6"/>
  <c r="L14" i="6" s="1"/>
  <c r="D19" i="7"/>
  <c r="I15" i="7"/>
  <c r="L15" i="7" s="1"/>
  <c r="G15" i="7"/>
  <c r="J15" i="7" s="1"/>
  <c r="F16" i="5"/>
  <c r="C17" i="5"/>
  <c r="K17" i="5"/>
  <c r="O16" i="5"/>
  <c r="I16" i="8" l="1"/>
  <c r="O16" i="8" s="1"/>
  <c r="K16" i="8"/>
  <c r="P16" i="8" s="1"/>
  <c r="M16" i="8"/>
  <c r="Q16" i="8" s="1"/>
  <c r="F16" i="7"/>
  <c r="H16" i="7" s="1"/>
  <c r="K16" i="7" s="1"/>
  <c r="E17" i="7"/>
  <c r="I16" i="9"/>
  <c r="O16" i="9" s="1"/>
  <c r="M16" i="9"/>
  <c r="Q16" i="9" s="1"/>
  <c r="K16" i="9"/>
  <c r="P16" i="9" s="1"/>
  <c r="D17" i="9"/>
  <c r="E17" i="9"/>
  <c r="F17" i="9" s="1"/>
  <c r="K17" i="9" s="1"/>
  <c r="P17" i="9" s="1"/>
  <c r="G16" i="9"/>
  <c r="N16" i="9" s="1"/>
  <c r="N15" i="8"/>
  <c r="D17" i="8"/>
  <c r="G16" i="8"/>
  <c r="E17" i="8"/>
  <c r="F17" i="8" s="1"/>
  <c r="D19" i="6"/>
  <c r="G18" i="6"/>
  <c r="J18" i="6" s="1"/>
  <c r="F16" i="6"/>
  <c r="E17" i="6"/>
  <c r="I15" i="6"/>
  <c r="L15" i="6" s="1"/>
  <c r="H15" i="6"/>
  <c r="K15" i="6" s="1"/>
  <c r="D20" i="7"/>
  <c r="I16" i="7"/>
  <c r="L16" i="7" s="1"/>
  <c r="G16" i="7"/>
  <c r="J16" i="7" s="1"/>
  <c r="F17" i="5"/>
  <c r="C18" i="5"/>
  <c r="K18" i="5"/>
  <c r="O17" i="5"/>
  <c r="I17" i="8" l="1"/>
  <c r="O17" i="8" s="1"/>
  <c r="K17" i="8"/>
  <c r="P17" i="8" s="1"/>
  <c r="M17" i="8"/>
  <c r="Q17" i="8" s="1"/>
  <c r="F17" i="7"/>
  <c r="H17" i="7" s="1"/>
  <c r="K17" i="7" s="1"/>
  <c r="E18" i="7"/>
  <c r="M17" i="9"/>
  <c r="Q17" i="9" s="1"/>
  <c r="E18" i="9"/>
  <c r="F18" i="9" s="1"/>
  <c r="M18" i="9" s="1"/>
  <c r="Q18" i="9" s="1"/>
  <c r="D18" i="9"/>
  <c r="I18" i="9"/>
  <c r="O18" i="9" s="1"/>
  <c r="G17" i="9"/>
  <c r="N17" i="9" s="1"/>
  <c r="I17" i="9"/>
  <c r="O17" i="9" s="1"/>
  <c r="N16" i="8"/>
  <c r="E18" i="8"/>
  <c r="F18" i="8" s="1"/>
  <c r="I18" i="8" s="1"/>
  <c r="D18" i="8"/>
  <c r="G17" i="8"/>
  <c r="H16" i="6"/>
  <c r="K16" i="6" s="1"/>
  <c r="I16" i="6"/>
  <c r="L16" i="6" s="1"/>
  <c r="D20" i="6"/>
  <c r="G19" i="6"/>
  <c r="J19" i="6" s="1"/>
  <c r="F17" i="6"/>
  <c r="E18" i="6"/>
  <c r="D21" i="7"/>
  <c r="I17" i="7"/>
  <c r="L17" i="7" s="1"/>
  <c r="G17" i="7"/>
  <c r="J17" i="7" s="1"/>
  <c r="F18" i="5"/>
  <c r="C19" i="5"/>
  <c r="K19" i="5"/>
  <c r="O18" i="5"/>
  <c r="K18" i="8" l="1"/>
  <c r="M18" i="8"/>
  <c r="Q18" i="8" s="1"/>
  <c r="F18" i="7"/>
  <c r="I18" i="7" s="1"/>
  <c r="L18" i="7" s="1"/>
  <c r="E19" i="7"/>
  <c r="K18" i="9"/>
  <c r="P18" i="9" s="1"/>
  <c r="E19" i="9"/>
  <c r="F19" i="9" s="1"/>
  <c r="D19" i="9"/>
  <c r="G18" i="9"/>
  <c r="N18" i="9" s="1"/>
  <c r="N17" i="8"/>
  <c r="P18" i="8"/>
  <c r="O18" i="8"/>
  <c r="G18" i="8"/>
  <c r="E19" i="8"/>
  <c r="F19" i="8" s="1"/>
  <c r="K19" i="8" s="1"/>
  <c r="D19" i="8"/>
  <c r="I17" i="6"/>
  <c r="L17" i="6" s="1"/>
  <c r="H17" i="6"/>
  <c r="K17" i="6" s="1"/>
  <c r="D21" i="6"/>
  <c r="G20" i="6"/>
  <c r="J20" i="6" s="1"/>
  <c r="F18" i="6"/>
  <c r="E19" i="6"/>
  <c r="D22" i="7"/>
  <c r="H18" i="7"/>
  <c r="K18" i="7" s="1"/>
  <c r="G18" i="7"/>
  <c r="J18" i="7" s="1"/>
  <c r="F19" i="5"/>
  <c r="C20" i="5"/>
  <c r="K20" i="5"/>
  <c r="O19" i="5"/>
  <c r="I19" i="8" l="1"/>
  <c r="O19" i="8" s="1"/>
  <c r="M19" i="8"/>
  <c r="Q19" i="8" s="1"/>
  <c r="F19" i="7"/>
  <c r="I19" i="7" s="1"/>
  <c r="L19" i="7" s="1"/>
  <c r="E20" i="7"/>
  <c r="I19" i="9"/>
  <c r="O19" i="9" s="1"/>
  <c r="M19" i="9"/>
  <c r="Q19" i="9" s="1"/>
  <c r="K19" i="9"/>
  <c r="P19" i="9" s="1"/>
  <c r="G19" i="9"/>
  <c r="N19" i="9" s="1"/>
  <c r="E20" i="9"/>
  <c r="F20" i="9" s="1"/>
  <c r="D20" i="9"/>
  <c r="N18" i="8"/>
  <c r="P19" i="8"/>
  <c r="E20" i="8"/>
  <c r="F20" i="8" s="1"/>
  <c r="K20" i="8" s="1"/>
  <c r="D20" i="8"/>
  <c r="G19" i="8"/>
  <c r="I18" i="6"/>
  <c r="L18" i="6" s="1"/>
  <c r="H18" i="6"/>
  <c r="K18" i="6" s="1"/>
  <c r="G21" i="6"/>
  <c r="J21" i="6" s="1"/>
  <c r="D22" i="6"/>
  <c r="F19" i="6"/>
  <c r="E20" i="6"/>
  <c r="D23" i="7"/>
  <c r="E23" i="7"/>
  <c r="F23" i="7" s="1"/>
  <c r="H19" i="7"/>
  <c r="K19" i="7" s="1"/>
  <c r="G19" i="7"/>
  <c r="J19" i="7" s="1"/>
  <c r="F20" i="5"/>
  <c r="C21" i="5"/>
  <c r="O20" i="5"/>
  <c r="K21" i="5"/>
  <c r="I20" i="8" l="1"/>
  <c r="O20" i="8" s="1"/>
  <c r="M20" i="8"/>
  <c r="Q20" i="8" s="1"/>
  <c r="F20" i="7"/>
  <c r="I20" i="7" s="1"/>
  <c r="L20" i="7" s="1"/>
  <c r="E21" i="7"/>
  <c r="I20" i="9"/>
  <c r="O20" i="9" s="1"/>
  <c r="K20" i="9"/>
  <c r="P20" i="9" s="1"/>
  <c r="M20" i="9"/>
  <c r="Q20" i="9" s="1"/>
  <c r="G20" i="9"/>
  <c r="N20" i="9" s="1"/>
  <c r="E21" i="9"/>
  <c r="F21" i="9" s="1"/>
  <c r="D21" i="9"/>
  <c r="N19" i="8"/>
  <c r="P20" i="8"/>
  <c r="G20" i="8"/>
  <c r="E21" i="8"/>
  <c r="F21" i="8" s="1"/>
  <c r="I21" i="8" s="1"/>
  <c r="D21" i="8"/>
  <c r="F20" i="6"/>
  <c r="E21" i="6"/>
  <c r="D23" i="6"/>
  <c r="I19" i="6"/>
  <c r="L19" i="6" s="1"/>
  <c r="H19" i="6"/>
  <c r="K19" i="6" s="1"/>
  <c r="D24" i="7"/>
  <c r="E24" i="7"/>
  <c r="F24" i="7" s="1"/>
  <c r="G20" i="7"/>
  <c r="J20" i="7" s="1"/>
  <c r="H20" i="7"/>
  <c r="K20" i="7" s="1"/>
  <c r="F21" i="5"/>
  <c r="C22" i="5"/>
  <c r="K22" i="5"/>
  <c r="O21" i="5"/>
  <c r="K21" i="8" l="1"/>
  <c r="P21" i="8" s="1"/>
  <c r="M21" i="8"/>
  <c r="Q21" i="8" s="1"/>
  <c r="F21" i="7"/>
  <c r="I21" i="7" s="1"/>
  <c r="L21" i="7" s="1"/>
  <c r="E22" i="7"/>
  <c r="F22" i="7" s="1"/>
  <c r="I21" i="9"/>
  <c r="O21" i="9" s="1"/>
  <c r="K21" i="9"/>
  <c r="P21" i="9" s="1"/>
  <c r="M21" i="9"/>
  <c r="Q21" i="9" s="1"/>
  <c r="G21" i="9"/>
  <c r="N21" i="9" s="1"/>
  <c r="E22" i="9"/>
  <c r="F22" i="9" s="1"/>
  <c r="D22" i="9"/>
  <c r="N20" i="8"/>
  <c r="O21" i="8"/>
  <c r="D22" i="8"/>
  <c r="G21" i="8"/>
  <c r="E22" i="8"/>
  <c r="I20" i="6"/>
  <c r="L20" i="6" s="1"/>
  <c r="H20" i="6"/>
  <c r="K20" i="6" s="1"/>
  <c r="D24" i="6"/>
  <c r="G23" i="6"/>
  <c r="J23" i="6" s="1"/>
  <c r="F21" i="6"/>
  <c r="E22" i="6"/>
  <c r="D25" i="7"/>
  <c r="E25" i="7"/>
  <c r="F25" i="7" s="1"/>
  <c r="I22" i="7"/>
  <c r="L22" i="7" s="1"/>
  <c r="H22" i="7"/>
  <c r="K22" i="7" s="1"/>
  <c r="G21" i="7"/>
  <c r="J21" i="7" s="1"/>
  <c r="H21" i="7"/>
  <c r="K21" i="7" s="1"/>
  <c r="F22" i="5"/>
  <c r="C23" i="5"/>
  <c r="K23" i="5"/>
  <c r="O22" i="5"/>
  <c r="M22" i="9" l="1"/>
  <c r="Q22" i="9" s="1"/>
  <c r="K22" i="9"/>
  <c r="P22" i="9" s="1"/>
  <c r="I22" i="9"/>
  <c r="O22" i="9" s="1"/>
  <c r="G22" i="9"/>
  <c r="N22" i="9" s="1"/>
  <c r="E23" i="9"/>
  <c r="F23" i="9" s="1"/>
  <c r="M23" i="9" s="1"/>
  <c r="Q23" i="9" s="1"/>
  <c r="D23" i="9"/>
  <c r="F22" i="8"/>
  <c r="N21" i="8"/>
  <c r="E23" i="8"/>
  <c r="F23" i="8" s="1"/>
  <c r="I23" i="8" s="1"/>
  <c r="D23" i="8"/>
  <c r="G22" i="8"/>
  <c r="F22" i="6"/>
  <c r="G22" i="6" s="1"/>
  <c r="J22" i="6" s="1"/>
  <c r="E23" i="6"/>
  <c r="I21" i="6"/>
  <c r="L21" i="6" s="1"/>
  <c r="H21" i="6"/>
  <c r="K21" i="6" s="1"/>
  <c r="D25" i="6"/>
  <c r="G24" i="6"/>
  <c r="J24" i="6" s="1"/>
  <c r="D26" i="7"/>
  <c r="E26" i="7"/>
  <c r="F26" i="7" s="1"/>
  <c r="I23" i="7"/>
  <c r="L23" i="7" s="1"/>
  <c r="H23" i="7"/>
  <c r="K23" i="7" s="1"/>
  <c r="G22" i="7"/>
  <c r="J22" i="7" s="1"/>
  <c r="G23" i="5"/>
  <c r="C24" i="5"/>
  <c r="D24" i="5"/>
  <c r="N24" i="5"/>
  <c r="L24" i="5"/>
  <c r="K24" i="5"/>
  <c r="P23" i="5"/>
  <c r="I22" i="8" l="1"/>
  <c r="M22" i="8"/>
  <c r="Q22" i="8" s="1"/>
  <c r="K22" i="8"/>
  <c r="P22" i="8" s="1"/>
  <c r="K23" i="8"/>
  <c r="P23" i="8" s="1"/>
  <c r="M23" i="8"/>
  <c r="Q23" i="8" s="1"/>
  <c r="I23" i="9"/>
  <c r="O23" i="9" s="1"/>
  <c r="K23" i="9"/>
  <c r="P23" i="9" s="1"/>
  <c r="G23" i="9"/>
  <c r="N23" i="9" s="1"/>
  <c r="E24" i="9"/>
  <c r="F24" i="9" s="1"/>
  <c r="D24" i="9"/>
  <c r="O22" i="8"/>
  <c r="N22" i="8"/>
  <c r="O23" i="8"/>
  <c r="G23" i="8"/>
  <c r="E24" i="8"/>
  <c r="F24" i="8" s="1"/>
  <c r="D24" i="8"/>
  <c r="F23" i="6"/>
  <c r="E24" i="6"/>
  <c r="D26" i="6"/>
  <c r="G25" i="6"/>
  <c r="J25" i="6" s="1"/>
  <c r="H22" i="6"/>
  <c r="K22" i="6" s="1"/>
  <c r="I22" i="6"/>
  <c r="L22" i="6" s="1"/>
  <c r="D27" i="7"/>
  <c r="E27" i="7"/>
  <c r="F27" i="7" s="1"/>
  <c r="I24" i="7"/>
  <c r="L24" i="7" s="1"/>
  <c r="H24" i="7"/>
  <c r="K24" i="7" s="1"/>
  <c r="G23" i="7"/>
  <c r="J23" i="7" s="1"/>
  <c r="G24" i="5"/>
  <c r="F24" i="5"/>
  <c r="C25" i="5"/>
  <c r="D25" i="5"/>
  <c r="N25" i="5"/>
  <c r="L25" i="5"/>
  <c r="K25" i="5"/>
  <c r="P24" i="5"/>
  <c r="O24" i="5"/>
  <c r="K24" i="8" l="1"/>
  <c r="M24" i="8"/>
  <c r="Q24" i="8" s="1"/>
  <c r="I24" i="8"/>
  <c r="O24" i="8" s="1"/>
  <c r="M24" i="9"/>
  <c r="Q24" i="9" s="1"/>
  <c r="K24" i="9"/>
  <c r="P24" i="9" s="1"/>
  <c r="I24" i="9"/>
  <c r="O24" i="9" s="1"/>
  <c r="G24" i="9"/>
  <c r="N24" i="9" s="1"/>
  <c r="E25" i="9"/>
  <c r="F25" i="9" s="1"/>
  <c r="D25" i="9"/>
  <c r="N23" i="8"/>
  <c r="P24" i="8"/>
  <c r="E25" i="8"/>
  <c r="F25" i="8" s="1"/>
  <c r="K25" i="8" s="1"/>
  <c r="D25" i="8"/>
  <c r="G24" i="8"/>
  <c r="G26" i="6"/>
  <c r="J26" i="6" s="1"/>
  <c r="D27" i="6"/>
  <c r="F24" i="6"/>
  <c r="E25" i="6"/>
  <c r="I23" i="6"/>
  <c r="L23" i="6" s="1"/>
  <c r="H23" i="6"/>
  <c r="K23" i="6" s="1"/>
  <c r="E28" i="7"/>
  <c r="F28" i="7" s="1"/>
  <c r="D28" i="7"/>
  <c r="I25" i="7"/>
  <c r="L25" i="7" s="1"/>
  <c r="H25" i="7"/>
  <c r="K25" i="7" s="1"/>
  <c r="G24" i="7"/>
  <c r="J24" i="7" s="1"/>
  <c r="G25" i="5"/>
  <c r="F25" i="5"/>
  <c r="D26" i="5"/>
  <c r="C26" i="5"/>
  <c r="P25" i="5"/>
  <c r="O25" i="5"/>
  <c r="K26" i="5"/>
  <c r="L26" i="5"/>
  <c r="N26" i="5"/>
  <c r="M25" i="8" l="1"/>
  <c r="Q25" i="8" s="1"/>
  <c r="I25" i="8"/>
  <c r="I25" i="9"/>
  <c r="O25" i="9" s="1"/>
  <c r="M25" i="9"/>
  <c r="Q25" i="9" s="1"/>
  <c r="K25" i="9"/>
  <c r="P25" i="9" s="1"/>
  <c r="G25" i="9"/>
  <c r="N25" i="9" s="1"/>
  <c r="E26" i="9"/>
  <c r="F26" i="9" s="1"/>
  <c r="D26" i="9"/>
  <c r="N24" i="8"/>
  <c r="P25" i="8"/>
  <c r="O25" i="8"/>
  <c r="G25" i="8"/>
  <c r="N25" i="8" s="1"/>
  <c r="E26" i="8"/>
  <c r="F26" i="8" s="1"/>
  <c r="D26" i="8"/>
  <c r="F25" i="6"/>
  <c r="E26" i="6"/>
  <c r="D28" i="6"/>
  <c r="G27" i="6"/>
  <c r="J27" i="6" s="1"/>
  <c r="H24" i="6"/>
  <c r="K24" i="6" s="1"/>
  <c r="I24" i="6"/>
  <c r="L24" i="6" s="1"/>
  <c r="D29" i="7"/>
  <c r="E29" i="7"/>
  <c r="F29" i="7" s="1"/>
  <c r="G28" i="7"/>
  <c r="J28" i="7" s="1"/>
  <c r="I26" i="7"/>
  <c r="L26" i="7" s="1"/>
  <c r="H26" i="7"/>
  <c r="K26" i="7" s="1"/>
  <c r="G25" i="7"/>
  <c r="J25" i="7" s="1"/>
  <c r="G26" i="5"/>
  <c r="F26" i="5"/>
  <c r="C27" i="5"/>
  <c r="D27" i="5"/>
  <c r="N27" i="5"/>
  <c r="L27" i="5"/>
  <c r="K27" i="5"/>
  <c r="P26" i="5"/>
  <c r="O26" i="5"/>
  <c r="I26" i="8" l="1"/>
  <c r="O26" i="8" s="1"/>
  <c r="K26" i="8"/>
  <c r="M26" i="8"/>
  <c r="Q26" i="8" s="1"/>
  <c r="K26" i="9"/>
  <c r="P26" i="9" s="1"/>
  <c r="M26" i="9"/>
  <c r="Q26" i="9" s="1"/>
  <c r="I26" i="9"/>
  <c r="O26" i="9" s="1"/>
  <c r="D27" i="9"/>
  <c r="G26" i="9"/>
  <c r="N26" i="9" s="1"/>
  <c r="E27" i="9"/>
  <c r="F27" i="9" s="1"/>
  <c r="P26" i="8"/>
  <c r="E27" i="8"/>
  <c r="D27" i="8"/>
  <c r="G26" i="8"/>
  <c r="N26" i="8" s="1"/>
  <c r="F26" i="6"/>
  <c r="E27" i="6"/>
  <c r="G28" i="6"/>
  <c r="J28" i="6" s="1"/>
  <c r="D29" i="6"/>
  <c r="I25" i="6"/>
  <c r="L25" i="6" s="1"/>
  <c r="H25" i="6"/>
  <c r="K25" i="6" s="1"/>
  <c r="D30" i="7"/>
  <c r="E30" i="7"/>
  <c r="F30" i="7" s="1"/>
  <c r="I29" i="7"/>
  <c r="L29" i="7" s="1"/>
  <c r="H29" i="7"/>
  <c r="K29" i="7" s="1"/>
  <c r="G29" i="7"/>
  <c r="J29" i="7" s="1"/>
  <c r="I27" i="7"/>
  <c r="L27" i="7" s="1"/>
  <c r="H27" i="7"/>
  <c r="K27" i="7" s="1"/>
  <c r="G26" i="7"/>
  <c r="J26" i="7" s="1"/>
  <c r="G27" i="5"/>
  <c r="F27" i="5"/>
  <c r="C28" i="5"/>
  <c r="D28" i="5"/>
  <c r="N28" i="5"/>
  <c r="L28" i="5"/>
  <c r="K28" i="5"/>
  <c r="P27" i="5"/>
  <c r="O27" i="5"/>
  <c r="F27" i="8" l="1"/>
  <c r="I27" i="9"/>
  <c r="O27" i="9" s="1"/>
  <c r="M27" i="9"/>
  <c r="Q27" i="9" s="1"/>
  <c r="K27" i="9"/>
  <c r="P27" i="9" s="1"/>
  <c r="E28" i="9"/>
  <c r="F28" i="9" s="1"/>
  <c r="D28" i="9"/>
  <c r="G27" i="9"/>
  <c r="N27" i="9" s="1"/>
  <c r="G27" i="8"/>
  <c r="N27" i="8" s="1"/>
  <c r="E28" i="8"/>
  <c r="D28" i="8"/>
  <c r="D30" i="6"/>
  <c r="G29" i="6"/>
  <c r="J29" i="6" s="1"/>
  <c r="F27" i="6"/>
  <c r="E28" i="6"/>
  <c r="I26" i="6"/>
  <c r="L26" i="6" s="1"/>
  <c r="H26" i="6"/>
  <c r="K26" i="6" s="1"/>
  <c r="D31" i="7"/>
  <c r="E31" i="7"/>
  <c r="F31" i="7" s="1"/>
  <c r="I31" i="7" s="1"/>
  <c r="L31" i="7" s="1"/>
  <c r="I30" i="7"/>
  <c r="L30" i="7" s="1"/>
  <c r="H30" i="7"/>
  <c r="K30" i="7" s="1"/>
  <c r="G30" i="7"/>
  <c r="J30" i="7" s="1"/>
  <c r="I28" i="7"/>
  <c r="L28" i="7" s="1"/>
  <c r="G27" i="7"/>
  <c r="H28" i="7"/>
  <c r="G28" i="5"/>
  <c r="F28" i="5"/>
  <c r="C29" i="5"/>
  <c r="D29" i="5"/>
  <c r="P28" i="5"/>
  <c r="O28" i="5"/>
  <c r="N29" i="5"/>
  <c r="L29" i="5"/>
  <c r="K29" i="5"/>
  <c r="F28" i="8" l="1"/>
  <c r="M27" i="8"/>
  <c r="Q27" i="8" s="1"/>
  <c r="K27" i="8"/>
  <c r="P27" i="8" s="1"/>
  <c r="I27" i="8"/>
  <c r="O27" i="8" s="1"/>
  <c r="M28" i="9"/>
  <c r="Q28" i="9" s="1"/>
  <c r="K28" i="9"/>
  <c r="P28" i="9" s="1"/>
  <c r="I28" i="9"/>
  <c r="O28" i="9" s="1"/>
  <c r="E29" i="9"/>
  <c r="F29" i="9" s="1"/>
  <c r="D29" i="9"/>
  <c r="G28" i="9"/>
  <c r="N28" i="9" s="1"/>
  <c r="E29" i="8"/>
  <c r="F29" i="8" s="1"/>
  <c r="M29" i="8" s="1"/>
  <c r="Q29" i="8" s="1"/>
  <c r="D29" i="8"/>
  <c r="G28" i="8"/>
  <c r="N28" i="8" s="1"/>
  <c r="H31" i="7"/>
  <c r="K31" i="7" s="1"/>
  <c r="G30" i="6"/>
  <c r="J30" i="6" s="1"/>
  <c r="D31" i="6"/>
  <c r="I27" i="6"/>
  <c r="L27" i="6" s="1"/>
  <c r="H27" i="6"/>
  <c r="K27" i="6" s="1"/>
  <c r="F28" i="6"/>
  <c r="E29" i="6"/>
  <c r="D32" i="7"/>
  <c r="E32" i="7"/>
  <c r="F32" i="7" s="1"/>
  <c r="I32" i="7" s="1"/>
  <c r="G31" i="7"/>
  <c r="J31" i="7" s="1"/>
  <c r="K28" i="7"/>
  <c r="J27" i="7"/>
  <c r="G29" i="5"/>
  <c r="F29" i="5"/>
  <c r="C30" i="5"/>
  <c r="D30" i="5"/>
  <c r="N30" i="5"/>
  <c r="L30" i="5"/>
  <c r="K30" i="5"/>
  <c r="P29" i="5"/>
  <c r="O29" i="5"/>
  <c r="K29" i="8" l="1"/>
  <c r="P29" i="8" s="1"/>
  <c r="I29" i="8"/>
  <c r="I28" i="8"/>
  <c r="O28" i="8" s="1"/>
  <c r="M28" i="8"/>
  <c r="Q28" i="8" s="1"/>
  <c r="K28" i="8"/>
  <c r="P28" i="8" s="1"/>
  <c r="K29" i="9"/>
  <c r="P29" i="9" s="1"/>
  <c r="I29" i="9"/>
  <c r="O29" i="9" s="1"/>
  <c r="M29" i="9"/>
  <c r="Q29" i="9" s="1"/>
  <c r="G29" i="9"/>
  <c r="N29" i="9" s="1"/>
  <c r="E30" i="9"/>
  <c r="F30" i="9" s="1"/>
  <c r="D30" i="9"/>
  <c r="O29" i="8"/>
  <c r="E30" i="8"/>
  <c r="F30" i="8" s="1"/>
  <c r="D30" i="8"/>
  <c r="G29" i="8"/>
  <c r="N29" i="8" s="1"/>
  <c r="H32" i="7"/>
  <c r="K32" i="7" s="1"/>
  <c r="H28" i="6"/>
  <c r="K28" i="6" s="1"/>
  <c r="I28" i="6"/>
  <c r="L28" i="6" s="1"/>
  <c r="D32" i="6"/>
  <c r="G31" i="6"/>
  <c r="J31" i="6" s="1"/>
  <c r="F29" i="6"/>
  <c r="E30" i="6"/>
  <c r="D33" i="7"/>
  <c r="E33" i="7"/>
  <c r="L32" i="7"/>
  <c r="G32" i="7"/>
  <c r="G30" i="5"/>
  <c r="F30" i="5"/>
  <c r="C31" i="5"/>
  <c r="D31" i="5"/>
  <c r="L31" i="5"/>
  <c r="K31" i="5"/>
  <c r="P30" i="5"/>
  <c r="O30" i="5"/>
  <c r="N31" i="5"/>
  <c r="M30" i="8" l="1"/>
  <c r="Q30" i="8" s="1"/>
  <c r="K30" i="8"/>
  <c r="I30" i="8"/>
  <c r="F31" i="8"/>
  <c r="M31" i="8" s="1"/>
  <c r="Q31" i="8" s="1"/>
  <c r="M30" i="9"/>
  <c r="Q30" i="9" s="1"/>
  <c r="I30" i="9"/>
  <c r="O30" i="9" s="1"/>
  <c r="K30" i="9"/>
  <c r="P30" i="9" s="1"/>
  <c r="G30" i="9"/>
  <c r="N30" i="9" s="1"/>
  <c r="E31" i="9"/>
  <c r="F31" i="9" s="1"/>
  <c r="D31" i="9"/>
  <c r="P30" i="8"/>
  <c r="O30" i="8"/>
  <c r="G30" i="8"/>
  <c r="N30" i="8" s="1"/>
  <c r="E31" i="8"/>
  <c r="D31" i="8"/>
  <c r="F33" i="7"/>
  <c r="H33" i="7" s="1"/>
  <c r="K33" i="7" s="1"/>
  <c r="F30" i="6"/>
  <c r="E31" i="6"/>
  <c r="H29" i="6"/>
  <c r="K29" i="6" s="1"/>
  <c r="I29" i="6"/>
  <c r="L29" i="6" s="1"/>
  <c r="D33" i="6"/>
  <c r="G32" i="6"/>
  <c r="J32" i="6" s="1"/>
  <c r="D34" i="7"/>
  <c r="E34" i="7"/>
  <c r="F34" i="7" s="1"/>
  <c r="I34" i="7" s="1"/>
  <c r="L34" i="7" s="1"/>
  <c r="G33" i="7"/>
  <c r="J33" i="7" s="1"/>
  <c r="J32" i="7"/>
  <c r="F31" i="5"/>
  <c r="G31" i="5"/>
  <c r="D32" i="5"/>
  <c r="C32" i="5"/>
  <c r="N32" i="5"/>
  <c r="L32" i="5"/>
  <c r="K32" i="5"/>
  <c r="P31" i="5"/>
  <c r="O31" i="5"/>
  <c r="K31" i="8" l="1"/>
  <c r="I31" i="8"/>
  <c r="I33" i="7"/>
  <c r="L33" i="7" s="1"/>
  <c r="I31" i="9"/>
  <c r="O31" i="9" s="1"/>
  <c r="M31" i="9"/>
  <c r="Q31" i="9" s="1"/>
  <c r="K31" i="9"/>
  <c r="P31" i="9" s="1"/>
  <c r="G31" i="9"/>
  <c r="N31" i="9" s="1"/>
  <c r="E32" i="9"/>
  <c r="F32" i="9" s="1"/>
  <c r="D32" i="9"/>
  <c r="P31" i="8"/>
  <c r="O31" i="8"/>
  <c r="E32" i="8"/>
  <c r="D32" i="8"/>
  <c r="G31" i="8"/>
  <c r="N31" i="8" s="1"/>
  <c r="D34" i="6"/>
  <c r="G33" i="6"/>
  <c r="J33" i="6" s="1"/>
  <c r="F31" i="6"/>
  <c r="E32" i="6"/>
  <c r="H30" i="6"/>
  <c r="K30" i="6" s="1"/>
  <c r="I30" i="6"/>
  <c r="L30" i="6" s="1"/>
  <c r="D35" i="7"/>
  <c r="E35" i="7"/>
  <c r="F35" i="7" s="1"/>
  <c r="H34" i="7"/>
  <c r="G34" i="7"/>
  <c r="F32" i="5"/>
  <c r="G32" i="5"/>
  <c r="C33" i="5"/>
  <c r="D33" i="5"/>
  <c r="N33" i="5"/>
  <c r="L33" i="5"/>
  <c r="K33" i="5"/>
  <c r="P32" i="5"/>
  <c r="O32" i="5"/>
  <c r="F32" i="8" l="1"/>
  <c r="I32" i="9"/>
  <c r="O32" i="9" s="1"/>
  <c r="M32" i="9"/>
  <c r="Q32" i="9" s="1"/>
  <c r="K32" i="9"/>
  <c r="P32" i="9" s="1"/>
  <c r="G32" i="9"/>
  <c r="N32" i="9" s="1"/>
  <c r="E33" i="9"/>
  <c r="F33" i="9" s="1"/>
  <c r="D33" i="9"/>
  <c r="G32" i="8"/>
  <c r="N32" i="8" s="1"/>
  <c r="D33" i="8"/>
  <c r="E33" i="8"/>
  <c r="F32" i="6"/>
  <c r="E33" i="6"/>
  <c r="I31" i="6"/>
  <c r="L31" i="6" s="1"/>
  <c r="H31" i="6"/>
  <c r="K31" i="6" s="1"/>
  <c r="D35" i="6"/>
  <c r="G34" i="6"/>
  <c r="J34" i="6" s="1"/>
  <c r="D36" i="7"/>
  <c r="E36" i="7"/>
  <c r="F36" i="7" s="1"/>
  <c r="I35" i="7"/>
  <c r="H35" i="7"/>
  <c r="K35" i="7" s="1"/>
  <c r="J34" i="7"/>
  <c r="G35" i="7"/>
  <c r="J35" i="7" s="1"/>
  <c r="K34" i="7"/>
  <c r="F33" i="5"/>
  <c r="G33" i="5"/>
  <c r="C34" i="5"/>
  <c r="D34" i="5"/>
  <c r="P33" i="5"/>
  <c r="O33" i="5"/>
  <c r="L34" i="5"/>
  <c r="K34" i="5"/>
  <c r="N34" i="5"/>
  <c r="M32" i="8" l="1"/>
  <c r="Q32" i="8" s="1"/>
  <c r="K32" i="8"/>
  <c r="P32" i="8" s="1"/>
  <c r="I32" i="8"/>
  <c r="O32" i="8" s="1"/>
  <c r="F33" i="8"/>
  <c r="K33" i="9"/>
  <c r="P33" i="9" s="1"/>
  <c r="I33" i="9"/>
  <c r="O33" i="9" s="1"/>
  <c r="M33" i="9"/>
  <c r="Q33" i="9" s="1"/>
  <c r="G33" i="9"/>
  <c r="N33" i="9" s="1"/>
  <c r="E34" i="9"/>
  <c r="F34" i="9" s="1"/>
  <c r="D34" i="9"/>
  <c r="E34" i="8"/>
  <c r="D34" i="8"/>
  <c r="G33" i="8"/>
  <c r="N33" i="8" s="1"/>
  <c r="G35" i="6"/>
  <c r="J35" i="6" s="1"/>
  <c r="D36" i="6"/>
  <c r="F33" i="6"/>
  <c r="E34" i="6"/>
  <c r="I32" i="6"/>
  <c r="L32" i="6" s="1"/>
  <c r="H32" i="6"/>
  <c r="K32" i="6" s="1"/>
  <c r="D37" i="7"/>
  <c r="E37" i="7"/>
  <c r="F37" i="7" s="1"/>
  <c r="I36" i="7"/>
  <c r="L36" i="7" s="1"/>
  <c r="H36" i="7"/>
  <c r="G36" i="7"/>
  <c r="J36" i="7" s="1"/>
  <c r="L35" i="7"/>
  <c r="F34" i="5"/>
  <c r="G34" i="5"/>
  <c r="D35" i="5"/>
  <c r="C35" i="5"/>
  <c r="N35" i="5"/>
  <c r="L35" i="5"/>
  <c r="K35" i="5"/>
  <c r="P34" i="5"/>
  <c r="O34" i="5"/>
  <c r="M33" i="8" l="1"/>
  <c r="Q33" i="8" s="1"/>
  <c r="K33" i="8"/>
  <c r="P33" i="8" s="1"/>
  <c r="I33" i="8"/>
  <c r="O33" i="8" s="1"/>
  <c r="F34" i="8"/>
  <c r="K34" i="9"/>
  <c r="P34" i="9" s="1"/>
  <c r="I34" i="9"/>
  <c r="O34" i="9" s="1"/>
  <c r="M34" i="9"/>
  <c r="Q34" i="9" s="1"/>
  <c r="D35" i="9"/>
  <c r="G34" i="9"/>
  <c r="N34" i="9" s="1"/>
  <c r="E35" i="9"/>
  <c r="F35" i="9" s="1"/>
  <c r="G34" i="8"/>
  <c r="N34" i="8" s="1"/>
  <c r="D35" i="8"/>
  <c r="E35" i="8"/>
  <c r="I33" i="6"/>
  <c r="L33" i="6" s="1"/>
  <c r="H33" i="6"/>
  <c r="K33" i="6" s="1"/>
  <c r="F34" i="6"/>
  <c r="E35" i="6"/>
  <c r="D37" i="6"/>
  <c r="G36" i="6"/>
  <c r="J36" i="6" s="1"/>
  <c r="I37" i="7"/>
  <c r="H37" i="7"/>
  <c r="K37" i="7" s="1"/>
  <c r="D38" i="7"/>
  <c r="E38" i="7"/>
  <c r="F38" i="7" s="1"/>
  <c r="I38" i="7" s="1"/>
  <c r="L37" i="7"/>
  <c r="K36" i="7"/>
  <c r="G37" i="7"/>
  <c r="J37" i="7" s="1"/>
  <c r="F35" i="5"/>
  <c r="G35" i="5"/>
  <c r="C36" i="5"/>
  <c r="D36" i="5"/>
  <c r="N36" i="5"/>
  <c r="L36" i="5"/>
  <c r="K36" i="5"/>
  <c r="P35" i="5"/>
  <c r="O35" i="5"/>
  <c r="M34" i="8" l="1"/>
  <c r="Q34" i="8" s="1"/>
  <c r="K34" i="8"/>
  <c r="P34" i="8" s="1"/>
  <c r="I34" i="8"/>
  <c r="O34" i="8" s="1"/>
  <c r="F35" i="8"/>
  <c r="I35" i="9"/>
  <c r="O35" i="9" s="1"/>
  <c r="M35" i="9"/>
  <c r="Q35" i="9" s="1"/>
  <c r="K35" i="9"/>
  <c r="P35" i="9" s="1"/>
  <c r="E36" i="9"/>
  <c r="F36" i="9" s="1"/>
  <c r="D36" i="9"/>
  <c r="G35" i="9"/>
  <c r="N35" i="9" s="1"/>
  <c r="E36" i="8"/>
  <c r="F36" i="8" s="1"/>
  <c r="D36" i="8"/>
  <c r="G35" i="8"/>
  <c r="N35" i="8" s="1"/>
  <c r="G37" i="6"/>
  <c r="J37" i="6" s="1"/>
  <c r="D38" i="6"/>
  <c r="H34" i="6"/>
  <c r="K34" i="6" s="1"/>
  <c r="I34" i="6"/>
  <c r="L34" i="6" s="1"/>
  <c r="F35" i="6"/>
  <c r="E36" i="6"/>
  <c r="H38" i="7"/>
  <c r="K38" i="7" s="1"/>
  <c r="D39" i="7"/>
  <c r="E39" i="7"/>
  <c r="F39" i="7" s="1"/>
  <c r="I39" i="7" s="1"/>
  <c r="L39" i="7" s="1"/>
  <c r="L38" i="7"/>
  <c r="G38" i="7"/>
  <c r="J38" i="7" s="1"/>
  <c r="F36" i="5"/>
  <c r="G36" i="5"/>
  <c r="C37" i="5"/>
  <c r="D37" i="5"/>
  <c r="O36" i="5"/>
  <c r="P36" i="5"/>
  <c r="N37" i="5"/>
  <c r="L37" i="5"/>
  <c r="K37" i="5"/>
  <c r="M36" i="8" l="1"/>
  <c r="Q36" i="8" s="1"/>
  <c r="K36" i="8"/>
  <c r="I36" i="8"/>
  <c r="M35" i="8"/>
  <c r="Q35" i="8" s="1"/>
  <c r="K35" i="8"/>
  <c r="P35" i="8" s="1"/>
  <c r="I35" i="8"/>
  <c r="O35" i="8" s="1"/>
  <c r="F37" i="8"/>
  <c r="M37" i="8" s="1"/>
  <c r="Q37" i="8" s="1"/>
  <c r="K37" i="8"/>
  <c r="I37" i="8"/>
  <c r="K36" i="9"/>
  <c r="P36" i="9" s="1"/>
  <c r="M36" i="9"/>
  <c r="Q36" i="9" s="1"/>
  <c r="I36" i="9"/>
  <c r="O36" i="9" s="1"/>
  <c r="F37" i="9"/>
  <c r="I37" i="9" s="1"/>
  <c r="O37" i="9" s="1"/>
  <c r="E37" i="9"/>
  <c r="D37" i="9"/>
  <c r="G36" i="9"/>
  <c r="N36" i="9" s="1"/>
  <c r="P36" i="8"/>
  <c r="O36" i="8"/>
  <c r="E37" i="8"/>
  <c r="D37" i="8"/>
  <c r="G36" i="8"/>
  <c r="N36" i="8" s="1"/>
  <c r="F36" i="6"/>
  <c r="E37" i="6"/>
  <c r="D39" i="6"/>
  <c r="G38" i="6"/>
  <c r="J38" i="6" s="1"/>
  <c r="I35" i="6"/>
  <c r="L35" i="6" s="1"/>
  <c r="H35" i="6"/>
  <c r="K35" i="6" s="1"/>
  <c r="H39" i="7"/>
  <c r="K39" i="7" s="1"/>
  <c r="D40" i="7"/>
  <c r="E40" i="7"/>
  <c r="F40" i="7" s="1"/>
  <c r="G39" i="7"/>
  <c r="J39" i="7" s="1"/>
  <c r="G37" i="5"/>
  <c r="F37" i="5"/>
  <c r="D38" i="5"/>
  <c r="C38" i="5"/>
  <c r="N38" i="5"/>
  <c r="L38" i="5"/>
  <c r="K38" i="5"/>
  <c r="P37" i="5"/>
  <c r="O37" i="5"/>
  <c r="K37" i="9" l="1"/>
  <c r="P37" i="9" s="1"/>
  <c r="M37" i="9"/>
  <c r="Q37" i="9" s="1"/>
  <c r="G37" i="9"/>
  <c r="N37" i="9" s="1"/>
  <c r="E38" i="9"/>
  <c r="F38" i="9" s="1"/>
  <c r="D38" i="9"/>
  <c r="P37" i="8"/>
  <c r="O37" i="8"/>
  <c r="D38" i="8"/>
  <c r="G37" i="8"/>
  <c r="N37" i="8" s="1"/>
  <c r="E38" i="8"/>
  <c r="F38" i="8" s="1"/>
  <c r="G39" i="6"/>
  <c r="J39" i="6" s="1"/>
  <c r="D40" i="6"/>
  <c r="F37" i="6"/>
  <c r="E38" i="6"/>
  <c r="H36" i="6"/>
  <c r="K36" i="6" s="1"/>
  <c r="I36" i="6"/>
  <c r="L36" i="6" s="1"/>
  <c r="I40" i="7"/>
  <c r="L40" i="7" s="1"/>
  <c r="H40" i="7"/>
  <c r="K40" i="7" s="1"/>
  <c r="E41" i="7"/>
  <c r="F41" i="7" s="1"/>
  <c r="D41" i="7"/>
  <c r="G40" i="7"/>
  <c r="J40" i="7" s="1"/>
  <c r="G38" i="5"/>
  <c r="F38" i="5"/>
  <c r="C39" i="5"/>
  <c r="D39" i="5"/>
  <c r="L39" i="5"/>
  <c r="K39" i="5"/>
  <c r="P38" i="5"/>
  <c r="O38" i="5"/>
  <c r="N39" i="5"/>
  <c r="I38" i="8" l="1"/>
  <c r="M38" i="8"/>
  <c r="Q38" i="8" s="1"/>
  <c r="K38" i="8"/>
  <c r="F39" i="8"/>
  <c r="I39" i="8" s="1"/>
  <c r="I38" i="9"/>
  <c r="O38" i="9" s="1"/>
  <c r="M38" i="9"/>
  <c r="Q38" i="9" s="1"/>
  <c r="K38" i="9"/>
  <c r="P38" i="9" s="1"/>
  <c r="G38" i="9"/>
  <c r="N38" i="9" s="1"/>
  <c r="E39" i="9"/>
  <c r="F39" i="9" s="1"/>
  <c r="D39" i="9"/>
  <c r="P38" i="8"/>
  <c r="O38" i="8"/>
  <c r="E39" i="8"/>
  <c r="D39" i="8"/>
  <c r="G38" i="8"/>
  <c r="N38" i="8" s="1"/>
  <c r="H37" i="6"/>
  <c r="K37" i="6" s="1"/>
  <c r="I37" i="6"/>
  <c r="L37" i="6" s="1"/>
  <c r="D41" i="6"/>
  <c r="G40" i="6"/>
  <c r="J40" i="6" s="1"/>
  <c r="F38" i="6"/>
  <c r="E39" i="6"/>
  <c r="I41" i="7"/>
  <c r="L41" i="7" s="1"/>
  <c r="H41" i="7"/>
  <c r="K41" i="7" s="1"/>
  <c r="E42" i="7"/>
  <c r="F42" i="7" s="1"/>
  <c r="H42" i="7" s="1"/>
  <c r="K42" i="7" s="1"/>
  <c r="D42" i="7"/>
  <c r="G41" i="7"/>
  <c r="J41" i="7" s="1"/>
  <c r="G39" i="5"/>
  <c r="F39" i="5"/>
  <c r="C40" i="5"/>
  <c r="D40" i="5"/>
  <c r="N40" i="5"/>
  <c r="L40" i="5"/>
  <c r="K40" i="5"/>
  <c r="P39" i="5"/>
  <c r="O39" i="5"/>
  <c r="K39" i="8" l="1"/>
  <c r="M39" i="8"/>
  <c r="Q39" i="8" s="1"/>
  <c r="M39" i="9"/>
  <c r="Q39" i="9" s="1"/>
  <c r="I39" i="9"/>
  <c r="O39" i="9" s="1"/>
  <c r="K39" i="9"/>
  <c r="P39" i="9" s="1"/>
  <c r="G39" i="9"/>
  <c r="N39" i="9" s="1"/>
  <c r="E40" i="9"/>
  <c r="F40" i="9" s="1"/>
  <c r="D40" i="9"/>
  <c r="P39" i="8"/>
  <c r="O39" i="8"/>
  <c r="G39" i="8"/>
  <c r="N39" i="8" s="1"/>
  <c r="D40" i="8"/>
  <c r="E40" i="8"/>
  <c r="I42" i="7"/>
  <c r="L42" i="7" s="1"/>
  <c r="F39" i="6"/>
  <c r="E40" i="6"/>
  <c r="D42" i="6"/>
  <c r="G41" i="6"/>
  <c r="J41" i="6" s="1"/>
  <c r="I38" i="6"/>
  <c r="L38" i="6" s="1"/>
  <c r="H38" i="6"/>
  <c r="K38" i="6" s="1"/>
  <c r="E43" i="7"/>
  <c r="F43" i="7" s="1"/>
  <c r="H43" i="7" s="1"/>
  <c r="K43" i="7" s="1"/>
  <c r="D43" i="7"/>
  <c r="G42" i="7"/>
  <c r="J42" i="7" s="1"/>
  <c r="G40" i="5"/>
  <c r="F40" i="5"/>
  <c r="C41" i="5"/>
  <c r="D41" i="5"/>
  <c r="N41" i="5"/>
  <c r="L41" i="5"/>
  <c r="K41" i="5"/>
  <c r="P40" i="5"/>
  <c r="O40" i="5"/>
  <c r="F40" i="8" l="1"/>
  <c r="I40" i="9"/>
  <c r="O40" i="9" s="1"/>
  <c r="M40" i="9"/>
  <c r="Q40" i="9" s="1"/>
  <c r="K40" i="9"/>
  <c r="P40" i="9" s="1"/>
  <c r="G40" i="9"/>
  <c r="N40" i="9" s="1"/>
  <c r="E41" i="9"/>
  <c r="F41" i="9" s="1"/>
  <c r="D41" i="9"/>
  <c r="E41" i="8"/>
  <c r="D41" i="8"/>
  <c r="G40" i="8"/>
  <c r="N40" i="8" s="1"/>
  <c r="G42" i="6"/>
  <c r="J42" i="6" s="1"/>
  <c r="D43" i="6"/>
  <c r="F40" i="6"/>
  <c r="E41" i="6"/>
  <c r="H39" i="6"/>
  <c r="K39" i="6" s="1"/>
  <c r="I39" i="6"/>
  <c r="L39" i="6" s="1"/>
  <c r="D44" i="7"/>
  <c r="E44" i="7"/>
  <c r="F44" i="7" s="1"/>
  <c r="I43" i="7"/>
  <c r="L43" i="7" s="1"/>
  <c r="G43" i="7"/>
  <c r="J43" i="7" s="1"/>
  <c r="G41" i="5"/>
  <c r="F41" i="5"/>
  <c r="C42" i="5"/>
  <c r="D42" i="5"/>
  <c r="P41" i="5"/>
  <c r="L42" i="5"/>
  <c r="O41" i="5"/>
  <c r="K42" i="5"/>
  <c r="N42" i="5"/>
  <c r="K40" i="8" l="1"/>
  <c r="P40" i="8" s="1"/>
  <c r="M40" i="8"/>
  <c r="Q40" i="8" s="1"/>
  <c r="I40" i="8"/>
  <c r="O40" i="8" s="1"/>
  <c r="F41" i="8"/>
  <c r="K41" i="9"/>
  <c r="P41" i="9" s="1"/>
  <c r="I41" i="9"/>
  <c r="O41" i="9" s="1"/>
  <c r="M41" i="9"/>
  <c r="Q41" i="9" s="1"/>
  <c r="D42" i="9"/>
  <c r="G41" i="9"/>
  <c r="N41" i="9" s="1"/>
  <c r="E42" i="9"/>
  <c r="F42" i="9" s="1"/>
  <c r="G41" i="8"/>
  <c r="N41" i="8" s="1"/>
  <c r="E42" i="8"/>
  <c r="F42" i="8" s="1"/>
  <c r="D42" i="8"/>
  <c r="F41" i="6"/>
  <c r="E42" i="6"/>
  <c r="I40" i="6"/>
  <c r="L40" i="6" s="1"/>
  <c r="H40" i="6"/>
  <c r="K40" i="6" s="1"/>
  <c r="D44" i="6"/>
  <c r="G43" i="6"/>
  <c r="J43" i="6" s="1"/>
  <c r="I44" i="7"/>
  <c r="L44" i="7" s="1"/>
  <c r="H44" i="7"/>
  <c r="K44" i="7" s="1"/>
  <c r="D45" i="7"/>
  <c r="E45" i="7"/>
  <c r="F45" i="7" s="1"/>
  <c r="I45" i="7" s="1"/>
  <c r="L45" i="7" s="1"/>
  <c r="G44" i="7"/>
  <c r="J44" i="7" s="1"/>
  <c r="G42" i="5"/>
  <c r="F42" i="5"/>
  <c r="C43" i="5"/>
  <c r="D43" i="5"/>
  <c r="N43" i="5"/>
  <c r="L43" i="5"/>
  <c r="K43" i="5"/>
  <c r="P42" i="5"/>
  <c r="O42" i="5"/>
  <c r="I42" i="8" l="1"/>
  <c r="K42" i="8"/>
  <c r="P42" i="8" s="1"/>
  <c r="M42" i="8"/>
  <c r="Q42" i="8" s="1"/>
  <c r="K41" i="8"/>
  <c r="P41" i="8" s="1"/>
  <c r="M41" i="8"/>
  <c r="Q41" i="8" s="1"/>
  <c r="I41" i="8"/>
  <c r="O41" i="8" s="1"/>
  <c r="M42" i="9"/>
  <c r="Q42" i="9" s="1"/>
  <c r="I42" i="9"/>
  <c r="O42" i="9" s="1"/>
  <c r="K42" i="9"/>
  <c r="P42" i="9" s="1"/>
  <c r="E43" i="9"/>
  <c r="F43" i="9" s="1"/>
  <c r="D43" i="9"/>
  <c r="G42" i="9"/>
  <c r="N42" i="9" s="1"/>
  <c r="E43" i="8"/>
  <c r="F43" i="8" s="1"/>
  <c r="D43" i="8"/>
  <c r="G42" i="8"/>
  <c r="N42" i="8" s="1"/>
  <c r="O42" i="8"/>
  <c r="G44" i="6"/>
  <c r="J44" i="6" s="1"/>
  <c r="D45" i="6"/>
  <c r="F42" i="6"/>
  <c r="E43" i="6"/>
  <c r="H41" i="6"/>
  <c r="K41" i="6" s="1"/>
  <c r="I41" i="6"/>
  <c r="L41" i="6" s="1"/>
  <c r="H45" i="7"/>
  <c r="K45" i="7" s="1"/>
  <c r="D46" i="7"/>
  <c r="E46" i="7"/>
  <c r="F46" i="7" s="1"/>
  <c r="G45" i="7"/>
  <c r="J45" i="7" s="1"/>
  <c r="G43" i="5"/>
  <c r="F43" i="5"/>
  <c r="D44" i="5"/>
  <c r="C44" i="5"/>
  <c r="N44" i="5"/>
  <c r="L44" i="5"/>
  <c r="K44" i="5"/>
  <c r="P43" i="5"/>
  <c r="O43" i="5"/>
  <c r="I43" i="8" l="1"/>
  <c r="M43" i="8"/>
  <c r="Q43" i="8" s="1"/>
  <c r="K43" i="8"/>
  <c r="F44" i="8"/>
  <c r="M44" i="8" s="1"/>
  <c r="Q44" i="8" s="1"/>
  <c r="K44" i="8"/>
  <c r="I44" i="8"/>
  <c r="K43" i="9"/>
  <c r="P43" i="9" s="1"/>
  <c r="M43" i="9"/>
  <c r="Q43" i="9" s="1"/>
  <c r="I43" i="9"/>
  <c r="O43" i="9" s="1"/>
  <c r="G43" i="9"/>
  <c r="N43" i="9" s="1"/>
  <c r="E44" i="9"/>
  <c r="F44" i="9" s="1"/>
  <c r="D44" i="9"/>
  <c r="O43" i="8"/>
  <c r="P43" i="8"/>
  <c r="G43" i="8"/>
  <c r="N43" i="8" s="1"/>
  <c r="E44" i="8"/>
  <c r="D44" i="8"/>
  <c r="D46" i="6"/>
  <c r="G45" i="6"/>
  <c r="J45" i="6" s="1"/>
  <c r="I42" i="6"/>
  <c r="L42" i="6" s="1"/>
  <c r="H42" i="6"/>
  <c r="K42" i="6" s="1"/>
  <c r="F43" i="6"/>
  <c r="E44" i="6"/>
  <c r="D47" i="7"/>
  <c r="E47" i="7"/>
  <c r="F47" i="7" s="1"/>
  <c r="I46" i="7"/>
  <c r="L46" i="7" s="1"/>
  <c r="H46" i="7"/>
  <c r="K46" i="7" s="1"/>
  <c r="G46" i="7"/>
  <c r="J46" i="7" s="1"/>
  <c r="G44" i="5"/>
  <c r="F44" i="5"/>
  <c r="C45" i="5"/>
  <c r="D45" i="5"/>
  <c r="O44" i="5"/>
  <c r="P44" i="5"/>
  <c r="N45" i="5"/>
  <c r="L45" i="5"/>
  <c r="K45" i="5"/>
  <c r="I44" i="9" l="1"/>
  <c r="O44" i="9" s="1"/>
  <c r="M44" i="9"/>
  <c r="Q44" i="9" s="1"/>
  <c r="K44" i="9"/>
  <c r="P44" i="9" s="1"/>
  <c r="G44" i="9"/>
  <c r="N44" i="9" s="1"/>
  <c r="E45" i="9"/>
  <c r="F45" i="9" s="1"/>
  <c r="D45" i="9"/>
  <c r="O44" i="8"/>
  <c r="P44" i="8"/>
  <c r="E45" i="8"/>
  <c r="D45" i="8"/>
  <c r="G44" i="8"/>
  <c r="N44" i="8" s="1"/>
  <c r="G46" i="6"/>
  <c r="J46" i="6" s="1"/>
  <c r="D47" i="6"/>
  <c r="F44" i="6"/>
  <c r="E45" i="6"/>
  <c r="H43" i="6"/>
  <c r="K43" i="6" s="1"/>
  <c r="I43" i="6"/>
  <c r="L43" i="6" s="1"/>
  <c r="D48" i="7"/>
  <c r="E48" i="7"/>
  <c r="F48" i="7" s="1"/>
  <c r="I48" i="7" s="1"/>
  <c r="L48" i="7" s="1"/>
  <c r="I47" i="7"/>
  <c r="L47" i="7" s="1"/>
  <c r="H47" i="7"/>
  <c r="K47" i="7" s="1"/>
  <c r="G47" i="7"/>
  <c r="J47" i="7" s="1"/>
  <c r="G45" i="5"/>
  <c r="F45" i="5"/>
  <c r="D46" i="5"/>
  <c r="C46" i="5"/>
  <c r="N46" i="5"/>
  <c r="L46" i="5"/>
  <c r="K46" i="5"/>
  <c r="P45" i="5"/>
  <c r="O45" i="5"/>
  <c r="F45" i="8" l="1"/>
  <c r="H48" i="7"/>
  <c r="K48" i="7" s="1"/>
  <c r="K45" i="9"/>
  <c r="P45" i="9" s="1"/>
  <c r="I45" i="9"/>
  <c r="O45" i="9" s="1"/>
  <c r="M45" i="9"/>
  <c r="Q45" i="9" s="1"/>
  <c r="E46" i="9"/>
  <c r="F46" i="9" s="1"/>
  <c r="D46" i="9"/>
  <c r="G45" i="9"/>
  <c r="N45" i="9" s="1"/>
  <c r="E46" i="8"/>
  <c r="D46" i="8"/>
  <c r="G45" i="8"/>
  <c r="N45" i="8" s="1"/>
  <c r="F45" i="6"/>
  <c r="E46" i="6"/>
  <c r="D48" i="6"/>
  <c r="G47" i="6"/>
  <c r="J47" i="6" s="1"/>
  <c r="I44" i="6"/>
  <c r="L44" i="6" s="1"/>
  <c r="H44" i="6"/>
  <c r="K44" i="6" s="1"/>
  <c r="D49" i="7"/>
  <c r="E49" i="7"/>
  <c r="G48" i="7"/>
  <c r="J48" i="7" s="1"/>
  <c r="G46" i="5"/>
  <c r="F46" i="5"/>
  <c r="C47" i="5"/>
  <c r="D47" i="5"/>
  <c r="L47" i="5"/>
  <c r="K47" i="5"/>
  <c r="N47" i="5"/>
  <c r="P46" i="5"/>
  <c r="O46" i="5"/>
  <c r="M45" i="8" l="1"/>
  <c r="Q45" i="8" s="1"/>
  <c r="K45" i="8"/>
  <c r="P45" i="8" s="1"/>
  <c r="I45" i="8"/>
  <c r="O45" i="8" s="1"/>
  <c r="F46" i="8"/>
  <c r="K46" i="9"/>
  <c r="P46" i="9" s="1"/>
  <c r="M46" i="9"/>
  <c r="Q46" i="9" s="1"/>
  <c r="I46" i="9"/>
  <c r="O46" i="9" s="1"/>
  <c r="G46" i="9"/>
  <c r="N46" i="9" s="1"/>
  <c r="E47" i="9"/>
  <c r="F47" i="9" s="1"/>
  <c r="D47" i="9"/>
  <c r="G46" i="8"/>
  <c r="N46" i="8" s="1"/>
  <c r="D47" i="8"/>
  <c r="E47" i="8"/>
  <c r="F47" i="8" s="1"/>
  <c r="F49" i="7"/>
  <c r="I49" i="7" s="1"/>
  <c r="L49" i="7" s="1"/>
  <c r="F46" i="6"/>
  <c r="E47" i="6"/>
  <c r="D49" i="6"/>
  <c r="G48" i="6"/>
  <c r="J48" i="6" s="1"/>
  <c r="I45" i="6"/>
  <c r="L45" i="6" s="1"/>
  <c r="H45" i="6"/>
  <c r="K45" i="6" s="1"/>
  <c r="D50" i="7"/>
  <c r="E50" i="7"/>
  <c r="F50" i="7" s="1"/>
  <c r="I50" i="7" s="1"/>
  <c r="L50" i="7" s="1"/>
  <c r="G49" i="7"/>
  <c r="J49" i="7" s="1"/>
  <c r="F47" i="5"/>
  <c r="G47" i="5"/>
  <c r="C48" i="5"/>
  <c r="D48" i="5"/>
  <c r="N48" i="5"/>
  <c r="L48" i="5"/>
  <c r="K48" i="5"/>
  <c r="P47" i="5"/>
  <c r="O47" i="5"/>
  <c r="K47" i="8" l="1"/>
  <c r="P47" i="8" s="1"/>
  <c r="M47" i="8"/>
  <c r="Q47" i="8" s="1"/>
  <c r="I47" i="8"/>
  <c r="M46" i="8"/>
  <c r="Q46" i="8" s="1"/>
  <c r="K46" i="8"/>
  <c r="P46" i="8" s="1"/>
  <c r="I46" i="8"/>
  <c r="O46" i="8" s="1"/>
  <c r="H49" i="7"/>
  <c r="K49" i="7" s="1"/>
  <c r="I47" i="9"/>
  <c r="O47" i="9" s="1"/>
  <c r="M47" i="9"/>
  <c r="Q47" i="9" s="1"/>
  <c r="K47" i="9"/>
  <c r="P47" i="9" s="1"/>
  <c r="G47" i="9"/>
  <c r="N47" i="9" s="1"/>
  <c r="E48" i="9"/>
  <c r="F48" i="9" s="1"/>
  <c r="D48" i="9"/>
  <c r="O47" i="8"/>
  <c r="E48" i="8"/>
  <c r="F48" i="8" s="1"/>
  <c r="D48" i="8"/>
  <c r="G47" i="8"/>
  <c r="N47" i="8" s="1"/>
  <c r="H50" i="7"/>
  <c r="K50" i="7" s="1"/>
  <c r="D50" i="6"/>
  <c r="G49" i="6"/>
  <c r="J49" i="6" s="1"/>
  <c r="F47" i="6"/>
  <c r="E48" i="6"/>
  <c r="H46" i="6"/>
  <c r="K46" i="6" s="1"/>
  <c r="I46" i="6"/>
  <c r="L46" i="6" s="1"/>
  <c r="E51" i="7"/>
  <c r="F51" i="7" s="1"/>
  <c r="D51" i="7"/>
  <c r="G50" i="7"/>
  <c r="J50" i="7" s="1"/>
  <c r="F48" i="5"/>
  <c r="G48" i="5"/>
  <c r="C49" i="5"/>
  <c r="D49" i="5"/>
  <c r="N49" i="5"/>
  <c r="L49" i="5"/>
  <c r="K49" i="5"/>
  <c r="P48" i="5"/>
  <c r="O48" i="5"/>
  <c r="I48" i="8" l="1"/>
  <c r="O48" i="8" s="1"/>
  <c r="M48" i="8"/>
  <c r="Q48" i="8" s="1"/>
  <c r="K48" i="8"/>
  <c r="K48" i="9"/>
  <c r="P48" i="9" s="1"/>
  <c r="I48" i="9"/>
  <c r="O48" i="9" s="1"/>
  <c r="M48" i="9"/>
  <c r="Q48" i="9" s="1"/>
  <c r="G48" i="9"/>
  <c r="N48" i="9" s="1"/>
  <c r="E49" i="9"/>
  <c r="F49" i="9" s="1"/>
  <c r="D49" i="9"/>
  <c r="P48" i="8"/>
  <c r="G48" i="8"/>
  <c r="N48" i="8" s="1"/>
  <c r="E49" i="8"/>
  <c r="F49" i="8" s="1"/>
  <c r="I49" i="8" s="1"/>
  <c r="D49" i="8"/>
  <c r="F48" i="6"/>
  <c r="E49" i="6"/>
  <c r="I47" i="6"/>
  <c r="L47" i="6" s="1"/>
  <c r="H47" i="6"/>
  <c r="K47" i="6" s="1"/>
  <c r="D51" i="6"/>
  <c r="G50" i="6"/>
  <c r="J50" i="6" s="1"/>
  <c r="E52" i="7"/>
  <c r="F52" i="7" s="1"/>
  <c r="D52" i="7"/>
  <c r="I51" i="7"/>
  <c r="L51" i="7" s="1"/>
  <c r="H51" i="7"/>
  <c r="K51" i="7" s="1"/>
  <c r="G51" i="7"/>
  <c r="J51" i="7" s="1"/>
  <c r="F49" i="5"/>
  <c r="G49" i="5"/>
  <c r="C50" i="5"/>
  <c r="D50" i="5"/>
  <c r="P49" i="5"/>
  <c r="O49" i="5"/>
  <c r="L50" i="5"/>
  <c r="K50" i="5"/>
  <c r="N50" i="5"/>
  <c r="K49" i="8" l="1"/>
  <c r="M49" i="8"/>
  <c r="Q49" i="8" s="1"/>
  <c r="I49" i="9"/>
  <c r="O49" i="9" s="1"/>
  <c r="M49" i="9"/>
  <c r="Q49" i="9" s="1"/>
  <c r="K49" i="9"/>
  <c r="P49" i="9" s="1"/>
  <c r="D50" i="9"/>
  <c r="E50" i="9"/>
  <c r="F50" i="9" s="1"/>
  <c r="G49" i="9"/>
  <c r="N49" i="9" s="1"/>
  <c r="O49" i="8"/>
  <c r="P49" i="8"/>
  <c r="E50" i="8"/>
  <c r="D50" i="8"/>
  <c r="G49" i="8"/>
  <c r="N49" i="8" s="1"/>
  <c r="F49" i="6"/>
  <c r="E50" i="6"/>
  <c r="G51" i="6"/>
  <c r="J51" i="6" s="1"/>
  <c r="D52" i="6"/>
  <c r="I48" i="6"/>
  <c r="L48" i="6" s="1"/>
  <c r="H48" i="6"/>
  <c r="K48" i="6" s="1"/>
  <c r="H52" i="7"/>
  <c r="K52" i="7" s="1"/>
  <c r="I52" i="7"/>
  <c r="L52" i="7" s="1"/>
  <c r="E53" i="7"/>
  <c r="F53" i="7" s="1"/>
  <c r="D53" i="7"/>
  <c r="G52" i="7"/>
  <c r="J52" i="7" s="1"/>
  <c r="F50" i="5"/>
  <c r="G50" i="5"/>
  <c r="C51" i="5"/>
  <c r="D51" i="5"/>
  <c r="N51" i="5"/>
  <c r="L51" i="5"/>
  <c r="K51" i="5"/>
  <c r="P50" i="5"/>
  <c r="O50" i="5"/>
  <c r="F50" i="8" l="1"/>
  <c r="M50" i="9"/>
  <c r="Q50" i="9" s="1"/>
  <c r="K50" i="9"/>
  <c r="P50" i="9" s="1"/>
  <c r="I50" i="9"/>
  <c r="O50" i="9" s="1"/>
  <c r="E51" i="9"/>
  <c r="F51" i="9" s="1"/>
  <c r="D51" i="9"/>
  <c r="G50" i="9"/>
  <c r="N50" i="9" s="1"/>
  <c r="G50" i="8"/>
  <c r="N50" i="8" s="1"/>
  <c r="D51" i="8"/>
  <c r="E51" i="8"/>
  <c r="F51" i="8" s="1"/>
  <c r="F50" i="6"/>
  <c r="E51" i="6"/>
  <c r="D53" i="6"/>
  <c r="G52" i="6"/>
  <c r="J52" i="6" s="1"/>
  <c r="H49" i="6"/>
  <c r="K49" i="6" s="1"/>
  <c r="I49" i="6"/>
  <c r="L49" i="6" s="1"/>
  <c r="I53" i="7"/>
  <c r="L53" i="7" s="1"/>
  <c r="H53" i="7"/>
  <c r="K53" i="7" s="1"/>
  <c r="E54" i="7"/>
  <c r="D54" i="7"/>
  <c r="G53" i="7"/>
  <c r="J53" i="7" s="1"/>
  <c r="F51" i="5"/>
  <c r="G51" i="5"/>
  <c r="C52" i="5"/>
  <c r="D52" i="5"/>
  <c r="N52" i="5"/>
  <c r="L52" i="5"/>
  <c r="K52" i="5"/>
  <c r="P51" i="5"/>
  <c r="O51" i="5"/>
  <c r="M51" i="8" l="1"/>
  <c r="Q51" i="8" s="1"/>
  <c r="K51" i="8"/>
  <c r="I51" i="8"/>
  <c r="O51" i="8" s="1"/>
  <c r="M50" i="8"/>
  <c r="Q50" i="8" s="1"/>
  <c r="K50" i="8"/>
  <c r="P50" i="8" s="1"/>
  <c r="I50" i="8"/>
  <c r="O50" i="8" s="1"/>
  <c r="I51" i="9"/>
  <c r="O51" i="9" s="1"/>
  <c r="M51" i="9"/>
  <c r="Q51" i="9" s="1"/>
  <c r="K51" i="9"/>
  <c r="P51" i="9" s="1"/>
  <c r="G51" i="9"/>
  <c r="N51" i="9" s="1"/>
  <c r="D52" i="9"/>
  <c r="E52" i="9"/>
  <c r="F52" i="9" s="1"/>
  <c r="P51" i="8"/>
  <c r="E52" i="8"/>
  <c r="D52" i="8"/>
  <c r="G51" i="8"/>
  <c r="N51" i="8" s="1"/>
  <c r="F54" i="7"/>
  <c r="I54" i="7" s="1"/>
  <c r="L54" i="7" s="1"/>
  <c r="G53" i="6"/>
  <c r="J53" i="6" s="1"/>
  <c r="D54" i="6"/>
  <c r="F51" i="6"/>
  <c r="E52" i="6"/>
  <c r="H50" i="6"/>
  <c r="K50" i="6" s="1"/>
  <c r="I50" i="6"/>
  <c r="L50" i="6" s="1"/>
  <c r="E55" i="7"/>
  <c r="F55" i="7" s="1"/>
  <c r="H55" i="7" s="1"/>
  <c r="K55" i="7" s="1"/>
  <c r="D55" i="7"/>
  <c r="G54" i="7"/>
  <c r="J54" i="7" s="1"/>
  <c r="F52" i="5"/>
  <c r="G52" i="5"/>
  <c r="C53" i="5"/>
  <c r="D53" i="5"/>
  <c r="P52" i="5"/>
  <c r="O52" i="5"/>
  <c r="N53" i="5"/>
  <c r="L53" i="5"/>
  <c r="K53" i="5"/>
  <c r="F52" i="8" l="1"/>
  <c r="I52" i="9"/>
  <c r="O52" i="9" s="1"/>
  <c r="M52" i="9"/>
  <c r="Q52" i="9" s="1"/>
  <c r="K52" i="9"/>
  <c r="P52" i="9" s="1"/>
  <c r="G52" i="9"/>
  <c r="N52" i="9" s="1"/>
  <c r="E53" i="9"/>
  <c r="F53" i="9" s="1"/>
  <c r="D53" i="9"/>
  <c r="E53" i="8"/>
  <c r="D53" i="8"/>
  <c r="G52" i="8"/>
  <c r="N52" i="8" s="1"/>
  <c r="H54" i="7"/>
  <c r="K54" i="7" s="1"/>
  <c r="F52" i="6"/>
  <c r="E53" i="6"/>
  <c r="D55" i="6"/>
  <c r="G54" i="6"/>
  <c r="J54" i="6" s="1"/>
  <c r="H51" i="6"/>
  <c r="K51" i="6" s="1"/>
  <c r="I51" i="6"/>
  <c r="L51" i="6" s="1"/>
  <c r="I55" i="7"/>
  <c r="L55" i="7" s="1"/>
  <c r="D56" i="7"/>
  <c r="E56" i="7"/>
  <c r="F56" i="7" s="1"/>
  <c r="G55" i="7"/>
  <c r="J55" i="7" s="1"/>
  <c r="G53" i="5"/>
  <c r="F53" i="5"/>
  <c r="D54" i="5"/>
  <c r="C54" i="5"/>
  <c r="N54" i="5"/>
  <c r="L54" i="5"/>
  <c r="K54" i="5"/>
  <c r="P53" i="5"/>
  <c r="O53" i="5"/>
  <c r="M52" i="8" l="1"/>
  <c r="Q52" i="8" s="1"/>
  <c r="K52" i="8"/>
  <c r="P52" i="8" s="1"/>
  <c r="I52" i="8"/>
  <c r="O52" i="8" s="1"/>
  <c r="F53" i="8"/>
  <c r="I53" i="9"/>
  <c r="O53" i="9" s="1"/>
  <c r="K53" i="9"/>
  <c r="P53" i="9" s="1"/>
  <c r="M53" i="9"/>
  <c r="Q53" i="9" s="1"/>
  <c r="E54" i="9"/>
  <c r="F54" i="9" s="1"/>
  <c r="D54" i="9"/>
  <c r="G53" i="9"/>
  <c r="N53" i="9" s="1"/>
  <c r="D54" i="8"/>
  <c r="G53" i="8"/>
  <c r="N53" i="8" s="1"/>
  <c r="E54" i="8"/>
  <c r="G55" i="6"/>
  <c r="J55" i="6" s="1"/>
  <c r="D56" i="6"/>
  <c r="F53" i="6"/>
  <c r="E54" i="6"/>
  <c r="I52" i="6"/>
  <c r="L52" i="6" s="1"/>
  <c r="H52" i="6"/>
  <c r="K52" i="6" s="1"/>
  <c r="E57" i="7"/>
  <c r="F57" i="7" s="1"/>
  <c r="H57" i="7" s="1"/>
  <c r="K57" i="7" s="1"/>
  <c r="D57" i="7"/>
  <c r="H56" i="7"/>
  <c r="K56" i="7" s="1"/>
  <c r="I56" i="7"/>
  <c r="L56" i="7" s="1"/>
  <c r="G56" i="7"/>
  <c r="J56" i="7" s="1"/>
  <c r="G54" i="5"/>
  <c r="F54" i="5"/>
  <c r="D55" i="5"/>
  <c r="C55" i="5"/>
  <c r="L55" i="5"/>
  <c r="N55" i="5"/>
  <c r="K55" i="5"/>
  <c r="P54" i="5"/>
  <c r="O54" i="5"/>
  <c r="M53" i="8" l="1"/>
  <c r="Q53" i="8" s="1"/>
  <c r="K53" i="8"/>
  <c r="P53" i="8" s="1"/>
  <c r="I53" i="8"/>
  <c r="O53" i="8" s="1"/>
  <c r="F54" i="8"/>
  <c r="I54" i="9"/>
  <c r="O54" i="9" s="1"/>
  <c r="M54" i="9"/>
  <c r="Q54" i="9" s="1"/>
  <c r="K54" i="9"/>
  <c r="P54" i="9" s="1"/>
  <c r="G54" i="9"/>
  <c r="N54" i="9" s="1"/>
  <c r="E55" i="9"/>
  <c r="F55" i="9" s="1"/>
  <c r="D55" i="9"/>
  <c r="E55" i="8"/>
  <c r="F55" i="8" s="1"/>
  <c r="D55" i="8"/>
  <c r="G54" i="8"/>
  <c r="N54" i="8" s="1"/>
  <c r="H53" i="6"/>
  <c r="K53" i="6" s="1"/>
  <c r="I53" i="6"/>
  <c r="L53" i="6" s="1"/>
  <c r="D57" i="6"/>
  <c r="G56" i="6"/>
  <c r="J56" i="6" s="1"/>
  <c r="F54" i="6"/>
  <c r="E55" i="6"/>
  <c r="I57" i="7"/>
  <c r="L57" i="7" s="1"/>
  <c r="E58" i="7"/>
  <c r="F58" i="7" s="1"/>
  <c r="I58" i="7" s="1"/>
  <c r="L58" i="7" s="1"/>
  <c r="D58" i="7"/>
  <c r="G57" i="7"/>
  <c r="J57" i="7" s="1"/>
  <c r="G55" i="5"/>
  <c r="F55" i="5"/>
  <c r="C56" i="5"/>
  <c r="D56" i="5"/>
  <c r="N56" i="5"/>
  <c r="L56" i="5"/>
  <c r="K56" i="5"/>
  <c r="P55" i="5"/>
  <c r="O55" i="5"/>
  <c r="M55" i="8" l="1"/>
  <c r="Q55" i="8" s="1"/>
  <c r="K55" i="8"/>
  <c r="I55" i="8"/>
  <c r="O55" i="8" s="1"/>
  <c r="I54" i="8"/>
  <c r="O54" i="8" s="1"/>
  <c r="M54" i="8"/>
  <c r="Q54" i="8" s="1"/>
  <c r="K54" i="8"/>
  <c r="P54" i="8" s="1"/>
  <c r="F56" i="8"/>
  <c r="K56" i="8" s="1"/>
  <c r="M56" i="8"/>
  <c r="Q56" i="8" s="1"/>
  <c r="I56" i="8"/>
  <c r="I55" i="9"/>
  <c r="O55" i="9" s="1"/>
  <c r="M55" i="9"/>
  <c r="Q55" i="9" s="1"/>
  <c r="K55" i="9"/>
  <c r="P55" i="9" s="1"/>
  <c r="G55" i="9"/>
  <c r="N55" i="9" s="1"/>
  <c r="E56" i="9"/>
  <c r="F56" i="9" s="1"/>
  <c r="D56" i="9"/>
  <c r="P55" i="8"/>
  <c r="G55" i="8"/>
  <c r="N55" i="8" s="1"/>
  <c r="E56" i="8"/>
  <c r="D56" i="8"/>
  <c r="D58" i="6"/>
  <c r="G57" i="6"/>
  <c r="J57" i="6" s="1"/>
  <c r="I54" i="6"/>
  <c r="L54" i="6" s="1"/>
  <c r="H54" i="6"/>
  <c r="K54" i="6" s="1"/>
  <c r="F55" i="6"/>
  <c r="E56" i="6"/>
  <c r="D59" i="7"/>
  <c r="E59" i="7"/>
  <c r="F59" i="7" s="1"/>
  <c r="H59" i="7" s="1"/>
  <c r="K59" i="7" s="1"/>
  <c r="H58" i="7"/>
  <c r="K58" i="7" s="1"/>
  <c r="G58" i="7"/>
  <c r="J58" i="7" s="1"/>
  <c r="G56" i="5"/>
  <c r="F56" i="5"/>
  <c r="C57" i="5"/>
  <c r="D57" i="5"/>
  <c r="N57" i="5"/>
  <c r="L57" i="5"/>
  <c r="K57" i="5"/>
  <c r="P56" i="5"/>
  <c r="O56" i="5"/>
  <c r="K56" i="9" l="1"/>
  <c r="P56" i="9" s="1"/>
  <c r="I56" i="9"/>
  <c r="O56" i="9" s="1"/>
  <c r="M56" i="9"/>
  <c r="Q56" i="9" s="1"/>
  <c r="G56" i="9"/>
  <c r="N56" i="9" s="1"/>
  <c r="E57" i="9"/>
  <c r="F57" i="9" s="1"/>
  <c r="D57" i="9"/>
  <c r="O56" i="8"/>
  <c r="P56" i="8"/>
  <c r="E57" i="8"/>
  <c r="D57" i="8"/>
  <c r="G56" i="8"/>
  <c r="N56" i="8" s="1"/>
  <c r="I55" i="6"/>
  <c r="L55" i="6" s="1"/>
  <c r="H55" i="6"/>
  <c r="K55" i="6" s="1"/>
  <c r="F56" i="6"/>
  <c r="E57" i="6"/>
  <c r="G58" i="6"/>
  <c r="J58" i="6" s="1"/>
  <c r="D59" i="6"/>
  <c r="E60" i="7"/>
  <c r="F60" i="7" s="1"/>
  <c r="I60" i="7" s="1"/>
  <c r="L60" i="7" s="1"/>
  <c r="D60" i="7"/>
  <c r="G59" i="7"/>
  <c r="J59" i="7" s="1"/>
  <c r="I59" i="7"/>
  <c r="L59" i="7" s="1"/>
  <c r="G57" i="5"/>
  <c r="F57" i="5"/>
  <c r="D58" i="5"/>
  <c r="C58" i="5"/>
  <c r="P57" i="5"/>
  <c r="O57" i="5"/>
  <c r="L58" i="5"/>
  <c r="K58" i="5"/>
  <c r="N58" i="5"/>
  <c r="F57" i="8" l="1"/>
  <c r="K57" i="9"/>
  <c r="P57" i="9" s="1"/>
  <c r="M57" i="9"/>
  <c r="Q57" i="9" s="1"/>
  <c r="I57" i="9"/>
  <c r="O57" i="9" s="1"/>
  <c r="D58" i="9"/>
  <c r="G57" i="9"/>
  <c r="N57" i="9" s="1"/>
  <c r="E58" i="9"/>
  <c r="F58" i="9" s="1"/>
  <c r="G57" i="8"/>
  <c r="N57" i="8" s="1"/>
  <c r="E58" i="8"/>
  <c r="D58" i="8"/>
  <c r="H60" i="7"/>
  <c r="K60" i="7" s="1"/>
  <c r="I56" i="6"/>
  <c r="L56" i="6" s="1"/>
  <c r="H56" i="6"/>
  <c r="K56" i="6" s="1"/>
  <c r="D60" i="6"/>
  <c r="G59" i="6"/>
  <c r="J59" i="6" s="1"/>
  <c r="F57" i="6"/>
  <c r="E58" i="6"/>
  <c r="D61" i="7"/>
  <c r="E61" i="7"/>
  <c r="F61" i="7" s="1"/>
  <c r="G60" i="7"/>
  <c r="J60" i="7" s="1"/>
  <c r="G58" i="5"/>
  <c r="F58" i="5"/>
  <c r="C59" i="5"/>
  <c r="D59" i="5"/>
  <c r="N59" i="5"/>
  <c r="L59" i="5"/>
  <c r="K59" i="5"/>
  <c r="P58" i="5"/>
  <c r="O58" i="5"/>
  <c r="K57" i="8" l="1"/>
  <c r="P57" i="8" s="1"/>
  <c r="I57" i="8"/>
  <c r="O57" i="8" s="1"/>
  <c r="M57" i="8"/>
  <c r="Q57" i="8" s="1"/>
  <c r="F58" i="8"/>
  <c r="M58" i="9"/>
  <c r="Q58" i="9" s="1"/>
  <c r="I58" i="9"/>
  <c r="O58" i="9" s="1"/>
  <c r="K58" i="9"/>
  <c r="P58" i="9" s="1"/>
  <c r="E59" i="9"/>
  <c r="F59" i="9" s="1"/>
  <c r="D59" i="9"/>
  <c r="G58" i="9"/>
  <c r="N58" i="9" s="1"/>
  <c r="E59" i="8"/>
  <c r="F59" i="8" s="1"/>
  <c r="D59" i="8"/>
  <c r="G58" i="8"/>
  <c r="N58" i="8" s="1"/>
  <c r="F58" i="6"/>
  <c r="E59" i="6"/>
  <c r="G60" i="6"/>
  <c r="J60" i="6" s="1"/>
  <c r="D61" i="6"/>
  <c r="I57" i="6"/>
  <c r="L57" i="6" s="1"/>
  <c r="H57" i="6"/>
  <c r="K57" i="6" s="1"/>
  <c r="E62" i="7"/>
  <c r="F62" i="7" s="1"/>
  <c r="D62" i="7"/>
  <c r="H61" i="7"/>
  <c r="K61" i="7" s="1"/>
  <c r="I61" i="7"/>
  <c r="L61" i="7" s="1"/>
  <c r="G61" i="7"/>
  <c r="J61" i="7" s="1"/>
  <c r="G59" i="5"/>
  <c r="F59" i="5"/>
  <c r="D60" i="5"/>
  <c r="C60" i="5"/>
  <c r="N60" i="5"/>
  <c r="L60" i="5"/>
  <c r="K60" i="5"/>
  <c r="P59" i="5"/>
  <c r="O59" i="5"/>
  <c r="I59" i="8" l="1"/>
  <c r="M59" i="8"/>
  <c r="Q59" i="8" s="1"/>
  <c r="K59" i="8"/>
  <c r="K58" i="8"/>
  <c r="P58" i="8" s="1"/>
  <c r="M58" i="8"/>
  <c r="Q58" i="8" s="1"/>
  <c r="I58" i="8"/>
  <c r="O58" i="8" s="1"/>
  <c r="F60" i="8"/>
  <c r="M60" i="8" s="1"/>
  <c r="Q60" i="8" s="1"/>
  <c r="M59" i="9"/>
  <c r="Q59" i="9" s="1"/>
  <c r="I59" i="9"/>
  <c r="O59" i="9" s="1"/>
  <c r="K59" i="9"/>
  <c r="P59" i="9" s="1"/>
  <c r="G59" i="9"/>
  <c r="N59" i="9" s="1"/>
  <c r="E60" i="9"/>
  <c r="F60" i="9" s="1"/>
  <c r="D60" i="9"/>
  <c r="O59" i="8"/>
  <c r="P59" i="8"/>
  <c r="G59" i="8"/>
  <c r="N59" i="8" s="1"/>
  <c r="E60" i="8"/>
  <c r="D60" i="8"/>
  <c r="D62" i="6"/>
  <c r="G61" i="6"/>
  <c r="J61" i="6" s="1"/>
  <c r="F59" i="6"/>
  <c r="E60" i="6"/>
  <c r="I58" i="6"/>
  <c r="L58" i="6" s="1"/>
  <c r="H58" i="6"/>
  <c r="K58" i="6" s="1"/>
  <c r="E63" i="7"/>
  <c r="F63" i="7" s="1"/>
  <c r="D63" i="7"/>
  <c r="H62" i="7"/>
  <c r="K62" i="7" s="1"/>
  <c r="I62" i="7"/>
  <c r="L62" i="7" s="1"/>
  <c r="G62" i="7"/>
  <c r="J62" i="7" s="1"/>
  <c r="G60" i="5"/>
  <c r="F60" i="5"/>
  <c r="D61" i="5"/>
  <c r="C61" i="5"/>
  <c r="P60" i="5"/>
  <c r="O60" i="5"/>
  <c r="N61" i="5"/>
  <c r="L61" i="5"/>
  <c r="K61" i="5"/>
  <c r="I60" i="8" l="1"/>
  <c r="K60" i="8"/>
  <c r="K60" i="9"/>
  <c r="P60" i="9" s="1"/>
  <c r="I60" i="9"/>
  <c r="O60" i="9" s="1"/>
  <c r="M60" i="9"/>
  <c r="Q60" i="9" s="1"/>
  <c r="G60" i="9"/>
  <c r="N60" i="9" s="1"/>
  <c r="E61" i="9"/>
  <c r="F61" i="9" s="1"/>
  <c r="D61" i="9"/>
  <c r="O60" i="8"/>
  <c r="P60" i="8"/>
  <c r="E61" i="8"/>
  <c r="D61" i="8"/>
  <c r="G60" i="8"/>
  <c r="N60" i="8" s="1"/>
  <c r="G62" i="6"/>
  <c r="J62" i="6" s="1"/>
  <c r="D63" i="6"/>
  <c r="I59" i="6"/>
  <c r="L59" i="6" s="1"/>
  <c r="H59" i="6"/>
  <c r="K59" i="6" s="1"/>
  <c r="F60" i="6"/>
  <c r="E61" i="6"/>
  <c r="H63" i="7"/>
  <c r="K63" i="7" s="1"/>
  <c r="I63" i="7"/>
  <c r="L63" i="7" s="1"/>
  <c r="E64" i="7"/>
  <c r="F64" i="7" s="1"/>
  <c r="D64" i="7"/>
  <c r="G63" i="7"/>
  <c r="J63" i="7" s="1"/>
  <c r="G61" i="5"/>
  <c r="F61" i="5"/>
  <c r="C62" i="5"/>
  <c r="D62" i="5"/>
  <c r="N62" i="5"/>
  <c r="L62" i="5"/>
  <c r="K62" i="5"/>
  <c r="P61" i="5"/>
  <c r="O61" i="5"/>
  <c r="F61" i="8" l="1"/>
  <c r="K61" i="9"/>
  <c r="P61" i="9" s="1"/>
  <c r="M61" i="9"/>
  <c r="Q61" i="9" s="1"/>
  <c r="I61" i="9"/>
  <c r="O61" i="9" s="1"/>
  <c r="E62" i="9"/>
  <c r="F62" i="9" s="1"/>
  <c r="D62" i="9"/>
  <c r="G61" i="9"/>
  <c r="N61" i="9" s="1"/>
  <c r="E62" i="8"/>
  <c r="D62" i="8"/>
  <c r="G61" i="8"/>
  <c r="N61" i="8" s="1"/>
  <c r="F61" i="6"/>
  <c r="E62" i="6"/>
  <c r="H60" i="6"/>
  <c r="K60" i="6" s="1"/>
  <c r="I60" i="6"/>
  <c r="L60" i="6" s="1"/>
  <c r="D64" i="6"/>
  <c r="G63" i="6"/>
  <c r="J63" i="6" s="1"/>
  <c r="H64" i="7"/>
  <c r="K64" i="7" s="1"/>
  <c r="I64" i="7"/>
  <c r="L64" i="7" s="1"/>
  <c r="E65" i="7"/>
  <c r="F65" i="7" s="1"/>
  <c r="D65" i="7"/>
  <c r="G64" i="7"/>
  <c r="J64" i="7" s="1"/>
  <c r="G62" i="5"/>
  <c r="F62" i="5"/>
  <c r="C63" i="5"/>
  <c r="D63" i="5"/>
  <c r="L63" i="5"/>
  <c r="K63" i="5"/>
  <c r="P62" i="5"/>
  <c r="N63" i="5"/>
  <c r="O62" i="5"/>
  <c r="M61" i="8" l="1"/>
  <c r="Q61" i="8" s="1"/>
  <c r="K61" i="8"/>
  <c r="P61" i="8" s="1"/>
  <c r="I61" i="8"/>
  <c r="O61" i="8" s="1"/>
  <c r="F62" i="8"/>
  <c r="K62" i="9"/>
  <c r="P62" i="9" s="1"/>
  <c r="I62" i="9"/>
  <c r="O62" i="9" s="1"/>
  <c r="M62" i="9"/>
  <c r="Q62" i="9" s="1"/>
  <c r="G62" i="9"/>
  <c r="N62" i="9" s="1"/>
  <c r="E63" i="9"/>
  <c r="F63" i="9" s="1"/>
  <c r="D63" i="9"/>
  <c r="G62" i="8"/>
  <c r="N62" i="8" s="1"/>
  <c r="D63" i="8"/>
  <c r="E63" i="8"/>
  <c r="D65" i="6"/>
  <c r="G64" i="6"/>
  <c r="J64" i="6" s="1"/>
  <c r="F62" i="6"/>
  <c r="E63" i="6"/>
  <c r="I61" i="6"/>
  <c r="L61" i="6" s="1"/>
  <c r="H61" i="6"/>
  <c r="K61" i="6" s="1"/>
  <c r="I65" i="7"/>
  <c r="L65" i="7" s="1"/>
  <c r="H65" i="7"/>
  <c r="K65" i="7" s="1"/>
  <c r="E66" i="7"/>
  <c r="F66" i="7" s="1"/>
  <c r="D66" i="7"/>
  <c r="G65" i="7"/>
  <c r="J65" i="7" s="1"/>
  <c r="F63" i="5"/>
  <c r="G63" i="5"/>
  <c r="C64" i="5"/>
  <c r="D64" i="5"/>
  <c r="N64" i="5"/>
  <c r="L64" i="5"/>
  <c r="K64" i="5"/>
  <c r="P63" i="5"/>
  <c r="O63" i="5"/>
  <c r="M62" i="8" l="1"/>
  <c r="Q62" i="8" s="1"/>
  <c r="K62" i="8"/>
  <c r="P62" i="8" s="1"/>
  <c r="I62" i="8"/>
  <c r="O62" i="8" s="1"/>
  <c r="F63" i="8"/>
  <c r="K63" i="9"/>
  <c r="P63" i="9" s="1"/>
  <c r="M63" i="9"/>
  <c r="Q63" i="9" s="1"/>
  <c r="I63" i="9"/>
  <c r="O63" i="9" s="1"/>
  <c r="G63" i="9"/>
  <c r="N63" i="9" s="1"/>
  <c r="E64" i="9"/>
  <c r="F64" i="9" s="1"/>
  <c r="D64" i="9"/>
  <c r="E64" i="8"/>
  <c r="F64" i="8" s="1"/>
  <c r="D64" i="8"/>
  <c r="G63" i="8"/>
  <c r="N63" i="8" s="1"/>
  <c r="F63" i="6"/>
  <c r="E64" i="6"/>
  <c r="D66" i="6"/>
  <c r="G65" i="6"/>
  <c r="J65" i="6" s="1"/>
  <c r="H62" i="6"/>
  <c r="K62" i="6" s="1"/>
  <c r="I62" i="6"/>
  <c r="L62" i="6" s="1"/>
  <c r="H66" i="7"/>
  <c r="K66" i="7" s="1"/>
  <c r="I66" i="7"/>
  <c r="L66" i="7" s="1"/>
  <c r="E67" i="7"/>
  <c r="F67" i="7" s="1"/>
  <c r="H67" i="7" s="1"/>
  <c r="K67" i="7" s="1"/>
  <c r="D67" i="7"/>
  <c r="G66" i="7"/>
  <c r="J66" i="7" s="1"/>
  <c r="F64" i="5"/>
  <c r="G64" i="5"/>
  <c r="C65" i="5"/>
  <c r="D65" i="5"/>
  <c r="N65" i="5"/>
  <c r="L65" i="5"/>
  <c r="K65" i="5"/>
  <c r="P64" i="5"/>
  <c r="O64" i="5"/>
  <c r="M64" i="8" l="1"/>
  <c r="Q64" i="8" s="1"/>
  <c r="K64" i="8"/>
  <c r="I64" i="8"/>
  <c r="M63" i="8"/>
  <c r="Q63" i="8" s="1"/>
  <c r="I63" i="8"/>
  <c r="O63" i="8" s="1"/>
  <c r="K63" i="8"/>
  <c r="P63" i="8" s="1"/>
  <c r="I64" i="9"/>
  <c r="O64" i="9" s="1"/>
  <c r="M64" i="9"/>
  <c r="Q64" i="9" s="1"/>
  <c r="K64" i="9"/>
  <c r="P64" i="9" s="1"/>
  <c r="G64" i="9"/>
  <c r="N64" i="9" s="1"/>
  <c r="E65" i="9"/>
  <c r="F65" i="9" s="1"/>
  <c r="D65" i="9"/>
  <c r="P64" i="8"/>
  <c r="O64" i="8"/>
  <c r="G64" i="8"/>
  <c r="N64" i="8" s="1"/>
  <c r="E65" i="8"/>
  <c r="D65" i="8"/>
  <c r="D67" i="6"/>
  <c r="G66" i="6"/>
  <c r="J66" i="6" s="1"/>
  <c r="F64" i="6"/>
  <c r="E65" i="6"/>
  <c r="I63" i="6"/>
  <c r="L63" i="6" s="1"/>
  <c r="H63" i="6"/>
  <c r="K63" i="6" s="1"/>
  <c r="I67" i="7"/>
  <c r="L67" i="7" s="1"/>
  <c r="E68" i="7"/>
  <c r="F68" i="7" s="1"/>
  <c r="I68" i="7" s="1"/>
  <c r="L68" i="7" s="1"/>
  <c r="D68" i="7"/>
  <c r="G67" i="7"/>
  <c r="J67" i="7" s="1"/>
  <c r="F65" i="5"/>
  <c r="G65" i="5"/>
  <c r="C66" i="5"/>
  <c r="D66" i="5"/>
  <c r="P65" i="5"/>
  <c r="O65" i="5"/>
  <c r="L66" i="5"/>
  <c r="K66" i="5"/>
  <c r="N66" i="5"/>
  <c r="F65" i="8" l="1"/>
  <c r="I65" i="9"/>
  <c r="O65" i="9" s="1"/>
  <c r="M65" i="9"/>
  <c r="Q65" i="9" s="1"/>
  <c r="K65" i="9"/>
  <c r="P65" i="9" s="1"/>
  <c r="D66" i="9"/>
  <c r="G65" i="9"/>
  <c r="N65" i="9" s="1"/>
  <c r="E66" i="9"/>
  <c r="F66" i="9" s="1"/>
  <c r="E66" i="8"/>
  <c r="D66" i="8"/>
  <c r="G65" i="8"/>
  <c r="N65" i="8" s="1"/>
  <c r="H68" i="7"/>
  <c r="K68" i="7" s="1"/>
  <c r="F65" i="6"/>
  <c r="E66" i="6"/>
  <c r="H64" i="6"/>
  <c r="K64" i="6" s="1"/>
  <c r="I64" i="6"/>
  <c r="L64" i="6" s="1"/>
  <c r="G67" i="6"/>
  <c r="J67" i="6" s="1"/>
  <c r="D68" i="6"/>
  <c r="D69" i="7"/>
  <c r="E69" i="7"/>
  <c r="F69" i="7" s="1"/>
  <c r="H69" i="7" s="1"/>
  <c r="K69" i="7" s="1"/>
  <c r="G68" i="7"/>
  <c r="J68" i="7" s="1"/>
  <c r="F66" i="5"/>
  <c r="G66" i="5"/>
  <c r="D67" i="5"/>
  <c r="C67" i="5"/>
  <c r="N67" i="5"/>
  <c r="L67" i="5"/>
  <c r="K67" i="5"/>
  <c r="P66" i="5"/>
  <c r="O66" i="5"/>
  <c r="M65" i="8" l="1"/>
  <c r="Q65" i="8" s="1"/>
  <c r="K65" i="8"/>
  <c r="P65" i="8" s="1"/>
  <c r="I65" i="8"/>
  <c r="O65" i="8" s="1"/>
  <c r="F66" i="8"/>
  <c r="I66" i="9"/>
  <c r="O66" i="9" s="1"/>
  <c r="M66" i="9"/>
  <c r="Q66" i="9" s="1"/>
  <c r="K66" i="9"/>
  <c r="P66" i="9" s="1"/>
  <c r="E67" i="9"/>
  <c r="F67" i="9" s="1"/>
  <c r="D67" i="9"/>
  <c r="G66" i="9"/>
  <c r="N66" i="9" s="1"/>
  <c r="G66" i="8"/>
  <c r="N66" i="8" s="1"/>
  <c r="E67" i="8"/>
  <c r="D67" i="8"/>
  <c r="I69" i="7"/>
  <c r="L69" i="7" s="1"/>
  <c r="D69" i="6"/>
  <c r="G68" i="6"/>
  <c r="J68" i="6" s="1"/>
  <c r="F66" i="6"/>
  <c r="E67" i="6"/>
  <c r="I65" i="6"/>
  <c r="L65" i="6" s="1"/>
  <c r="H65" i="6"/>
  <c r="K65" i="6" s="1"/>
  <c r="D70" i="7"/>
  <c r="E70" i="7"/>
  <c r="F70" i="7" s="1"/>
  <c r="G69" i="7"/>
  <c r="J69" i="7" s="1"/>
  <c r="F67" i="5"/>
  <c r="G67" i="5"/>
  <c r="D68" i="5"/>
  <c r="C68" i="5"/>
  <c r="N68" i="5"/>
  <c r="L68" i="5"/>
  <c r="K68" i="5"/>
  <c r="P67" i="5"/>
  <c r="O67" i="5"/>
  <c r="M66" i="8" l="1"/>
  <c r="Q66" i="8" s="1"/>
  <c r="K66" i="8"/>
  <c r="P66" i="8" s="1"/>
  <c r="I66" i="8"/>
  <c r="O66" i="8" s="1"/>
  <c r="F67" i="8"/>
  <c r="M67" i="9"/>
  <c r="Q67" i="9" s="1"/>
  <c r="I67" i="9"/>
  <c r="O67" i="9" s="1"/>
  <c r="K67" i="9"/>
  <c r="P67" i="9" s="1"/>
  <c r="G67" i="9"/>
  <c r="N67" i="9" s="1"/>
  <c r="E68" i="9"/>
  <c r="F68" i="9" s="1"/>
  <c r="D68" i="9"/>
  <c r="E68" i="8"/>
  <c r="F68" i="8" s="1"/>
  <c r="D68" i="8"/>
  <c r="G67" i="8"/>
  <c r="N67" i="8" s="1"/>
  <c r="F67" i="6"/>
  <c r="E68" i="6"/>
  <c r="H66" i="6"/>
  <c r="K66" i="6" s="1"/>
  <c r="I66" i="6"/>
  <c r="L66" i="6" s="1"/>
  <c r="G69" i="6"/>
  <c r="J69" i="6" s="1"/>
  <c r="D70" i="6"/>
  <c r="H70" i="7"/>
  <c r="K70" i="7" s="1"/>
  <c r="I70" i="7"/>
  <c r="L70" i="7" s="1"/>
  <c r="D71" i="7"/>
  <c r="E71" i="7"/>
  <c r="F71" i="7" s="1"/>
  <c r="G70" i="7"/>
  <c r="J70" i="7" s="1"/>
  <c r="F68" i="5"/>
  <c r="G68" i="5"/>
  <c r="D69" i="5"/>
  <c r="C69" i="5"/>
  <c r="O68" i="5"/>
  <c r="P68" i="5"/>
  <c r="N69" i="5"/>
  <c r="L69" i="5"/>
  <c r="K69" i="5"/>
  <c r="I68" i="8" l="1"/>
  <c r="M68" i="8"/>
  <c r="Q68" i="8" s="1"/>
  <c r="K68" i="8"/>
  <c r="M67" i="8"/>
  <c r="Q67" i="8" s="1"/>
  <c r="K67" i="8"/>
  <c r="P67" i="8" s="1"/>
  <c r="I67" i="8"/>
  <c r="O67" i="8" s="1"/>
  <c r="M68" i="9"/>
  <c r="Q68" i="9" s="1"/>
  <c r="I68" i="9"/>
  <c r="O68" i="9" s="1"/>
  <c r="K68" i="9"/>
  <c r="P68" i="9" s="1"/>
  <c r="G68" i="9"/>
  <c r="N68" i="9" s="1"/>
  <c r="E69" i="9"/>
  <c r="F69" i="9" s="1"/>
  <c r="D69" i="9"/>
  <c r="P68" i="8"/>
  <c r="O68" i="8"/>
  <c r="E69" i="8"/>
  <c r="F69" i="8" s="1"/>
  <c r="D69" i="8"/>
  <c r="G68" i="8"/>
  <c r="N68" i="8" s="1"/>
  <c r="F68" i="6"/>
  <c r="E69" i="6"/>
  <c r="D71" i="6"/>
  <c r="G70" i="6"/>
  <c r="J70" i="6" s="1"/>
  <c r="I67" i="6"/>
  <c r="L67" i="6" s="1"/>
  <c r="H67" i="6"/>
  <c r="K67" i="6" s="1"/>
  <c r="H71" i="7"/>
  <c r="K71" i="7" s="1"/>
  <c r="I71" i="7"/>
  <c r="L71" i="7" s="1"/>
  <c r="D72" i="7"/>
  <c r="E72" i="7"/>
  <c r="F72" i="7" s="1"/>
  <c r="G71" i="7"/>
  <c r="J71" i="7" s="1"/>
  <c r="G69" i="5"/>
  <c r="F69" i="5"/>
  <c r="D70" i="5"/>
  <c r="C70" i="5"/>
  <c r="N70" i="5"/>
  <c r="L70" i="5"/>
  <c r="K70" i="5"/>
  <c r="P69" i="5"/>
  <c r="O69" i="5"/>
  <c r="M69" i="8" l="1"/>
  <c r="Q69" i="8" s="1"/>
  <c r="K69" i="8"/>
  <c r="I69" i="8"/>
  <c r="I69" i="9"/>
  <c r="O69" i="9" s="1"/>
  <c r="K69" i="9"/>
  <c r="P69" i="9" s="1"/>
  <c r="M69" i="9"/>
  <c r="Q69" i="9" s="1"/>
  <c r="E70" i="9"/>
  <c r="F70" i="9" s="1"/>
  <c r="D70" i="9"/>
  <c r="G69" i="9"/>
  <c r="N69" i="9" s="1"/>
  <c r="P69" i="8"/>
  <c r="O69" i="8"/>
  <c r="D70" i="8"/>
  <c r="G69" i="8"/>
  <c r="N69" i="8" s="1"/>
  <c r="E70" i="8"/>
  <c r="F70" i="8" s="1"/>
  <c r="G71" i="6"/>
  <c r="J71" i="6" s="1"/>
  <c r="D72" i="6"/>
  <c r="F69" i="6"/>
  <c r="E70" i="6"/>
  <c r="H68" i="6"/>
  <c r="K68" i="6" s="1"/>
  <c r="I68" i="6"/>
  <c r="L68" i="6" s="1"/>
  <c r="H72" i="7"/>
  <c r="K72" i="7" s="1"/>
  <c r="I72" i="7"/>
  <c r="L72" i="7" s="1"/>
  <c r="D73" i="7"/>
  <c r="E73" i="7"/>
  <c r="F73" i="7" s="1"/>
  <c r="G72" i="7"/>
  <c r="J72" i="7" s="1"/>
  <c r="G70" i="5"/>
  <c r="F70" i="5"/>
  <c r="D71" i="5"/>
  <c r="C71" i="5"/>
  <c r="L71" i="5"/>
  <c r="K71" i="5"/>
  <c r="P70" i="5"/>
  <c r="O70" i="5"/>
  <c r="N71" i="5"/>
  <c r="K70" i="8" l="1"/>
  <c r="M70" i="8"/>
  <c r="Q70" i="8" s="1"/>
  <c r="I70" i="8"/>
  <c r="K70" i="9"/>
  <c r="P70" i="9" s="1"/>
  <c r="M70" i="9"/>
  <c r="Q70" i="9" s="1"/>
  <c r="I70" i="9"/>
  <c r="O70" i="9" s="1"/>
  <c r="G70" i="9"/>
  <c r="N70" i="9" s="1"/>
  <c r="E71" i="9"/>
  <c r="F71" i="9" s="1"/>
  <c r="D71" i="9"/>
  <c r="O70" i="8"/>
  <c r="P70" i="8"/>
  <c r="E71" i="8"/>
  <c r="F71" i="8" s="1"/>
  <c r="I71" i="8" s="1"/>
  <c r="D71" i="8"/>
  <c r="G70" i="8"/>
  <c r="N70" i="8" s="1"/>
  <c r="I69" i="6"/>
  <c r="L69" i="6" s="1"/>
  <c r="H69" i="6"/>
  <c r="K69" i="6" s="1"/>
  <c r="D73" i="6"/>
  <c r="G72" i="6"/>
  <c r="J72" i="6" s="1"/>
  <c r="F70" i="6"/>
  <c r="E71" i="6"/>
  <c r="H73" i="7"/>
  <c r="K73" i="7" s="1"/>
  <c r="I73" i="7"/>
  <c r="L73" i="7" s="1"/>
  <c r="D74" i="7"/>
  <c r="E74" i="7"/>
  <c r="F74" i="7" s="1"/>
  <c r="G73" i="7"/>
  <c r="J73" i="7" s="1"/>
  <c r="G71" i="5"/>
  <c r="F71" i="5"/>
  <c r="C72" i="5"/>
  <c r="D72" i="5"/>
  <c r="N72" i="5"/>
  <c r="L72" i="5"/>
  <c r="K72" i="5"/>
  <c r="P71" i="5"/>
  <c r="O71" i="5"/>
  <c r="K71" i="8" l="1"/>
  <c r="M71" i="8"/>
  <c r="Q71" i="8" s="1"/>
  <c r="I71" i="9"/>
  <c r="O71" i="9" s="1"/>
  <c r="K71" i="9"/>
  <c r="P71" i="9" s="1"/>
  <c r="M71" i="9"/>
  <c r="Q71" i="9" s="1"/>
  <c r="G71" i="9"/>
  <c r="N71" i="9" s="1"/>
  <c r="E72" i="9"/>
  <c r="F72" i="9" s="1"/>
  <c r="D72" i="9"/>
  <c r="P71" i="8"/>
  <c r="O71" i="8"/>
  <c r="G71" i="8"/>
  <c r="N71" i="8" s="1"/>
  <c r="D72" i="8"/>
  <c r="E72" i="8"/>
  <c r="F72" i="8" s="1"/>
  <c r="D74" i="6"/>
  <c r="G73" i="6"/>
  <c r="J73" i="6" s="1"/>
  <c r="F71" i="6"/>
  <c r="E72" i="6"/>
  <c r="I70" i="6"/>
  <c r="L70" i="6" s="1"/>
  <c r="H70" i="6"/>
  <c r="K70" i="6" s="1"/>
  <c r="H74" i="7"/>
  <c r="K74" i="7" s="1"/>
  <c r="I74" i="7"/>
  <c r="L74" i="7" s="1"/>
  <c r="D75" i="7"/>
  <c r="E75" i="7"/>
  <c r="G74" i="7"/>
  <c r="J74" i="7" s="1"/>
  <c r="G72" i="5"/>
  <c r="F72" i="5"/>
  <c r="D73" i="5"/>
  <c r="C73" i="5"/>
  <c r="N73" i="5"/>
  <c r="L73" i="5"/>
  <c r="K73" i="5"/>
  <c r="P72" i="5"/>
  <c r="O72" i="5"/>
  <c r="I72" i="8" l="1"/>
  <c r="K72" i="8"/>
  <c r="M72" i="8"/>
  <c r="Q72" i="8" s="1"/>
  <c r="M72" i="9"/>
  <c r="Q72" i="9" s="1"/>
  <c r="K72" i="9"/>
  <c r="P72" i="9" s="1"/>
  <c r="I72" i="9"/>
  <c r="O72" i="9" s="1"/>
  <c r="G72" i="9"/>
  <c r="N72" i="9" s="1"/>
  <c r="D73" i="9"/>
  <c r="E73" i="9"/>
  <c r="F73" i="9" s="1"/>
  <c r="O72" i="8"/>
  <c r="P72" i="8"/>
  <c r="E73" i="8"/>
  <c r="F73" i="8" s="1"/>
  <c r="M73" i="8" s="1"/>
  <c r="Q73" i="8" s="1"/>
  <c r="D73" i="8"/>
  <c r="G72" i="8"/>
  <c r="N72" i="8" s="1"/>
  <c r="F75" i="7"/>
  <c r="H75" i="7" s="1"/>
  <c r="K75" i="7" s="1"/>
  <c r="F72" i="6"/>
  <c r="E73" i="6"/>
  <c r="G74" i="6"/>
  <c r="J74" i="6" s="1"/>
  <c r="D75" i="6"/>
  <c r="I71" i="6"/>
  <c r="L71" i="6" s="1"/>
  <c r="H71" i="6"/>
  <c r="K71" i="6" s="1"/>
  <c r="E76" i="7"/>
  <c r="F76" i="7" s="1"/>
  <c r="I76" i="7" s="1"/>
  <c r="L76" i="7" s="1"/>
  <c r="D76" i="7"/>
  <c r="G75" i="7"/>
  <c r="J75" i="7" s="1"/>
  <c r="G73" i="5"/>
  <c r="F73" i="5"/>
  <c r="C74" i="5"/>
  <c r="D74" i="5"/>
  <c r="P73" i="5"/>
  <c r="O73" i="5"/>
  <c r="K74" i="5"/>
  <c r="L74" i="5"/>
  <c r="N74" i="5"/>
  <c r="K73" i="8" l="1"/>
  <c r="I73" i="8"/>
  <c r="I75" i="7"/>
  <c r="L75" i="7" s="1"/>
  <c r="I73" i="9"/>
  <c r="O73" i="9" s="1"/>
  <c r="M73" i="9"/>
  <c r="Q73" i="9" s="1"/>
  <c r="K73" i="9"/>
  <c r="P73" i="9" s="1"/>
  <c r="D74" i="9"/>
  <c r="G73" i="9"/>
  <c r="N73" i="9" s="1"/>
  <c r="E74" i="9"/>
  <c r="F74" i="9" s="1"/>
  <c r="P73" i="8"/>
  <c r="O73" i="8"/>
  <c r="G73" i="8"/>
  <c r="N73" i="8" s="1"/>
  <c r="E74" i="8"/>
  <c r="F74" i="8" s="1"/>
  <c r="D74" i="8"/>
  <c r="H76" i="7"/>
  <c r="K76" i="7" s="1"/>
  <c r="D76" i="6"/>
  <c r="G75" i="6"/>
  <c r="J75" i="6" s="1"/>
  <c r="F73" i="6"/>
  <c r="E74" i="6"/>
  <c r="I72" i="6"/>
  <c r="L72" i="6" s="1"/>
  <c r="H72" i="6"/>
  <c r="K72" i="6" s="1"/>
  <c r="D77" i="7"/>
  <c r="E77" i="7"/>
  <c r="F77" i="7" s="1"/>
  <c r="H77" i="7" s="1"/>
  <c r="K77" i="7" s="1"/>
  <c r="G76" i="7"/>
  <c r="J76" i="7" s="1"/>
  <c r="G74" i="5"/>
  <c r="F74" i="5"/>
  <c r="C75" i="5"/>
  <c r="D75" i="5"/>
  <c r="N75" i="5"/>
  <c r="L75" i="5"/>
  <c r="K75" i="5"/>
  <c r="P74" i="5"/>
  <c r="O74" i="5"/>
  <c r="K74" i="8" l="1"/>
  <c r="M74" i="8"/>
  <c r="Q74" i="8" s="1"/>
  <c r="I74" i="8"/>
  <c r="F75" i="8"/>
  <c r="M75" i="8"/>
  <c r="K75" i="8"/>
  <c r="I75" i="8"/>
  <c r="Q75" i="8"/>
  <c r="K74" i="9"/>
  <c r="P74" i="9" s="1"/>
  <c r="I74" i="9"/>
  <c r="O74" i="9" s="1"/>
  <c r="M74" i="9"/>
  <c r="Q74" i="9" s="1"/>
  <c r="E75" i="9"/>
  <c r="F75" i="9" s="1"/>
  <c r="D75" i="9"/>
  <c r="G74" i="9"/>
  <c r="N74" i="9" s="1"/>
  <c r="O74" i="8"/>
  <c r="P74" i="8"/>
  <c r="E75" i="8"/>
  <c r="D75" i="8"/>
  <c r="G74" i="8"/>
  <c r="N74" i="8" s="1"/>
  <c r="I77" i="7"/>
  <c r="L77" i="7" s="1"/>
  <c r="F74" i="6"/>
  <c r="E75" i="6"/>
  <c r="I73" i="6"/>
  <c r="L73" i="6" s="1"/>
  <c r="H73" i="6"/>
  <c r="K73" i="6" s="1"/>
  <c r="G76" i="6"/>
  <c r="J76" i="6" s="1"/>
  <c r="D77" i="6"/>
  <c r="D78" i="7"/>
  <c r="E78" i="7"/>
  <c r="F78" i="7" s="1"/>
  <c r="G77" i="7"/>
  <c r="J77" i="7" s="1"/>
  <c r="G75" i="5"/>
  <c r="F75" i="5"/>
  <c r="D76" i="5"/>
  <c r="C76" i="5"/>
  <c r="N76" i="5"/>
  <c r="L76" i="5"/>
  <c r="K76" i="5"/>
  <c r="P75" i="5"/>
  <c r="O75" i="5"/>
  <c r="K75" i="9" l="1"/>
  <c r="P75" i="9" s="1"/>
  <c r="I75" i="9"/>
  <c r="O75" i="9" s="1"/>
  <c r="M75" i="9"/>
  <c r="Q75" i="9" s="1"/>
  <c r="G75" i="9"/>
  <c r="N75" i="9" s="1"/>
  <c r="E76" i="9"/>
  <c r="F76" i="9" s="1"/>
  <c r="D76" i="9"/>
  <c r="P75" i="8"/>
  <c r="O75" i="8"/>
  <c r="G75" i="8"/>
  <c r="N75" i="8" s="1"/>
  <c r="E76" i="8"/>
  <c r="D76" i="8"/>
  <c r="D78" i="6"/>
  <c r="G77" i="6"/>
  <c r="J77" i="6" s="1"/>
  <c r="F75" i="6"/>
  <c r="E76" i="6"/>
  <c r="I74" i="6"/>
  <c r="L74" i="6" s="1"/>
  <c r="H74" i="6"/>
  <c r="K74" i="6" s="1"/>
  <c r="E79" i="7"/>
  <c r="F79" i="7" s="1"/>
  <c r="I79" i="7" s="1"/>
  <c r="L79" i="7" s="1"/>
  <c r="D79" i="7"/>
  <c r="H78" i="7"/>
  <c r="K78" i="7" s="1"/>
  <c r="I78" i="7"/>
  <c r="L78" i="7" s="1"/>
  <c r="H79" i="7"/>
  <c r="K79" i="7" s="1"/>
  <c r="G78" i="7"/>
  <c r="J78" i="7" s="1"/>
  <c r="G76" i="5"/>
  <c r="F76" i="5"/>
  <c r="D77" i="5"/>
  <c r="C77" i="5"/>
  <c r="P76" i="5"/>
  <c r="O76" i="5"/>
  <c r="N77" i="5"/>
  <c r="L77" i="5"/>
  <c r="K77" i="5"/>
  <c r="F76" i="8" l="1"/>
  <c r="K76" i="9"/>
  <c r="P76" i="9" s="1"/>
  <c r="M76" i="9"/>
  <c r="Q76" i="9" s="1"/>
  <c r="I76" i="9"/>
  <c r="O76" i="9" s="1"/>
  <c r="G76" i="9"/>
  <c r="N76" i="9" s="1"/>
  <c r="E77" i="9"/>
  <c r="F77" i="9" s="1"/>
  <c r="D77" i="9"/>
  <c r="E77" i="8"/>
  <c r="D77" i="8"/>
  <c r="G76" i="8"/>
  <c r="N76" i="8" s="1"/>
  <c r="G78" i="6"/>
  <c r="J78" i="6" s="1"/>
  <c r="D79" i="6"/>
  <c r="I75" i="6"/>
  <c r="L75" i="6" s="1"/>
  <c r="H75" i="6"/>
  <c r="K75" i="6" s="1"/>
  <c r="F76" i="6"/>
  <c r="E77" i="6"/>
  <c r="E80" i="7"/>
  <c r="F80" i="7" s="1"/>
  <c r="D80" i="7"/>
  <c r="G79" i="7"/>
  <c r="J79" i="7" s="1"/>
  <c r="G77" i="5"/>
  <c r="F77" i="5"/>
  <c r="C78" i="5"/>
  <c r="D78" i="5"/>
  <c r="N78" i="5"/>
  <c r="L78" i="5"/>
  <c r="K78" i="5"/>
  <c r="P77" i="5"/>
  <c r="O77" i="5"/>
  <c r="M76" i="8" l="1"/>
  <c r="Q76" i="8" s="1"/>
  <c r="K76" i="8"/>
  <c r="P76" i="8" s="1"/>
  <c r="I76" i="8"/>
  <c r="O76" i="8" s="1"/>
  <c r="F77" i="8"/>
  <c r="M77" i="9"/>
  <c r="Q77" i="9" s="1"/>
  <c r="K77" i="9"/>
  <c r="P77" i="9" s="1"/>
  <c r="I77" i="9"/>
  <c r="O77" i="9" s="1"/>
  <c r="E78" i="9"/>
  <c r="F78" i="9" s="1"/>
  <c r="D78" i="9"/>
  <c r="G77" i="9"/>
  <c r="N77" i="9" s="1"/>
  <c r="E78" i="8"/>
  <c r="D78" i="8"/>
  <c r="G77" i="8"/>
  <c r="N77" i="8" s="1"/>
  <c r="F77" i="6"/>
  <c r="E78" i="6"/>
  <c r="D80" i="6"/>
  <c r="G79" i="6"/>
  <c r="J79" i="6" s="1"/>
  <c r="I76" i="6"/>
  <c r="L76" i="6" s="1"/>
  <c r="H76" i="6"/>
  <c r="K76" i="6" s="1"/>
  <c r="H80" i="7"/>
  <c r="K80" i="7" s="1"/>
  <c r="I80" i="7"/>
  <c r="L80" i="7" s="1"/>
  <c r="E81" i="7"/>
  <c r="F81" i="7" s="1"/>
  <c r="D81" i="7"/>
  <c r="G80" i="7"/>
  <c r="J80" i="7" s="1"/>
  <c r="G78" i="5"/>
  <c r="F78" i="5"/>
  <c r="C79" i="5"/>
  <c r="D79" i="5"/>
  <c r="L79" i="5"/>
  <c r="K79" i="5"/>
  <c r="P78" i="5"/>
  <c r="O78" i="5"/>
  <c r="N79" i="5"/>
  <c r="M77" i="8" l="1"/>
  <c r="Q77" i="8" s="1"/>
  <c r="I77" i="8"/>
  <c r="O77" i="8" s="1"/>
  <c r="K77" i="8"/>
  <c r="P77" i="8" s="1"/>
  <c r="F78" i="8"/>
  <c r="M78" i="9"/>
  <c r="Q78" i="9" s="1"/>
  <c r="I78" i="9"/>
  <c r="O78" i="9" s="1"/>
  <c r="K78" i="9"/>
  <c r="P78" i="9" s="1"/>
  <c r="G78" i="9"/>
  <c r="N78" i="9" s="1"/>
  <c r="E79" i="9"/>
  <c r="F79" i="9" s="1"/>
  <c r="D79" i="9"/>
  <c r="G78" i="8"/>
  <c r="N78" i="8" s="1"/>
  <c r="D79" i="8"/>
  <c r="E79" i="8"/>
  <c r="D81" i="6"/>
  <c r="G80" i="6"/>
  <c r="J80" i="6" s="1"/>
  <c r="F78" i="6"/>
  <c r="E79" i="6"/>
  <c r="I77" i="6"/>
  <c r="L77" i="6" s="1"/>
  <c r="H77" i="6"/>
  <c r="K77" i="6" s="1"/>
  <c r="H81" i="7"/>
  <c r="K81" i="7" s="1"/>
  <c r="I81" i="7"/>
  <c r="L81" i="7" s="1"/>
  <c r="E82" i="7"/>
  <c r="F82" i="7" s="1"/>
  <c r="D82" i="7"/>
  <c r="F83" i="7" s="1"/>
  <c r="I82" i="7"/>
  <c r="L82" i="7" s="1"/>
  <c r="H82" i="7"/>
  <c r="K82" i="7" s="1"/>
  <c r="G81" i="7"/>
  <c r="J81" i="7" s="1"/>
  <c r="F79" i="5"/>
  <c r="G79" i="5"/>
  <c r="C80" i="5"/>
  <c r="D80" i="5"/>
  <c r="N80" i="5"/>
  <c r="L80" i="5"/>
  <c r="K80" i="5"/>
  <c r="P79" i="5"/>
  <c r="O79" i="5"/>
  <c r="F79" i="8" l="1"/>
  <c r="M78" i="8"/>
  <c r="Q78" i="8" s="1"/>
  <c r="K78" i="8"/>
  <c r="P78" i="8" s="1"/>
  <c r="I78" i="8"/>
  <c r="O78" i="8" s="1"/>
  <c r="M79" i="9"/>
  <c r="Q79" i="9" s="1"/>
  <c r="K79" i="9"/>
  <c r="P79" i="9" s="1"/>
  <c r="I79" i="9"/>
  <c r="O79" i="9" s="1"/>
  <c r="G79" i="9"/>
  <c r="N79" i="9" s="1"/>
  <c r="E80" i="9"/>
  <c r="F80" i="9" s="1"/>
  <c r="D80" i="9"/>
  <c r="E80" i="8"/>
  <c r="F80" i="8" s="1"/>
  <c r="D80" i="8"/>
  <c r="G79" i="8"/>
  <c r="N79" i="8" s="1"/>
  <c r="H78" i="6"/>
  <c r="K78" i="6" s="1"/>
  <c r="I78" i="6"/>
  <c r="L78" i="6" s="1"/>
  <c r="F79" i="6"/>
  <c r="E80" i="6"/>
  <c r="D82" i="6"/>
  <c r="G81" i="6"/>
  <c r="J81" i="6" s="1"/>
  <c r="I82" i="6"/>
  <c r="L82" i="6" s="1"/>
  <c r="H82" i="6"/>
  <c r="K82" i="6" s="1"/>
  <c r="E83" i="7"/>
  <c r="D83" i="7"/>
  <c r="F84" i="7" s="1"/>
  <c r="I83" i="7"/>
  <c r="L83" i="7" s="1"/>
  <c r="H83" i="7"/>
  <c r="K83" i="7" s="1"/>
  <c r="G82" i="7"/>
  <c r="J82" i="7" s="1"/>
  <c r="F80" i="5"/>
  <c r="G80" i="5"/>
  <c r="D81" i="5"/>
  <c r="C81" i="5"/>
  <c r="N81" i="5"/>
  <c r="L81" i="5"/>
  <c r="K81" i="5"/>
  <c r="P80" i="5"/>
  <c r="O80" i="5"/>
  <c r="K80" i="8" l="1"/>
  <c r="I80" i="8"/>
  <c r="M80" i="8"/>
  <c r="Q80" i="8" s="1"/>
  <c r="M79" i="8"/>
  <c r="Q79" i="8" s="1"/>
  <c r="I79" i="8"/>
  <c r="O79" i="8" s="1"/>
  <c r="K79" i="8"/>
  <c r="P79" i="8" s="1"/>
  <c r="M80" i="9"/>
  <c r="Q80" i="9" s="1"/>
  <c r="K80" i="9"/>
  <c r="P80" i="9" s="1"/>
  <c r="I80" i="9"/>
  <c r="O80" i="9" s="1"/>
  <c r="G80" i="9"/>
  <c r="N80" i="9" s="1"/>
  <c r="E81" i="9"/>
  <c r="F81" i="9" s="1"/>
  <c r="D81" i="9"/>
  <c r="P80" i="8"/>
  <c r="O80" i="8"/>
  <c r="G80" i="8"/>
  <c r="N80" i="8" s="1"/>
  <c r="D81" i="8"/>
  <c r="E81" i="8"/>
  <c r="F80" i="6"/>
  <c r="E81" i="6"/>
  <c r="I79" i="6"/>
  <c r="L79" i="6" s="1"/>
  <c r="H79" i="6"/>
  <c r="K79" i="6" s="1"/>
  <c r="I83" i="6"/>
  <c r="L83" i="6" s="1"/>
  <c r="H83" i="6"/>
  <c r="K83" i="6" s="1"/>
  <c r="F83" i="6"/>
  <c r="E83" i="6"/>
  <c r="D83" i="6"/>
  <c r="D84" i="7"/>
  <c r="F85" i="7" s="1"/>
  <c r="E84" i="7"/>
  <c r="I84" i="7"/>
  <c r="L84" i="7" s="1"/>
  <c r="H84" i="7"/>
  <c r="K84" i="7" s="1"/>
  <c r="G83" i="7"/>
  <c r="J83" i="7" s="1"/>
  <c r="F81" i="5"/>
  <c r="G81" i="5"/>
  <c r="C82" i="5"/>
  <c r="D82" i="5"/>
  <c r="P81" i="5"/>
  <c r="L82" i="5"/>
  <c r="O81" i="5"/>
  <c r="K82" i="5"/>
  <c r="N82" i="5"/>
  <c r="F81" i="8" l="1"/>
  <c r="M81" i="9"/>
  <c r="Q81" i="9" s="1"/>
  <c r="K81" i="9"/>
  <c r="P81" i="9" s="1"/>
  <c r="I81" i="9"/>
  <c r="O81" i="9" s="1"/>
  <c r="D82" i="9"/>
  <c r="G81" i="9"/>
  <c r="N81" i="9" s="1"/>
  <c r="E82" i="9"/>
  <c r="F82" i="9" s="1"/>
  <c r="E82" i="8"/>
  <c r="D82" i="8"/>
  <c r="G81" i="8"/>
  <c r="N81" i="8" s="1"/>
  <c r="F81" i="6"/>
  <c r="E82" i="6"/>
  <c r="F82" i="6" s="1"/>
  <c r="G82" i="6" s="1"/>
  <c r="J82" i="6" s="1"/>
  <c r="H84" i="6"/>
  <c r="K84" i="6" s="1"/>
  <c r="F84" i="6"/>
  <c r="E84" i="6"/>
  <c r="D84" i="6"/>
  <c r="G83" i="6"/>
  <c r="J83" i="6" s="1"/>
  <c r="I84" i="6"/>
  <c r="L84" i="6" s="1"/>
  <c r="I80" i="6"/>
  <c r="L80" i="6" s="1"/>
  <c r="H80" i="6"/>
  <c r="K80" i="6" s="1"/>
  <c r="E85" i="7"/>
  <c r="D85" i="7"/>
  <c r="F86" i="7" s="1"/>
  <c r="I85" i="7"/>
  <c r="L85" i="7" s="1"/>
  <c r="H85" i="7"/>
  <c r="K85" i="7" s="1"/>
  <c r="G84" i="7"/>
  <c r="J84" i="7" s="1"/>
  <c r="F82" i="5"/>
  <c r="G82" i="5"/>
  <c r="C83" i="5"/>
  <c r="D83" i="5"/>
  <c r="N83" i="5"/>
  <c r="L83" i="5"/>
  <c r="K83" i="5"/>
  <c r="P82" i="5"/>
  <c r="O82" i="5"/>
  <c r="M81" i="8" l="1"/>
  <c r="Q81" i="8" s="1"/>
  <c r="K81" i="8"/>
  <c r="P81" i="8" s="1"/>
  <c r="I81" i="8"/>
  <c r="O81" i="8" s="1"/>
  <c r="F82" i="8"/>
  <c r="I82" i="9"/>
  <c r="O82" i="9" s="1"/>
  <c r="M82" i="9"/>
  <c r="Q82" i="9" s="1"/>
  <c r="K82" i="9"/>
  <c r="P82" i="9" s="1"/>
  <c r="E83" i="9"/>
  <c r="F83" i="9" s="1"/>
  <c r="D83" i="9"/>
  <c r="G82" i="9"/>
  <c r="N82" i="9" s="1"/>
  <c r="G82" i="8"/>
  <c r="N82" i="8" s="1"/>
  <c r="E83" i="8"/>
  <c r="F83" i="8" s="1"/>
  <c r="D83" i="8"/>
  <c r="I85" i="6"/>
  <c r="L85" i="6" s="1"/>
  <c r="H85" i="6"/>
  <c r="K85" i="6" s="1"/>
  <c r="G84" i="6"/>
  <c r="J84" i="6" s="1"/>
  <c r="F85" i="6"/>
  <c r="E85" i="6"/>
  <c r="D85" i="6"/>
  <c r="I81" i="6"/>
  <c r="L81" i="6" s="1"/>
  <c r="H81" i="6"/>
  <c r="K81" i="6" s="1"/>
  <c r="D86" i="7"/>
  <c r="F87" i="7" s="1"/>
  <c r="E86" i="7"/>
  <c r="G85" i="7"/>
  <c r="J85" i="7" s="1"/>
  <c r="F83" i="5"/>
  <c r="G83" i="5"/>
  <c r="D84" i="5"/>
  <c r="C84" i="5"/>
  <c r="N84" i="5"/>
  <c r="L84" i="5"/>
  <c r="K84" i="5"/>
  <c r="P83" i="5"/>
  <c r="O83" i="5"/>
  <c r="M83" i="8" l="1"/>
  <c r="Q83" i="8" s="1"/>
  <c r="K83" i="8"/>
  <c r="P83" i="8" s="1"/>
  <c r="I83" i="8"/>
  <c r="O83" i="8" s="1"/>
  <c r="M82" i="8"/>
  <c r="Q82" i="8" s="1"/>
  <c r="K82" i="8"/>
  <c r="P82" i="8" s="1"/>
  <c r="I82" i="8"/>
  <c r="O82" i="8" s="1"/>
  <c r="I83" i="9"/>
  <c r="O83" i="9" s="1"/>
  <c r="K83" i="9"/>
  <c r="P83" i="9" s="1"/>
  <c r="M83" i="9"/>
  <c r="Q83" i="9" s="1"/>
  <c r="E84" i="9"/>
  <c r="F84" i="9" s="1"/>
  <c r="D84" i="9"/>
  <c r="G83" i="9"/>
  <c r="N83" i="9" s="1"/>
  <c r="E84" i="8"/>
  <c r="F84" i="8" s="1"/>
  <c r="D84" i="8"/>
  <c r="G83" i="8"/>
  <c r="N83" i="8" s="1"/>
  <c r="G85" i="6"/>
  <c r="J85" i="6" s="1"/>
  <c r="I86" i="6"/>
  <c r="L86" i="6" s="1"/>
  <c r="H86" i="6"/>
  <c r="K86" i="6" s="1"/>
  <c r="F86" i="6"/>
  <c r="E86" i="6"/>
  <c r="D86" i="6"/>
  <c r="E87" i="7"/>
  <c r="D87" i="7"/>
  <c r="F88" i="7" s="1"/>
  <c r="I86" i="7"/>
  <c r="L86" i="7" s="1"/>
  <c r="H86" i="7"/>
  <c r="K86" i="7" s="1"/>
  <c r="H87" i="7"/>
  <c r="K87" i="7" s="1"/>
  <c r="I87" i="7"/>
  <c r="L87" i="7" s="1"/>
  <c r="G86" i="7"/>
  <c r="J86" i="7" s="1"/>
  <c r="F84" i="5"/>
  <c r="G84" i="5"/>
  <c r="D85" i="5"/>
  <c r="C85" i="5"/>
  <c r="O84" i="5"/>
  <c r="P84" i="5"/>
  <c r="N85" i="5"/>
  <c r="L85" i="5"/>
  <c r="K85" i="5"/>
  <c r="M84" i="8" l="1"/>
  <c r="Q84" i="8" s="1"/>
  <c r="K84" i="8"/>
  <c r="P84" i="8" s="1"/>
  <c r="I84" i="8"/>
  <c r="O84" i="8" s="1"/>
  <c r="M84" i="9"/>
  <c r="Q84" i="9" s="1"/>
  <c r="K84" i="9"/>
  <c r="P84" i="9" s="1"/>
  <c r="I84" i="9"/>
  <c r="O84" i="9" s="1"/>
  <c r="G84" i="9"/>
  <c r="N84" i="9" s="1"/>
  <c r="E85" i="9"/>
  <c r="F85" i="9" s="1"/>
  <c r="D85" i="9"/>
  <c r="E85" i="8"/>
  <c r="F85" i="8" s="1"/>
  <c r="D85" i="8"/>
  <c r="G84" i="8"/>
  <c r="N84" i="8" s="1"/>
  <c r="F87" i="6"/>
  <c r="E87" i="6"/>
  <c r="G86" i="6"/>
  <c r="J86" i="6" s="1"/>
  <c r="I87" i="6"/>
  <c r="L87" i="6" s="1"/>
  <c r="H87" i="6"/>
  <c r="K87" i="6" s="1"/>
  <c r="D87" i="6"/>
  <c r="D88" i="7"/>
  <c r="F89" i="7" s="1"/>
  <c r="E88" i="7"/>
  <c r="H88" i="7"/>
  <c r="K88" i="7" s="1"/>
  <c r="I88" i="7"/>
  <c r="L88" i="7" s="1"/>
  <c r="G87" i="7"/>
  <c r="J87" i="7" s="1"/>
  <c r="G85" i="5"/>
  <c r="F85" i="5"/>
  <c r="D86" i="5"/>
  <c r="C86" i="5"/>
  <c r="N86" i="5"/>
  <c r="L86" i="5"/>
  <c r="K86" i="5"/>
  <c r="P85" i="5"/>
  <c r="O85" i="5"/>
  <c r="M85" i="8" l="1"/>
  <c r="Q85" i="8" s="1"/>
  <c r="K85" i="8"/>
  <c r="P85" i="8" s="1"/>
  <c r="I85" i="8"/>
  <c r="O85" i="8" s="1"/>
  <c r="I85" i="9"/>
  <c r="O85" i="9" s="1"/>
  <c r="M85" i="9"/>
  <c r="Q85" i="9" s="1"/>
  <c r="K85" i="9"/>
  <c r="P85" i="9" s="1"/>
  <c r="G85" i="9"/>
  <c r="N85" i="9" s="1"/>
  <c r="E86" i="9"/>
  <c r="F86" i="9" s="1"/>
  <c r="D86" i="9"/>
  <c r="D86" i="8"/>
  <c r="G85" i="8"/>
  <c r="N85" i="8" s="1"/>
  <c r="E86" i="8"/>
  <c r="G87" i="6"/>
  <c r="J87" i="6" s="1"/>
  <c r="I88" i="6"/>
  <c r="L88" i="6" s="1"/>
  <c r="H88" i="6"/>
  <c r="K88" i="6" s="1"/>
  <c r="F88" i="6"/>
  <c r="E88" i="6"/>
  <c r="D88" i="6"/>
  <c r="D89" i="7"/>
  <c r="F90" i="7" s="1"/>
  <c r="E89" i="7"/>
  <c r="I89" i="7"/>
  <c r="L89" i="7" s="1"/>
  <c r="H89" i="7"/>
  <c r="K89" i="7" s="1"/>
  <c r="G88" i="7"/>
  <c r="J88" i="7" s="1"/>
  <c r="G86" i="5"/>
  <c r="F86" i="5"/>
  <c r="D87" i="5"/>
  <c r="C87" i="5"/>
  <c r="L87" i="5"/>
  <c r="K87" i="5"/>
  <c r="P86" i="5"/>
  <c r="O86" i="5"/>
  <c r="N87" i="5"/>
  <c r="F86" i="8" l="1"/>
  <c r="M86" i="9"/>
  <c r="Q86" i="9" s="1"/>
  <c r="I86" i="9"/>
  <c r="O86" i="9" s="1"/>
  <c r="K86" i="9"/>
  <c r="P86" i="9" s="1"/>
  <c r="G86" i="9"/>
  <c r="N86" i="9" s="1"/>
  <c r="E87" i="9"/>
  <c r="F87" i="9" s="1"/>
  <c r="D87" i="9"/>
  <c r="E87" i="8"/>
  <c r="D87" i="8"/>
  <c r="G86" i="8"/>
  <c r="N86" i="8" s="1"/>
  <c r="E89" i="6"/>
  <c r="D89" i="6"/>
  <c r="G88" i="6"/>
  <c r="J88" i="6" s="1"/>
  <c r="F89" i="6"/>
  <c r="I89" i="6"/>
  <c r="L89" i="6" s="1"/>
  <c r="H89" i="6"/>
  <c r="K89" i="6" s="1"/>
  <c r="D90" i="7"/>
  <c r="F91" i="7" s="1"/>
  <c r="E90" i="7"/>
  <c r="I90" i="7"/>
  <c r="L90" i="7" s="1"/>
  <c r="G89" i="7"/>
  <c r="J89" i="7" s="1"/>
  <c r="G87" i="5"/>
  <c r="F87" i="5"/>
  <c r="C88" i="5"/>
  <c r="D88" i="5"/>
  <c r="N88" i="5"/>
  <c r="L88" i="5"/>
  <c r="K88" i="5"/>
  <c r="P87" i="5"/>
  <c r="O87" i="5"/>
  <c r="I86" i="8" l="1"/>
  <c r="O86" i="8" s="1"/>
  <c r="M86" i="8"/>
  <c r="Q86" i="8" s="1"/>
  <c r="K86" i="8"/>
  <c r="P86" i="8" s="1"/>
  <c r="F87" i="8"/>
  <c r="M87" i="9"/>
  <c r="Q87" i="9" s="1"/>
  <c r="K87" i="9"/>
  <c r="P87" i="9" s="1"/>
  <c r="I87" i="9"/>
  <c r="O87" i="9" s="1"/>
  <c r="G87" i="9"/>
  <c r="N87" i="9" s="1"/>
  <c r="E88" i="9"/>
  <c r="F88" i="9" s="1"/>
  <c r="D88" i="9"/>
  <c r="G87" i="8"/>
  <c r="N87" i="8" s="1"/>
  <c r="E88" i="8"/>
  <c r="F88" i="8" s="1"/>
  <c r="D88" i="8"/>
  <c r="F90" i="6"/>
  <c r="I90" i="6"/>
  <c r="L90" i="6" s="1"/>
  <c r="H90" i="6"/>
  <c r="K90" i="6" s="1"/>
  <c r="E90" i="6"/>
  <c r="D90" i="6"/>
  <c r="G89" i="6"/>
  <c r="J89" i="6" s="1"/>
  <c r="D91" i="7"/>
  <c r="F92" i="7" s="1"/>
  <c r="E91" i="7"/>
  <c r="H90" i="7"/>
  <c r="K90" i="7" s="1"/>
  <c r="H91" i="7"/>
  <c r="K91" i="7" s="1"/>
  <c r="I91" i="7"/>
  <c r="L91" i="7" s="1"/>
  <c r="G90" i="7"/>
  <c r="J90" i="7" s="1"/>
  <c r="G88" i="5"/>
  <c r="F88" i="5"/>
  <c r="C89" i="5"/>
  <c r="D89" i="5"/>
  <c r="N89" i="5"/>
  <c r="L89" i="5"/>
  <c r="K89" i="5"/>
  <c r="P88" i="5"/>
  <c r="O88" i="5"/>
  <c r="K88" i="8" l="1"/>
  <c r="P88" i="8" s="1"/>
  <c r="M88" i="8"/>
  <c r="Q88" i="8" s="1"/>
  <c r="I88" i="8"/>
  <c r="O88" i="8" s="1"/>
  <c r="I87" i="8"/>
  <c r="O87" i="8" s="1"/>
  <c r="M87" i="8"/>
  <c r="Q87" i="8" s="1"/>
  <c r="K87" i="8"/>
  <c r="P87" i="8" s="1"/>
  <c r="F89" i="8"/>
  <c r="K89" i="8" s="1"/>
  <c r="P89" i="8" s="1"/>
  <c r="M89" i="8"/>
  <c r="Q89" i="8" s="1"/>
  <c r="I88" i="9"/>
  <c r="O88" i="9" s="1"/>
  <c r="M88" i="9"/>
  <c r="Q88" i="9" s="1"/>
  <c r="K88" i="9"/>
  <c r="P88" i="9" s="1"/>
  <c r="G88" i="9"/>
  <c r="N88" i="9" s="1"/>
  <c r="E89" i="9"/>
  <c r="F89" i="9" s="1"/>
  <c r="D89" i="9"/>
  <c r="E89" i="8"/>
  <c r="D89" i="8"/>
  <c r="G88" i="8"/>
  <c r="N88" i="8" s="1"/>
  <c r="F91" i="6"/>
  <c r="E91" i="6"/>
  <c r="D91" i="6"/>
  <c r="G90" i="6"/>
  <c r="J90" i="6" s="1"/>
  <c r="I91" i="6"/>
  <c r="L91" i="6" s="1"/>
  <c r="H91" i="6"/>
  <c r="K91" i="6" s="1"/>
  <c r="E92" i="7"/>
  <c r="D92" i="7"/>
  <c r="F93" i="7" s="1"/>
  <c r="I92" i="7"/>
  <c r="L92" i="7" s="1"/>
  <c r="G91" i="7"/>
  <c r="J91" i="7" s="1"/>
  <c r="H92" i="7"/>
  <c r="K92" i="7" s="1"/>
  <c r="G89" i="5"/>
  <c r="F89" i="5"/>
  <c r="P89" i="5"/>
  <c r="O89" i="5"/>
  <c r="I89" i="8" l="1"/>
  <c r="O89" i="8" s="1"/>
  <c r="I89" i="9"/>
  <c r="O89" i="9" s="1"/>
  <c r="M89" i="9"/>
  <c r="Q89" i="9" s="1"/>
  <c r="K89" i="9"/>
  <c r="P89" i="9" s="1"/>
  <c r="D90" i="9"/>
  <c r="G89" i="9"/>
  <c r="N89" i="9" s="1"/>
  <c r="E90" i="9"/>
  <c r="F90" i="9" s="1"/>
  <c r="G89" i="8"/>
  <c r="N89" i="8" s="1"/>
  <c r="E90" i="8"/>
  <c r="D90" i="8"/>
  <c r="I92" i="6"/>
  <c r="L92" i="6" s="1"/>
  <c r="H92" i="6"/>
  <c r="K92" i="6" s="1"/>
  <c r="D92" i="6"/>
  <c r="F92" i="6"/>
  <c r="E92" i="6"/>
  <c r="G91" i="6"/>
  <c r="J91" i="6" s="1"/>
  <c r="E93" i="7"/>
  <c r="D93" i="7"/>
  <c r="F94" i="7" s="1"/>
  <c r="H93" i="7"/>
  <c r="K93" i="7" s="1"/>
  <c r="I93" i="7"/>
  <c r="L93" i="7" s="1"/>
  <c r="G92" i="7"/>
  <c r="J92" i="7" s="1"/>
  <c r="F90" i="8" l="1"/>
  <c r="K90" i="9"/>
  <c r="P90" i="9" s="1"/>
  <c r="M90" i="9"/>
  <c r="Q90" i="9" s="1"/>
  <c r="I90" i="9"/>
  <c r="O90" i="9" s="1"/>
  <c r="E91" i="9"/>
  <c r="F91" i="9" s="1"/>
  <c r="D91" i="9"/>
  <c r="G90" i="9"/>
  <c r="N90" i="9" s="1"/>
  <c r="E91" i="8"/>
  <c r="D91" i="8"/>
  <c r="G90" i="8"/>
  <c r="N90" i="8" s="1"/>
  <c r="H93" i="6"/>
  <c r="K93" i="6" s="1"/>
  <c r="F93" i="6"/>
  <c r="E93" i="6"/>
  <c r="D93" i="6"/>
  <c r="G92" i="6"/>
  <c r="J92" i="6" s="1"/>
  <c r="I93" i="6"/>
  <c r="L93" i="6" s="1"/>
  <c r="D94" i="7"/>
  <c r="F95" i="7" s="1"/>
  <c r="E94" i="7"/>
  <c r="G93" i="7"/>
  <c r="J93" i="7" s="1"/>
  <c r="K90" i="8" l="1"/>
  <c r="P90" i="8" s="1"/>
  <c r="M90" i="8"/>
  <c r="Q90" i="8" s="1"/>
  <c r="I90" i="8"/>
  <c r="O90" i="8" s="1"/>
  <c r="F91" i="8"/>
  <c r="M91" i="9"/>
  <c r="Q91" i="9" s="1"/>
  <c r="I91" i="9"/>
  <c r="O91" i="9" s="1"/>
  <c r="K91" i="9"/>
  <c r="P91" i="9" s="1"/>
  <c r="E92" i="9"/>
  <c r="F92" i="9" s="1"/>
  <c r="D92" i="9"/>
  <c r="G91" i="9"/>
  <c r="N91" i="9" s="1"/>
  <c r="G91" i="8"/>
  <c r="N91" i="8" s="1"/>
  <c r="E92" i="8"/>
  <c r="D92" i="8"/>
  <c r="H94" i="6"/>
  <c r="K94" i="6" s="1"/>
  <c r="F94" i="6"/>
  <c r="G93" i="6"/>
  <c r="J93" i="6" s="1"/>
  <c r="I94" i="6"/>
  <c r="L94" i="6" s="1"/>
  <c r="E94" i="6"/>
  <c r="D94" i="6"/>
  <c r="E95" i="7"/>
  <c r="D95" i="7"/>
  <c r="F96" i="7" s="1"/>
  <c r="H94" i="7"/>
  <c r="K94" i="7" s="1"/>
  <c r="I94" i="7"/>
  <c r="L94" i="7" s="1"/>
  <c r="H95" i="7"/>
  <c r="K95" i="7" s="1"/>
  <c r="G94" i="7"/>
  <c r="J94" i="7" s="1"/>
  <c r="I95" i="7"/>
  <c r="L95" i="7" s="1"/>
  <c r="M91" i="8" l="1"/>
  <c r="Q91" i="8" s="1"/>
  <c r="K91" i="8"/>
  <c r="P91" i="8" s="1"/>
  <c r="I91" i="8"/>
  <c r="O91" i="8" s="1"/>
  <c r="F92" i="8"/>
  <c r="K92" i="9"/>
  <c r="P92" i="9" s="1"/>
  <c r="M92" i="9"/>
  <c r="Q92" i="9" s="1"/>
  <c r="I92" i="9"/>
  <c r="O92" i="9" s="1"/>
  <c r="G92" i="9"/>
  <c r="N92" i="9" s="1"/>
  <c r="E93" i="9"/>
  <c r="F93" i="9" s="1"/>
  <c r="D93" i="9"/>
  <c r="E93" i="8"/>
  <c r="D93" i="8"/>
  <c r="G92" i="8"/>
  <c r="N92" i="8" s="1"/>
  <c r="G94" i="6"/>
  <c r="J94" i="6" s="1"/>
  <c r="I95" i="6"/>
  <c r="L95" i="6" s="1"/>
  <c r="H95" i="6"/>
  <c r="K95" i="6" s="1"/>
  <c r="F95" i="6"/>
  <c r="E95" i="6"/>
  <c r="D95" i="6"/>
  <c r="D96" i="7"/>
  <c r="F97" i="7" s="1"/>
  <c r="E96" i="7"/>
  <c r="I96" i="7"/>
  <c r="L96" i="7" s="1"/>
  <c r="H96" i="7"/>
  <c r="K96" i="7" s="1"/>
  <c r="G95" i="7"/>
  <c r="J95" i="7" s="1"/>
  <c r="M92" i="8" l="1"/>
  <c r="Q92" i="8" s="1"/>
  <c r="K92" i="8"/>
  <c r="P92" i="8" s="1"/>
  <c r="I92" i="8"/>
  <c r="O92" i="8" s="1"/>
  <c r="F93" i="8"/>
  <c r="K93" i="9"/>
  <c r="P93" i="9" s="1"/>
  <c r="M93" i="9"/>
  <c r="Q93" i="9" s="1"/>
  <c r="I93" i="9"/>
  <c r="O93" i="9" s="1"/>
  <c r="G93" i="9"/>
  <c r="N93" i="9" s="1"/>
  <c r="E94" i="9"/>
  <c r="F94" i="9" s="1"/>
  <c r="D94" i="9"/>
  <c r="E94" i="8"/>
  <c r="F94" i="8" s="1"/>
  <c r="D94" i="8"/>
  <c r="G93" i="8"/>
  <c r="N93" i="8" s="1"/>
  <c r="F96" i="6"/>
  <c r="E96" i="6"/>
  <c r="D96" i="6"/>
  <c r="G95" i="6"/>
  <c r="J95" i="6" s="1"/>
  <c r="H96" i="6"/>
  <c r="K96" i="6" s="1"/>
  <c r="I96" i="6"/>
  <c r="L96" i="6" s="1"/>
  <c r="E97" i="7"/>
  <c r="D97" i="7"/>
  <c r="F98" i="7" s="1"/>
  <c r="I97" i="7"/>
  <c r="L97" i="7" s="1"/>
  <c r="H97" i="7"/>
  <c r="K97" i="7" s="1"/>
  <c r="G96" i="7"/>
  <c r="J96" i="7" s="1"/>
  <c r="M94" i="8" l="1"/>
  <c r="Q94" i="8" s="1"/>
  <c r="I94" i="8"/>
  <c r="O94" i="8" s="1"/>
  <c r="K94" i="8"/>
  <c r="P94" i="8" s="1"/>
  <c r="M93" i="8"/>
  <c r="Q93" i="8" s="1"/>
  <c r="I93" i="8"/>
  <c r="O93" i="8" s="1"/>
  <c r="K93" i="8"/>
  <c r="P93" i="8" s="1"/>
  <c r="K94" i="9"/>
  <c r="P94" i="9" s="1"/>
  <c r="M94" i="9"/>
  <c r="Q94" i="9" s="1"/>
  <c r="I94" i="9"/>
  <c r="O94" i="9" s="1"/>
  <c r="G94" i="9"/>
  <c r="N94" i="9" s="1"/>
  <c r="E95" i="9"/>
  <c r="F95" i="9" s="1"/>
  <c r="D95" i="9"/>
  <c r="G94" i="8"/>
  <c r="N94" i="8" s="1"/>
  <c r="D95" i="8"/>
  <c r="E95" i="8"/>
  <c r="I97" i="6"/>
  <c r="L97" i="6" s="1"/>
  <c r="H97" i="6"/>
  <c r="K97" i="6" s="1"/>
  <c r="F97" i="6"/>
  <c r="E97" i="6"/>
  <c r="D97" i="6"/>
  <c r="G96" i="6"/>
  <c r="J96" i="6" s="1"/>
  <c r="D98" i="7"/>
  <c r="F99" i="7" s="1"/>
  <c r="E98" i="7"/>
  <c r="H98" i="7"/>
  <c r="K98" i="7" s="1"/>
  <c r="G97" i="7"/>
  <c r="J97" i="7" s="1"/>
  <c r="I98" i="7"/>
  <c r="L98" i="7" s="1"/>
  <c r="F95" i="8" l="1"/>
  <c r="I95" i="9"/>
  <c r="O95" i="9" s="1"/>
  <c r="K95" i="9"/>
  <c r="P95" i="9" s="1"/>
  <c r="M95" i="9"/>
  <c r="Q95" i="9" s="1"/>
  <c r="G95" i="9"/>
  <c r="N95" i="9" s="1"/>
  <c r="E96" i="9"/>
  <c r="F96" i="9" s="1"/>
  <c r="D96" i="9"/>
  <c r="E96" i="8"/>
  <c r="D96" i="8"/>
  <c r="G95" i="8"/>
  <c r="N95" i="8" s="1"/>
  <c r="D98" i="6"/>
  <c r="G97" i="6"/>
  <c r="J97" i="6" s="1"/>
  <c r="F98" i="6"/>
  <c r="E98" i="6"/>
  <c r="H98" i="6"/>
  <c r="K98" i="6" s="1"/>
  <c r="I98" i="6"/>
  <c r="L98" i="6" s="1"/>
  <c r="E99" i="7"/>
  <c r="D99" i="7"/>
  <c r="F100" i="7" s="1"/>
  <c r="H99" i="7"/>
  <c r="K99" i="7" s="1"/>
  <c r="I99" i="7"/>
  <c r="L99" i="7" s="1"/>
  <c r="G98" i="7"/>
  <c r="J98" i="7" s="1"/>
  <c r="M95" i="8" l="1"/>
  <c r="Q95" i="8" s="1"/>
  <c r="I95" i="8"/>
  <c r="O95" i="8" s="1"/>
  <c r="K95" i="8"/>
  <c r="P95" i="8" s="1"/>
  <c r="F96" i="8"/>
  <c r="I96" i="9"/>
  <c r="O96" i="9" s="1"/>
  <c r="M96" i="9"/>
  <c r="Q96" i="9" s="1"/>
  <c r="K96" i="9"/>
  <c r="P96" i="9" s="1"/>
  <c r="G96" i="9"/>
  <c r="N96" i="9" s="1"/>
  <c r="E97" i="9"/>
  <c r="F97" i="9" s="1"/>
  <c r="D97" i="9"/>
  <c r="G96" i="8"/>
  <c r="N96" i="8" s="1"/>
  <c r="E97" i="8"/>
  <c r="D97" i="8"/>
  <c r="I99" i="6"/>
  <c r="L99" i="6" s="1"/>
  <c r="E99" i="6"/>
  <c r="G98" i="6"/>
  <c r="J98" i="6" s="1"/>
  <c r="H99" i="6"/>
  <c r="K99" i="6" s="1"/>
  <c r="F99" i="6"/>
  <c r="D99" i="6"/>
  <c r="E100" i="7"/>
  <c r="D100" i="7"/>
  <c r="F101" i="7" s="1"/>
  <c r="I100" i="7"/>
  <c r="L100" i="7" s="1"/>
  <c r="H100" i="7"/>
  <c r="K100" i="7" s="1"/>
  <c r="G99" i="7"/>
  <c r="J99" i="7" s="1"/>
  <c r="F97" i="8" l="1"/>
  <c r="M96" i="8"/>
  <c r="Q96" i="8" s="1"/>
  <c r="K96" i="8"/>
  <c r="P96" i="8" s="1"/>
  <c r="I96" i="8"/>
  <c r="O96" i="8" s="1"/>
  <c r="M97" i="9"/>
  <c r="Q97" i="9" s="1"/>
  <c r="K97" i="9"/>
  <c r="P97" i="9" s="1"/>
  <c r="I97" i="9"/>
  <c r="O97" i="9" s="1"/>
  <c r="D98" i="9"/>
  <c r="G97" i="9"/>
  <c r="N97" i="9" s="1"/>
  <c r="E98" i="9"/>
  <c r="F98" i="9" s="1"/>
  <c r="E98" i="8"/>
  <c r="D98" i="8"/>
  <c r="G97" i="8"/>
  <c r="N97" i="8" s="1"/>
  <c r="I100" i="6"/>
  <c r="L100" i="6" s="1"/>
  <c r="H100" i="6"/>
  <c r="K100" i="6" s="1"/>
  <c r="F100" i="6"/>
  <c r="E100" i="6"/>
  <c r="D100" i="6"/>
  <c r="G99" i="6"/>
  <c r="J99" i="6" s="1"/>
  <c r="E101" i="7"/>
  <c r="D101" i="7"/>
  <c r="F102" i="7" s="1"/>
  <c r="H101" i="7"/>
  <c r="K101" i="7" s="1"/>
  <c r="G100" i="7"/>
  <c r="J100" i="7" s="1"/>
  <c r="I101" i="7"/>
  <c r="L101" i="7" s="1"/>
  <c r="M97" i="8" l="1"/>
  <c r="Q97" i="8" s="1"/>
  <c r="K97" i="8"/>
  <c r="P97" i="8" s="1"/>
  <c r="I97" i="8"/>
  <c r="O97" i="8" s="1"/>
  <c r="F98" i="8"/>
  <c r="M98" i="9"/>
  <c r="Q98" i="9" s="1"/>
  <c r="K98" i="9"/>
  <c r="P98" i="9" s="1"/>
  <c r="I98" i="9"/>
  <c r="O98" i="9" s="1"/>
  <c r="E99" i="9"/>
  <c r="F99" i="9" s="1"/>
  <c r="D99" i="9"/>
  <c r="G98" i="9"/>
  <c r="N98" i="9" s="1"/>
  <c r="G98" i="8"/>
  <c r="N98" i="8" s="1"/>
  <c r="E99" i="8"/>
  <c r="F99" i="8" s="1"/>
  <c r="D99" i="8"/>
  <c r="I101" i="6"/>
  <c r="L101" i="6" s="1"/>
  <c r="H101" i="6"/>
  <c r="K101" i="6" s="1"/>
  <c r="G100" i="6"/>
  <c r="J100" i="6" s="1"/>
  <c r="D101" i="6"/>
  <c r="F101" i="6"/>
  <c r="E101" i="6"/>
  <c r="E102" i="7"/>
  <c r="D102" i="7"/>
  <c r="F103" i="7" s="1"/>
  <c r="I102" i="7"/>
  <c r="L102" i="7" s="1"/>
  <c r="H102" i="7"/>
  <c r="K102" i="7" s="1"/>
  <c r="G101" i="7"/>
  <c r="J101" i="7" s="1"/>
  <c r="I99" i="8" l="1"/>
  <c r="O99" i="8" s="1"/>
  <c r="K99" i="8"/>
  <c r="P99" i="8" s="1"/>
  <c r="M99" i="8"/>
  <c r="Q99" i="8" s="1"/>
  <c r="M98" i="8"/>
  <c r="Q98" i="8" s="1"/>
  <c r="K98" i="8"/>
  <c r="P98" i="8" s="1"/>
  <c r="I98" i="8"/>
  <c r="O98" i="8" s="1"/>
  <c r="K99" i="9"/>
  <c r="P99" i="9" s="1"/>
  <c r="M99" i="9"/>
  <c r="Q99" i="9" s="1"/>
  <c r="I99" i="9"/>
  <c r="O99" i="9" s="1"/>
  <c r="E100" i="9"/>
  <c r="F100" i="9" s="1"/>
  <c r="D100" i="9"/>
  <c r="G99" i="9"/>
  <c r="N99" i="9" s="1"/>
  <c r="E100" i="8"/>
  <c r="F100" i="8" s="1"/>
  <c r="M100" i="8" s="1"/>
  <c r="Q100" i="8" s="1"/>
  <c r="D100" i="8"/>
  <c r="G99" i="8"/>
  <c r="N99" i="8" s="1"/>
  <c r="G101" i="6"/>
  <c r="J101" i="6" s="1"/>
  <c r="I102" i="6"/>
  <c r="L102" i="6" s="1"/>
  <c r="H102" i="6"/>
  <c r="K102" i="6" s="1"/>
  <c r="F102" i="6"/>
  <c r="E102" i="6"/>
  <c r="D102" i="6"/>
  <c r="D103" i="7"/>
  <c r="F104" i="7" s="1"/>
  <c r="E103" i="7"/>
  <c r="H103" i="7"/>
  <c r="K103" i="7" s="1"/>
  <c r="I103" i="7"/>
  <c r="L103" i="7" s="1"/>
  <c r="G102" i="7"/>
  <c r="J102" i="7" s="1"/>
  <c r="K100" i="8" l="1"/>
  <c r="P100" i="8" s="1"/>
  <c r="I100" i="8"/>
  <c r="O100" i="8" s="1"/>
  <c r="M101" i="8"/>
  <c r="K101" i="8"/>
  <c r="P101" i="8" s="1"/>
  <c r="I101" i="8"/>
  <c r="O101" i="8" s="1"/>
  <c r="Q101" i="8"/>
  <c r="I100" i="9"/>
  <c r="O100" i="9" s="1"/>
  <c r="M100" i="9"/>
  <c r="Q100" i="9" s="1"/>
  <c r="K100" i="9"/>
  <c r="P100" i="9" s="1"/>
  <c r="I101" i="9"/>
  <c r="O101" i="9" s="1"/>
  <c r="G100" i="9"/>
  <c r="N100" i="9" s="1"/>
  <c r="E101" i="9"/>
  <c r="F101" i="9" s="1"/>
  <c r="D101" i="9"/>
  <c r="F102" i="9" s="1"/>
  <c r="M101" i="9"/>
  <c r="Q101" i="9" s="1"/>
  <c r="K101" i="9"/>
  <c r="P101" i="9" s="1"/>
  <c r="E101" i="8"/>
  <c r="D101" i="8"/>
  <c r="G100" i="8"/>
  <c r="N100" i="8" s="1"/>
  <c r="F103" i="6"/>
  <c r="E103" i="6"/>
  <c r="G102" i="6"/>
  <c r="J102" i="6" s="1"/>
  <c r="I103" i="6"/>
  <c r="L103" i="6" s="1"/>
  <c r="H103" i="6"/>
  <c r="K103" i="6" s="1"/>
  <c r="D103" i="6"/>
  <c r="D104" i="7"/>
  <c r="F105" i="7" s="1"/>
  <c r="E104" i="7"/>
  <c r="H104" i="7"/>
  <c r="K104" i="7" s="1"/>
  <c r="I104" i="7"/>
  <c r="L104" i="7" s="1"/>
  <c r="G103" i="7"/>
  <c r="J103" i="7" s="1"/>
  <c r="F102" i="8" l="1"/>
  <c r="I102" i="8"/>
  <c r="M102" i="8"/>
  <c r="K102" i="8"/>
  <c r="Q102" i="8"/>
  <c r="F101" i="8"/>
  <c r="K102" i="9"/>
  <c r="P102" i="9" s="1"/>
  <c r="I102" i="9"/>
  <c r="O102" i="9" s="1"/>
  <c r="G101" i="9"/>
  <c r="N101" i="9" s="1"/>
  <c r="E102" i="9"/>
  <c r="D102" i="9"/>
  <c r="F103" i="9" s="1"/>
  <c r="M102" i="9"/>
  <c r="Q102" i="9" s="1"/>
  <c r="D102" i="8"/>
  <c r="G101" i="8"/>
  <c r="N101" i="8" s="1"/>
  <c r="P102" i="8"/>
  <c r="E102" i="8"/>
  <c r="O102" i="8"/>
  <c r="G103" i="6"/>
  <c r="J103" i="6" s="1"/>
  <c r="H104" i="6"/>
  <c r="K104" i="6" s="1"/>
  <c r="I104" i="6"/>
  <c r="L104" i="6" s="1"/>
  <c r="F104" i="6"/>
  <c r="E104" i="6"/>
  <c r="D104" i="6"/>
  <c r="D105" i="7"/>
  <c r="F106" i="7" s="1"/>
  <c r="E105" i="7"/>
  <c r="I105" i="7"/>
  <c r="L105" i="7" s="1"/>
  <c r="H105" i="7"/>
  <c r="K105" i="7" s="1"/>
  <c r="G104" i="7"/>
  <c r="J104" i="7" s="1"/>
  <c r="F103" i="8" l="1"/>
  <c r="I103" i="8"/>
  <c r="M103" i="8"/>
  <c r="Q103" i="8" s="1"/>
  <c r="K103" i="8"/>
  <c r="M103" i="9"/>
  <c r="Q103" i="9" s="1"/>
  <c r="K103" i="9"/>
  <c r="P103" i="9" s="1"/>
  <c r="I103" i="9"/>
  <c r="O103" i="9" s="1"/>
  <c r="G102" i="9"/>
  <c r="N102" i="9" s="1"/>
  <c r="E103" i="9"/>
  <c r="D103" i="9"/>
  <c r="F104" i="9" s="1"/>
  <c r="P103" i="8"/>
  <c r="O103" i="8"/>
  <c r="E103" i="8"/>
  <c r="D103" i="8"/>
  <c r="G102" i="8"/>
  <c r="N102" i="8" s="1"/>
  <c r="E105" i="6"/>
  <c r="D105" i="6"/>
  <c r="H105" i="6"/>
  <c r="K105" i="6" s="1"/>
  <c r="F105" i="6"/>
  <c r="G104" i="6"/>
  <c r="J104" i="6" s="1"/>
  <c r="I105" i="6"/>
  <c r="L105" i="6" s="1"/>
  <c r="E106" i="7"/>
  <c r="D106" i="7"/>
  <c r="F107" i="7" s="1"/>
  <c r="I106" i="7"/>
  <c r="L106" i="7" s="1"/>
  <c r="H106" i="7"/>
  <c r="K106" i="7" s="1"/>
  <c r="G105" i="7"/>
  <c r="J105" i="7" s="1"/>
  <c r="F104" i="8" l="1"/>
  <c r="K104" i="8"/>
  <c r="M104" i="8"/>
  <c r="Q104" i="8" s="1"/>
  <c r="I104" i="8"/>
  <c r="M104" i="9"/>
  <c r="Q104" i="9" s="1"/>
  <c r="K104" i="9"/>
  <c r="P104" i="9" s="1"/>
  <c r="I104" i="9"/>
  <c r="O104" i="9" s="1"/>
  <c r="G103" i="9"/>
  <c r="N103" i="9" s="1"/>
  <c r="E104" i="9"/>
  <c r="D104" i="9"/>
  <c r="F105" i="9" s="1"/>
  <c r="G103" i="8"/>
  <c r="N103" i="8" s="1"/>
  <c r="P104" i="8"/>
  <c r="O104" i="8"/>
  <c r="E104" i="8"/>
  <c r="D104" i="8"/>
  <c r="F106" i="6"/>
  <c r="G105" i="6"/>
  <c r="J105" i="6" s="1"/>
  <c r="I106" i="6"/>
  <c r="L106" i="6" s="1"/>
  <c r="H106" i="6"/>
  <c r="K106" i="6" s="1"/>
  <c r="E106" i="6"/>
  <c r="D106" i="6"/>
  <c r="D107" i="7"/>
  <c r="F108" i="7" s="1"/>
  <c r="E107" i="7"/>
  <c r="H107" i="7"/>
  <c r="K107" i="7" s="1"/>
  <c r="I107" i="7"/>
  <c r="L107" i="7" s="1"/>
  <c r="G106" i="7"/>
  <c r="J106" i="7" s="1"/>
  <c r="F105" i="8" l="1"/>
  <c r="K105" i="8"/>
  <c r="I105" i="8"/>
  <c r="M105" i="8"/>
  <c r="Q105" i="8" s="1"/>
  <c r="M105" i="9"/>
  <c r="Q105" i="9" s="1"/>
  <c r="K105" i="9"/>
  <c r="P105" i="9" s="1"/>
  <c r="I105" i="9"/>
  <c r="O105" i="9" s="1"/>
  <c r="G104" i="9"/>
  <c r="N104" i="9" s="1"/>
  <c r="E105" i="9"/>
  <c r="D105" i="9"/>
  <c r="F106" i="9" s="1"/>
  <c r="P105" i="8"/>
  <c r="O105" i="8"/>
  <c r="E105" i="8"/>
  <c r="D105" i="8"/>
  <c r="G104" i="8"/>
  <c r="N104" i="8" s="1"/>
  <c r="I107" i="6"/>
  <c r="L107" i="6" s="1"/>
  <c r="H107" i="6"/>
  <c r="K107" i="6" s="1"/>
  <c r="F107" i="6"/>
  <c r="E107" i="6"/>
  <c r="D107" i="6"/>
  <c r="G106" i="6"/>
  <c r="J106" i="6" s="1"/>
  <c r="E108" i="7"/>
  <c r="D108" i="7"/>
  <c r="F109" i="7" s="1"/>
  <c r="I108" i="7"/>
  <c r="L108" i="7" s="1"/>
  <c r="G107" i="7"/>
  <c r="J107" i="7" s="1"/>
  <c r="H108" i="7"/>
  <c r="K108" i="7" s="1"/>
  <c r="F106" i="8" l="1"/>
  <c r="K106" i="8"/>
  <c r="I106" i="8"/>
  <c r="M106" i="8"/>
  <c r="Q106" i="8" s="1"/>
  <c r="E106" i="9"/>
  <c r="D106" i="9"/>
  <c r="F107" i="9" s="1"/>
  <c r="M106" i="9"/>
  <c r="Q106" i="9" s="1"/>
  <c r="K106" i="9"/>
  <c r="P106" i="9" s="1"/>
  <c r="G105" i="9"/>
  <c r="N105" i="9" s="1"/>
  <c r="I106" i="9"/>
  <c r="O106" i="9" s="1"/>
  <c r="G105" i="8"/>
  <c r="N105" i="8" s="1"/>
  <c r="P106" i="8"/>
  <c r="O106" i="8"/>
  <c r="E106" i="8"/>
  <c r="D106" i="8"/>
  <c r="I108" i="6"/>
  <c r="L108" i="6" s="1"/>
  <c r="H108" i="6"/>
  <c r="K108" i="6" s="1"/>
  <c r="D108" i="6"/>
  <c r="G107" i="6"/>
  <c r="J107" i="6" s="1"/>
  <c r="E108" i="6"/>
  <c r="F108" i="6"/>
  <c r="D109" i="7"/>
  <c r="F110" i="7" s="1"/>
  <c r="E109" i="7"/>
  <c r="I109" i="7"/>
  <c r="L109" i="7" s="1"/>
  <c r="G108" i="7"/>
  <c r="J108" i="7" s="1"/>
  <c r="F107" i="8" l="1"/>
  <c r="M107" i="8"/>
  <c r="K107" i="8"/>
  <c r="I107" i="8"/>
  <c r="Q107" i="8"/>
  <c r="E107" i="9"/>
  <c r="D107" i="9"/>
  <c r="F108" i="9" s="1"/>
  <c r="M107" i="9"/>
  <c r="Q107" i="9" s="1"/>
  <c r="K107" i="9"/>
  <c r="P107" i="9" s="1"/>
  <c r="I107" i="9"/>
  <c r="O107" i="9" s="1"/>
  <c r="G106" i="9"/>
  <c r="N106" i="9" s="1"/>
  <c r="E107" i="8"/>
  <c r="D107" i="8"/>
  <c r="G106" i="8"/>
  <c r="N106" i="8" s="1"/>
  <c r="O107" i="8"/>
  <c r="P107" i="8"/>
  <c r="I109" i="6"/>
  <c r="L109" i="6" s="1"/>
  <c r="H109" i="6"/>
  <c r="K109" i="6" s="1"/>
  <c r="F109" i="6"/>
  <c r="E109" i="6"/>
  <c r="D109" i="6"/>
  <c r="G108" i="6"/>
  <c r="J108" i="6" s="1"/>
  <c r="D110" i="7"/>
  <c r="F111" i="7" s="1"/>
  <c r="E110" i="7"/>
  <c r="H109" i="7"/>
  <c r="K109" i="7" s="1"/>
  <c r="I110" i="7"/>
  <c r="L110" i="7" s="1"/>
  <c r="H110" i="7"/>
  <c r="K110" i="7" s="1"/>
  <c r="G109" i="7"/>
  <c r="J109" i="7" s="1"/>
  <c r="F108" i="8" l="1"/>
  <c r="M108" i="8"/>
  <c r="Q108" i="8" s="1"/>
  <c r="K108" i="8"/>
  <c r="I108" i="8"/>
  <c r="K108" i="9"/>
  <c r="P108" i="9" s="1"/>
  <c r="G107" i="9"/>
  <c r="N107" i="9" s="1"/>
  <c r="I108" i="9"/>
  <c r="O108" i="9" s="1"/>
  <c r="E108" i="9"/>
  <c r="D108" i="9"/>
  <c r="F109" i="9" s="1"/>
  <c r="M108" i="9"/>
  <c r="Q108" i="9" s="1"/>
  <c r="G107" i="8"/>
  <c r="N107" i="8" s="1"/>
  <c r="P108" i="8"/>
  <c r="O108" i="8"/>
  <c r="E108" i="8"/>
  <c r="D108" i="8"/>
  <c r="H110" i="6"/>
  <c r="K110" i="6" s="1"/>
  <c r="F110" i="6"/>
  <c r="E110" i="6"/>
  <c r="I110" i="6"/>
  <c r="L110" i="6" s="1"/>
  <c r="D110" i="6"/>
  <c r="G109" i="6"/>
  <c r="J109" i="6" s="1"/>
  <c r="D111" i="7"/>
  <c r="F112" i="7" s="1"/>
  <c r="E111" i="7"/>
  <c r="I111" i="7"/>
  <c r="L111" i="7" s="1"/>
  <c r="G110" i="7"/>
  <c r="J110" i="7" s="1"/>
  <c r="H111" i="7"/>
  <c r="K111" i="7" s="1"/>
  <c r="F109" i="8" l="1"/>
  <c r="M109" i="8"/>
  <c r="Q109" i="8" s="1"/>
  <c r="K109" i="8"/>
  <c r="I109" i="8"/>
  <c r="E109" i="9"/>
  <c r="M109" i="9"/>
  <c r="Q109" i="9" s="1"/>
  <c r="K109" i="9"/>
  <c r="P109" i="9" s="1"/>
  <c r="G108" i="9"/>
  <c r="N108" i="9" s="1"/>
  <c r="I109" i="9"/>
  <c r="O109" i="9" s="1"/>
  <c r="D109" i="9"/>
  <c r="F110" i="9" s="1"/>
  <c r="E109" i="8"/>
  <c r="D109" i="8"/>
  <c r="G108" i="8"/>
  <c r="N108" i="8" s="1"/>
  <c r="P109" i="8"/>
  <c r="O109" i="8"/>
  <c r="G110" i="6"/>
  <c r="J110" i="6" s="1"/>
  <c r="I111" i="6"/>
  <c r="L111" i="6" s="1"/>
  <c r="H111" i="6"/>
  <c r="K111" i="6" s="1"/>
  <c r="F111" i="6"/>
  <c r="E111" i="6"/>
  <c r="D111" i="6"/>
  <c r="D112" i="7"/>
  <c r="F113" i="7" s="1"/>
  <c r="E112" i="7"/>
  <c r="I112" i="7"/>
  <c r="L112" i="7" s="1"/>
  <c r="H112" i="7"/>
  <c r="K112" i="7" s="1"/>
  <c r="G111" i="7"/>
  <c r="J111" i="7" s="1"/>
  <c r="F110" i="8" l="1"/>
  <c r="M110" i="8"/>
  <c r="K110" i="8"/>
  <c r="I110" i="8"/>
  <c r="Q110" i="8"/>
  <c r="M110" i="9"/>
  <c r="Q110" i="9" s="1"/>
  <c r="K110" i="9"/>
  <c r="P110" i="9" s="1"/>
  <c r="G109" i="9"/>
  <c r="N109" i="9" s="1"/>
  <c r="I110" i="9"/>
  <c r="O110" i="9" s="1"/>
  <c r="E110" i="9"/>
  <c r="D110" i="9"/>
  <c r="F111" i="9" s="1"/>
  <c r="P110" i="8"/>
  <c r="O110" i="8"/>
  <c r="E110" i="8"/>
  <c r="D110" i="8"/>
  <c r="G109" i="8"/>
  <c r="N109" i="8" s="1"/>
  <c r="F112" i="6"/>
  <c r="E112" i="6"/>
  <c r="D112" i="6"/>
  <c r="G111" i="6"/>
  <c r="J111" i="6" s="1"/>
  <c r="I112" i="6"/>
  <c r="L112" i="6" s="1"/>
  <c r="H112" i="6"/>
  <c r="K112" i="6" s="1"/>
  <c r="E113" i="7"/>
  <c r="D113" i="7"/>
  <c r="F114" i="7" s="1"/>
  <c r="G112" i="7"/>
  <c r="J112" i="7" s="1"/>
  <c r="F111" i="8" l="1"/>
  <c r="M111" i="8"/>
  <c r="I111" i="8"/>
  <c r="K111" i="8"/>
  <c r="Q111" i="8"/>
  <c r="I111" i="9"/>
  <c r="O111" i="9" s="1"/>
  <c r="G110" i="9"/>
  <c r="N110" i="9" s="1"/>
  <c r="M111" i="9"/>
  <c r="Q111" i="9" s="1"/>
  <c r="K111" i="9"/>
  <c r="P111" i="9" s="1"/>
  <c r="D111" i="9"/>
  <c r="F112" i="9" s="1"/>
  <c r="E111" i="9"/>
  <c r="G110" i="8"/>
  <c r="N110" i="8" s="1"/>
  <c r="P111" i="8"/>
  <c r="O111" i="8"/>
  <c r="D111" i="8"/>
  <c r="E111" i="8"/>
  <c r="E113" i="6"/>
  <c r="D113" i="6"/>
  <c r="F113" i="6"/>
  <c r="G112" i="6"/>
  <c r="J112" i="6" s="1"/>
  <c r="I113" i="6"/>
  <c r="L113" i="6" s="1"/>
  <c r="H113" i="6"/>
  <c r="K113" i="6" s="1"/>
  <c r="D114" i="7"/>
  <c r="F115" i="7" s="1"/>
  <c r="E114" i="7"/>
  <c r="H113" i="7"/>
  <c r="K113" i="7" s="1"/>
  <c r="I113" i="7"/>
  <c r="L113" i="7" s="1"/>
  <c r="H114" i="7"/>
  <c r="K114" i="7" s="1"/>
  <c r="I114" i="7"/>
  <c r="L114" i="7" s="1"/>
  <c r="G113" i="7"/>
  <c r="J113" i="7" s="1"/>
  <c r="F112" i="8" l="1"/>
  <c r="M112" i="8"/>
  <c r="K112" i="8"/>
  <c r="I112" i="8"/>
  <c r="Q112" i="8"/>
  <c r="K112" i="9"/>
  <c r="P112" i="9" s="1"/>
  <c r="E112" i="9"/>
  <c r="D112" i="9"/>
  <c r="F113" i="9" s="1"/>
  <c r="M112" i="9"/>
  <c r="Q112" i="9" s="1"/>
  <c r="G111" i="9"/>
  <c r="N111" i="9" s="1"/>
  <c r="I112" i="9"/>
  <c r="O112" i="9" s="1"/>
  <c r="P112" i="8"/>
  <c r="O112" i="8"/>
  <c r="E112" i="8"/>
  <c r="D112" i="8"/>
  <c r="G111" i="8"/>
  <c r="N111" i="8" s="1"/>
  <c r="D114" i="6"/>
  <c r="G113" i="6"/>
  <c r="J113" i="6" s="1"/>
  <c r="I114" i="6"/>
  <c r="L114" i="6" s="1"/>
  <c r="H114" i="6"/>
  <c r="K114" i="6" s="1"/>
  <c r="E114" i="6"/>
  <c r="F114" i="6"/>
  <c r="D115" i="7"/>
  <c r="F116" i="7" s="1"/>
  <c r="E115" i="7"/>
  <c r="H115" i="7"/>
  <c r="K115" i="7" s="1"/>
  <c r="I115" i="7"/>
  <c r="L115" i="7" s="1"/>
  <c r="G114" i="7"/>
  <c r="J114" i="7" s="1"/>
  <c r="F113" i="8" l="1"/>
  <c r="M113" i="8"/>
  <c r="Q113" i="8" s="1"/>
  <c r="K113" i="8"/>
  <c r="I113" i="8"/>
  <c r="M113" i="9"/>
  <c r="Q113" i="9" s="1"/>
  <c r="E113" i="9"/>
  <c r="I113" i="9"/>
  <c r="O113" i="9" s="1"/>
  <c r="D113" i="9"/>
  <c r="F114" i="9" s="1"/>
  <c r="K113" i="9"/>
  <c r="P113" i="9" s="1"/>
  <c r="G112" i="9"/>
  <c r="N112" i="9" s="1"/>
  <c r="G112" i="8"/>
  <c r="N112" i="8" s="1"/>
  <c r="P113" i="8"/>
  <c r="O113" i="8"/>
  <c r="E113" i="8"/>
  <c r="D113" i="8"/>
  <c r="I115" i="6"/>
  <c r="L115" i="6" s="1"/>
  <c r="H115" i="6"/>
  <c r="K115" i="6" s="1"/>
  <c r="E115" i="6"/>
  <c r="F115" i="6"/>
  <c r="D115" i="6"/>
  <c r="G114" i="6"/>
  <c r="J114" i="6" s="1"/>
  <c r="D116" i="7"/>
  <c r="F117" i="7" s="1"/>
  <c r="E116" i="7"/>
  <c r="I116" i="7"/>
  <c r="L116" i="7" s="1"/>
  <c r="H116" i="7"/>
  <c r="K116" i="7" s="1"/>
  <c r="G115" i="7"/>
  <c r="J115" i="7" s="1"/>
  <c r="F114" i="8" l="1"/>
  <c r="M114" i="8"/>
  <c r="Q114" i="8" s="1"/>
  <c r="K114" i="8"/>
  <c r="I114" i="8"/>
  <c r="M114" i="9"/>
  <c r="Q114" i="9" s="1"/>
  <c r="K114" i="9"/>
  <c r="P114" i="9" s="1"/>
  <c r="G113" i="9"/>
  <c r="N113" i="9" s="1"/>
  <c r="I114" i="9"/>
  <c r="O114" i="9" s="1"/>
  <c r="E114" i="9"/>
  <c r="D114" i="9"/>
  <c r="F115" i="9" s="1"/>
  <c r="O114" i="8"/>
  <c r="E114" i="8"/>
  <c r="D114" i="8"/>
  <c r="G113" i="8"/>
  <c r="N113" i="8" s="1"/>
  <c r="P114" i="8"/>
  <c r="I116" i="6"/>
  <c r="L116" i="6" s="1"/>
  <c r="F116" i="6"/>
  <c r="E116" i="6"/>
  <c r="D116" i="6"/>
  <c r="G115" i="6"/>
  <c r="J115" i="6" s="1"/>
  <c r="H116" i="6"/>
  <c r="K116" i="6" s="1"/>
  <c r="D117" i="7"/>
  <c r="F118" i="7" s="1"/>
  <c r="E117" i="7"/>
  <c r="H117" i="7"/>
  <c r="K117" i="7" s="1"/>
  <c r="I117" i="7"/>
  <c r="L117" i="7" s="1"/>
  <c r="G116" i="7"/>
  <c r="J116" i="7" s="1"/>
  <c r="F115" i="8" l="1"/>
  <c r="M115" i="8"/>
  <c r="Q115" i="8" s="1"/>
  <c r="K115" i="8"/>
  <c r="I115" i="8"/>
  <c r="K115" i="9"/>
  <c r="P115" i="9" s="1"/>
  <c r="I115" i="9"/>
  <c r="O115" i="9" s="1"/>
  <c r="G114" i="9"/>
  <c r="N114" i="9" s="1"/>
  <c r="M115" i="9"/>
  <c r="Q115" i="9" s="1"/>
  <c r="E115" i="9"/>
  <c r="D115" i="9"/>
  <c r="F116" i="9" s="1"/>
  <c r="G114" i="8"/>
  <c r="N114" i="8" s="1"/>
  <c r="P115" i="8"/>
  <c r="O115" i="8"/>
  <c r="E115" i="8"/>
  <c r="D115" i="8"/>
  <c r="I117" i="6"/>
  <c r="L117" i="6" s="1"/>
  <c r="H117" i="6"/>
  <c r="K117" i="6" s="1"/>
  <c r="F117" i="6"/>
  <c r="G116" i="6"/>
  <c r="J116" i="6" s="1"/>
  <c r="D117" i="6"/>
  <c r="E117" i="6"/>
  <c r="D118" i="7"/>
  <c r="F119" i="7" s="1"/>
  <c r="E118" i="7"/>
  <c r="H118" i="7"/>
  <c r="K118" i="7" s="1"/>
  <c r="I118" i="7"/>
  <c r="L118" i="7" s="1"/>
  <c r="G117" i="7"/>
  <c r="J117" i="7" s="1"/>
  <c r="F116" i="8" l="1"/>
  <c r="M116" i="8"/>
  <c r="Q116" i="8" s="1"/>
  <c r="K116" i="8"/>
  <c r="I116" i="8"/>
  <c r="M116" i="9"/>
  <c r="Q116" i="9" s="1"/>
  <c r="K116" i="9"/>
  <c r="P116" i="9" s="1"/>
  <c r="E116" i="9"/>
  <c r="D116" i="9"/>
  <c r="F117" i="9" s="1"/>
  <c r="G115" i="9"/>
  <c r="N115" i="9" s="1"/>
  <c r="I116" i="9"/>
  <c r="O116" i="9" s="1"/>
  <c r="E116" i="8"/>
  <c r="D116" i="8"/>
  <c r="G115" i="8"/>
  <c r="N115" i="8" s="1"/>
  <c r="P116" i="8"/>
  <c r="O116" i="8"/>
  <c r="G117" i="6"/>
  <c r="J117" i="6" s="1"/>
  <c r="H118" i="6"/>
  <c r="K118" i="6" s="1"/>
  <c r="I118" i="6"/>
  <c r="L118" i="6" s="1"/>
  <c r="F118" i="6"/>
  <c r="E118" i="6"/>
  <c r="D118" i="6"/>
  <c r="D119" i="7"/>
  <c r="F120" i="7" s="1"/>
  <c r="E119" i="7"/>
  <c r="H119" i="7"/>
  <c r="K119" i="7" s="1"/>
  <c r="I119" i="7"/>
  <c r="L119" i="7" s="1"/>
  <c r="G118" i="7"/>
  <c r="J118" i="7" s="1"/>
  <c r="F117" i="8" l="1"/>
  <c r="M117" i="8"/>
  <c r="K117" i="8"/>
  <c r="I117" i="8"/>
  <c r="Q117" i="8"/>
  <c r="E117" i="9"/>
  <c r="M117" i="9"/>
  <c r="Q117" i="9" s="1"/>
  <c r="G116" i="9"/>
  <c r="N116" i="9" s="1"/>
  <c r="K117" i="9"/>
  <c r="P117" i="9" s="1"/>
  <c r="I117" i="9"/>
  <c r="O117" i="9" s="1"/>
  <c r="D117" i="9"/>
  <c r="F118" i="9" s="1"/>
  <c r="P117" i="8"/>
  <c r="O117" i="8"/>
  <c r="E117" i="8"/>
  <c r="D117" i="8"/>
  <c r="G116" i="8"/>
  <c r="N116" i="8" s="1"/>
  <c r="F119" i="6"/>
  <c r="E119" i="6"/>
  <c r="D119" i="6"/>
  <c r="G118" i="6"/>
  <c r="J118" i="6" s="1"/>
  <c r="I119" i="6"/>
  <c r="L119" i="6" s="1"/>
  <c r="H119" i="6"/>
  <c r="K119" i="6" s="1"/>
  <c r="D120" i="7"/>
  <c r="F121" i="7" s="1"/>
  <c r="E120" i="7"/>
  <c r="H120" i="7"/>
  <c r="K120" i="7" s="1"/>
  <c r="I120" i="7"/>
  <c r="L120" i="7" s="1"/>
  <c r="G119" i="7"/>
  <c r="J119" i="7" s="1"/>
  <c r="F118" i="8" l="1"/>
  <c r="I118" i="8"/>
  <c r="M118" i="8"/>
  <c r="K118" i="8"/>
  <c r="Q118" i="8"/>
  <c r="E118" i="9"/>
  <c r="D118" i="9"/>
  <c r="F119" i="9" s="1"/>
  <c r="G117" i="9"/>
  <c r="N117" i="9" s="1"/>
  <c r="M118" i="9"/>
  <c r="Q118" i="9" s="1"/>
  <c r="K118" i="9"/>
  <c r="P118" i="9" s="1"/>
  <c r="I118" i="9"/>
  <c r="O118" i="9" s="1"/>
  <c r="D118" i="8"/>
  <c r="G117" i="8"/>
  <c r="N117" i="8" s="1"/>
  <c r="P118" i="8"/>
  <c r="E118" i="8"/>
  <c r="O118" i="8"/>
  <c r="G119" i="6"/>
  <c r="J119" i="6" s="1"/>
  <c r="I120" i="6"/>
  <c r="L120" i="6" s="1"/>
  <c r="H120" i="6"/>
  <c r="K120" i="6" s="1"/>
  <c r="F120" i="6"/>
  <c r="E120" i="6"/>
  <c r="D120" i="6"/>
  <c r="D121" i="7"/>
  <c r="F122" i="7" s="1"/>
  <c r="E121" i="7"/>
  <c r="H121" i="7"/>
  <c r="K121" i="7" s="1"/>
  <c r="G120" i="7"/>
  <c r="J120" i="7" s="1"/>
  <c r="F119" i="8" l="1"/>
  <c r="I119" i="8"/>
  <c r="M119" i="8"/>
  <c r="Q119" i="8" s="1"/>
  <c r="K119" i="8"/>
  <c r="I119" i="9"/>
  <c r="O119" i="9" s="1"/>
  <c r="G118" i="9"/>
  <c r="N118" i="9" s="1"/>
  <c r="D119" i="9"/>
  <c r="F120" i="9" s="1"/>
  <c r="M119" i="9"/>
  <c r="Q119" i="9" s="1"/>
  <c r="K119" i="9"/>
  <c r="P119" i="9" s="1"/>
  <c r="E119" i="9"/>
  <c r="P119" i="8"/>
  <c r="O119" i="8"/>
  <c r="E119" i="8"/>
  <c r="D119" i="8"/>
  <c r="G118" i="8"/>
  <c r="N118" i="8" s="1"/>
  <c r="E121" i="6"/>
  <c r="D121" i="6"/>
  <c r="I121" i="6"/>
  <c r="L121" i="6" s="1"/>
  <c r="H121" i="6"/>
  <c r="K121" i="6" s="1"/>
  <c r="G120" i="6"/>
  <c r="J120" i="6" s="1"/>
  <c r="F121" i="6"/>
  <c r="D122" i="7"/>
  <c r="F123" i="7" s="1"/>
  <c r="E122" i="7"/>
  <c r="I122" i="7"/>
  <c r="L122" i="7" s="1"/>
  <c r="H122" i="7"/>
  <c r="K122" i="7" s="1"/>
  <c r="G121" i="7"/>
  <c r="J121" i="7" s="1"/>
  <c r="I121" i="7"/>
  <c r="L121" i="7" s="1"/>
  <c r="F120" i="8" l="1"/>
  <c r="K120" i="8"/>
  <c r="M120" i="8"/>
  <c r="I120" i="8"/>
  <c r="Q120" i="8"/>
  <c r="K120" i="9"/>
  <c r="P120" i="9" s="1"/>
  <c r="I120" i="9"/>
  <c r="O120" i="9" s="1"/>
  <c r="G119" i="9"/>
  <c r="N119" i="9" s="1"/>
  <c r="E120" i="9"/>
  <c r="D120" i="9"/>
  <c r="F121" i="9" s="1"/>
  <c r="M120" i="9"/>
  <c r="Q120" i="9" s="1"/>
  <c r="G119" i="8"/>
  <c r="N119" i="8" s="1"/>
  <c r="P120" i="8"/>
  <c r="O120" i="8"/>
  <c r="D120" i="8"/>
  <c r="E120" i="8"/>
  <c r="I122" i="6"/>
  <c r="L122" i="6" s="1"/>
  <c r="F122" i="6"/>
  <c r="D122" i="6"/>
  <c r="H122" i="6"/>
  <c r="K122" i="6" s="1"/>
  <c r="E122" i="6"/>
  <c r="G121" i="6"/>
  <c r="J121" i="6" s="1"/>
  <c r="D123" i="7"/>
  <c r="F124" i="7" s="1"/>
  <c r="E123" i="7"/>
  <c r="I123" i="7"/>
  <c r="L123" i="7" s="1"/>
  <c r="G122" i="7"/>
  <c r="J122" i="7" s="1"/>
  <c r="H123" i="7"/>
  <c r="K123" i="7" s="1"/>
  <c r="F121" i="8" l="1"/>
  <c r="K121" i="8"/>
  <c r="I121" i="8"/>
  <c r="M121" i="8"/>
  <c r="Q121" i="8" s="1"/>
  <c r="M121" i="9"/>
  <c r="Q121" i="9" s="1"/>
  <c r="K121" i="9"/>
  <c r="P121" i="9" s="1"/>
  <c r="E121" i="9"/>
  <c r="I121" i="9"/>
  <c r="O121" i="9" s="1"/>
  <c r="D121" i="9"/>
  <c r="F122" i="9" s="1"/>
  <c r="G120" i="9"/>
  <c r="N120" i="9" s="1"/>
  <c r="P121" i="8"/>
  <c r="O121" i="8"/>
  <c r="E121" i="8"/>
  <c r="D121" i="8"/>
  <c r="G120" i="8"/>
  <c r="N120" i="8" s="1"/>
  <c r="G122" i="6"/>
  <c r="J122" i="6" s="1"/>
  <c r="F123" i="6"/>
  <c r="E123" i="6"/>
  <c r="D123" i="6"/>
  <c r="I123" i="6"/>
  <c r="L123" i="6" s="1"/>
  <c r="H123" i="6"/>
  <c r="K123" i="6" s="1"/>
  <c r="E124" i="7"/>
  <c r="D124" i="7"/>
  <c r="F125" i="7" s="1"/>
  <c r="I124" i="7"/>
  <c r="L124" i="7" s="1"/>
  <c r="G123" i="7"/>
  <c r="J123" i="7" s="1"/>
  <c r="H124" i="7"/>
  <c r="K124" i="7" s="1"/>
  <c r="F122" i="8" l="1"/>
  <c r="K122" i="8"/>
  <c r="M122" i="8"/>
  <c r="Q122" i="8" s="1"/>
  <c r="I122" i="8"/>
  <c r="O122" i="8" s="1"/>
  <c r="M122" i="9"/>
  <c r="Q122" i="9" s="1"/>
  <c r="I122" i="9"/>
  <c r="O122" i="9" s="1"/>
  <c r="G121" i="9"/>
  <c r="N121" i="9" s="1"/>
  <c r="K122" i="9"/>
  <c r="P122" i="9" s="1"/>
  <c r="E122" i="9"/>
  <c r="D122" i="9"/>
  <c r="F123" i="9" s="1"/>
  <c r="G121" i="8"/>
  <c r="N121" i="8" s="1"/>
  <c r="P122" i="8"/>
  <c r="E122" i="8"/>
  <c r="D122" i="8"/>
  <c r="I124" i="6"/>
  <c r="L124" i="6" s="1"/>
  <c r="H124" i="6"/>
  <c r="K124" i="6" s="1"/>
  <c r="E124" i="6"/>
  <c r="D124" i="6"/>
  <c r="G123" i="6"/>
  <c r="J123" i="6" s="1"/>
  <c r="F124" i="6"/>
  <c r="D125" i="7"/>
  <c r="F126" i="7" s="1"/>
  <c r="E125" i="7"/>
  <c r="I125" i="7"/>
  <c r="L125" i="7" s="1"/>
  <c r="H125" i="7"/>
  <c r="K125" i="7" s="1"/>
  <c r="G124" i="7"/>
  <c r="J124" i="7" s="1"/>
  <c r="F123" i="8" l="1"/>
  <c r="M123" i="8"/>
  <c r="K123" i="8"/>
  <c r="I123" i="8"/>
  <c r="Q123" i="8"/>
  <c r="K123" i="9"/>
  <c r="P123" i="9" s="1"/>
  <c r="I123" i="9"/>
  <c r="O123" i="9" s="1"/>
  <c r="G122" i="9"/>
  <c r="N122" i="9" s="1"/>
  <c r="M123" i="9"/>
  <c r="Q123" i="9" s="1"/>
  <c r="E123" i="9"/>
  <c r="D123" i="9"/>
  <c r="F124" i="9" s="1"/>
  <c r="E123" i="8"/>
  <c r="D123" i="8"/>
  <c r="G122" i="8"/>
  <c r="N122" i="8" s="1"/>
  <c r="O123" i="8"/>
  <c r="P123" i="8"/>
  <c r="G124" i="6"/>
  <c r="J124" i="6" s="1"/>
  <c r="I125" i="6"/>
  <c r="L125" i="6" s="1"/>
  <c r="H125" i="6"/>
  <c r="K125" i="6" s="1"/>
  <c r="F125" i="6"/>
  <c r="E125" i="6"/>
  <c r="D125" i="6"/>
  <c r="D126" i="7"/>
  <c r="F127" i="7" s="1"/>
  <c r="E126" i="7"/>
  <c r="G125" i="7"/>
  <c r="J125" i="7" s="1"/>
  <c r="F124" i="8" l="1"/>
  <c r="M124" i="8"/>
  <c r="Q124" i="8" s="1"/>
  <c r="K124" i="8"/>
  <c r="I124" i="8"/>
  <c r="M124" i="9"/>
  <c r="Q124" i="9" s="1"/>
  <c r="K124" i="9"/>
  <c r="P124" i="9" s="1"/>
  <c r="D124" i="9"/>
  <c r="F125" i="9" s="1"/>
  <c r="G123" i="9"/>
  <c r="N123" i="9" s="1"/>
  <c r="I124" i="9"/>
  <c r="O124" i="9" s="1"/>
  <c r="E124" i="9"/>
  <c r="G123" i="8"/>
  <c r="N123" i="8" s="1"/>
  <c r="P124" i="8"/>
  <c r="O124" i="8"/>
  <c r="E124" i="8"/>
  <c r="D124" i="8"/>
  <c r="H126" i="6"/>
  <c r="K126" i="6" s="1"/>
  <c r="F126" i="6"/>
  <c r="E126" i="6"/>
  <c r="I126" i="6"/>
  <c r="L126" i="6" s="1"/>
  <c r="D126" i="6"/>
  <c r="G125" i="6"/>
  <c r="J125" i="6" s="1"/>
  <c r="D127" i="7"/>
  <c r="F128" i="7" s="1"/>
  <c r="E127" i="7"/>
  <c r="I126" i="7"/>
  <c r="L126" i="7" s="1"/>
  <c r="H126" i="7"/>
  <c r="K126" i="7" s="1"/>
  <c r="G126" i="7"/>
  <c r="J126" i="7" s="1"/>
  <c r="I127" i="7"/>
  <c r="L127" i="7" s="1"/>
  <c r="H127" i="7"/>
  <c r="K127" i="7" s="1"/>
  <c r="F125" i="8" l="1"/>
  <c r="M125" i="8"/>
  <c r="Q125" i="8" s="1"/>
  <c r="K125" i="8"/>
  <c r="I125" i="8"/>
  <c r="E125" i="9"/>
  <c r="D125" i="9"/>
  <c r="F126" i="9" s="1"/>
  <c r="M125" i="9"/>
  <c r="Q125" i="9" s="1"/>
  <c r="K125" i="9"/>
  <c r="P125" i="9" s="1"/>
  <c r="I125" i="9"/>
  <c r="O125" i="9" s="1"/>
  <c r="G124" i="9"/>
  <c r="N124" i="9" s="1"/>
  <c r="P125" i="8"/>
  <c r="O125" i="8"/>
  <c r="E125" i="8"/>
  <c r="D125" i="8"/>
  <c r="G124" i="8"/>
  <c r="N124" i="8" s="1"/>
  <c r="G126" i="6"/>
  <c r="J126" i="6" s="1"/>
  <c r="I127" i="6"/>
  <c r="L127" i="6" s="1"/>
  <c r="F127" i="6"/>
  <c r="H127" i="6"/>
  <c r="K127" i="6" s="1"/>
  <c r="E127" i="6"/>
  <c r="D127" i="6"/>
  <c r="D128" i="7"/>
  <c r="F129" i="7" s="1"/>
  <c r="E128" i="7"/>
  <c r="I128" i="7"/>
  <c r="L128" i="7" s="1"/>
  <c r="G127" i="7"/>
  <c r="J127" i="7" s="1"/>
  <c r="H128" i="7"/>
  <c r="K128" i="7" s="1"/>
  <c r="F126" i="8" l="1"/>
  <c r="M126" i="8"/>
  <c r="Q126" i="8" s="1"/>
  <c r="K126" i="8"/>
  <c r="I126" i="8"/>
  <c r="E126" i="9"/>
  <c r="G125" i="9"/>
  <c r="N125" i="9" s="1"/>
  <c r="M126" i="9"/>
  <c r="Q126" i="9" s="1"/>
  <c r="K126" i="9"/>
  <c r="P126" i="9" s="1"/>
  <c r="I126" i="9"/>
  <c r="O126" i="9" s="1"/>
  <c r="D126" i="9"/>
  <c r="F127" i="9" s="1"/>
  <c r="G125" i="8"/>
  <c r="N125" i="8" s="1"/>
  <c r="P126" i="8"/>
  <c r="O126" i="8"/>
  <c r="E126" i="8"/>
  <c r="D126" i="8"/>
  <c r="F128" i="6"/>
  <c r="E128" i="6"/>
  <c r="D128" i="6"/>
  <c r="G127" i="6"/>
  <c r="J127" i="6" s="1"/>
  <c r="I128" i="6"/>
  <c r="L128" i="6" s="1"/>
  <c r="H128" i="6"/>
  <c r="K128" i="6" s="1"/>
  <c r="D129" i="7"/>
  <c r="F130" i="7" s="1"/>
  <c r="E129" i="7"/>
  <c r="I129" i="7"/>
  <c r="L129" i="7" s="1"/>
  <c r="G128" i="7"/>
  <c r="J128" i="7" s="1"/>
  <c r="H129" i="7"/>
  <c r="K129" i="7" s="1"/>
  <c r="F127" i="8" l="1"/>
  <c r="M127" i="8"/>
  <c r="I127" i="8"/>
  <c r="K127" i="8"/>
  <c r="Q127" i="8"/>
  <c r="I127" i="9"/>
  <c r="O127" i="9" s="1"/>
  <c r="G126" i="9"/>
  <c r="N126" i="9" s="1"/>
  <c r="D127" i="9"/>
  <c r="F128" i="9" s="1"/>
  <c r="M127" i="9"/>
  <c r="Q127" i="9" s="1"/>
  <c r="K127" i="9"/>
  <c r="P127" i="9" s="1"/>
  <c r="E127" i="9"/>
  <c r="E127" i="8"/>
  <c r="D127" i="8"/>
  <c r="P127" i="8"/>
  <c r="O127" i="8"/>
  <c r="G126" i="8"/>
  <c r="N126" i="8" s="1"/>
  <c r="H129" i="6"/>
  <c r="K129" i="6" s="1"/>
  <c r="E129" i="6"/>
  <c r="D129" i="6"/>
  <c r="I129" i="6"/>
  <c r="L129" i="6" s="1"/>
  <c r="F129" i="6"/>
  <c r="G128" i="6"/>
  <c r="J128" i="6" s="1"/>
  <c r="D130" i="7"/>
  <c r="F131" i="7" s="1"/>
  <c r="E130" i="7"/>
  <c r="H130" i="7"/>
  <c r="K130" i="7" s="1"/>
  <c r="G129" i="7"/>
  <c r="J129" i="7" s="1"/>
  <c r="I130" i="7"/>
  <c r="L130" i="7" s="1"/>
  <c r="F128" i="8" l="1"/>
  <c r="M128" i="8"/>
  <c r="Q128" i="8" s="1"/>
  <c r="K128" i="8"/>
  <c r="I128" i="8"/>
  <c r="K128" i="9"/>
  <c r="P128" i="9" s="1"/>
  <c r="I128" i="9"/>
  <c r="O128" i="9" s="1"/>
  <c r="G127" i="9"/>
  <c r="N127" i="9" s="1"/>
  <c r="E128" i="9"/>
  <c r="D128" i="9"/>
  <c r="F129" i="9" s="1"/>
  <c r="M128" i="9"/>
  <c r="Q128" i="9" s="1"/>
  <c r="G127" i="8"/>
  <c r="N127" i="8" s="1"/>
  <c r="P128" i="8"/>
  <c r="O128" i="8"/>
  <c r="E128" i="8"/>
  <c r="D128" i="8"/>
  <c r="D130" i="6"/>
  <c r="G129" i="6"/>
  <c r="J129" i="6" s="1"/>
  <c r="H130" i="6"/>
  <c r="K130" i="6" s="1"/>
  <c r="F130" i="6"/>
  <c r="E130" i="6"/>
  <c r="I130" i="6"/>
  <c r="L130" i="6" s="1"/>
  <c r="D131" i="7"/>
  <c r="F132" i="7" s="1"/>
  <c r="E131" i="7"/>
  <c r="H131" i="7"/>
  <c r="K131" i="7" s="1"/>
  <c r="I131" i="7"/>
  <c r="L131" i="7" s="1"/>
  <c r="G130" i="7"/>
  <c r="J130" i="7" s="1"/>
  <c r="F129" i="8" l="1"/>
  <c r="M129" i="8"/>
  <c r="K129" i="8"/>
  <c r="I129" i="8"/>
  <c r="Q129" i="8"/>
  <c r="M129" i="9"/>
  <c r="Q129" i="9" s="1"/>
  <c r="K129" i="9"/>
  <c r="P129" i="9" s="1"/>
  <c r="E129" i="9"/>
  <c r="I129" i="9"/>
  <c r="O129" i="9" s="1"/>
  <c r="D129" i="9"/>
  <c r="F130" i="9" s="1"/>
  <c r="G128" i="9"/>
  <c r="N128" i="9" s="1"/>
  <c r="E129" i="8"/>
  <c r="D129" i="8"/>
  <c r="P129" i="8"/>
  <c r="O129" i="8"/>
  <c r="G128" i="8"/>
  <c r="N128" i="8" s="1"/>
  <c r="I131" i="6"/>
  <c r="L131" i="6" s="1"/>
  <c r="H131" i="6"/>
  <c r="K131" i="6" s="1"/>
  <c r="F131" i="6"/>
  <c r="E131" i="6"/>
  <c r="G130" i="6"/>
  <c r="J130" i="6" s="1"/>
  <c r="D131" i="6"/>
  <c r="D132" i="7"/>
  <c r="F133" i="7" s="1"/>
  <c r="E132" i="7"/>
  <c r="I132" i="7"/>
  <c r="L132" i="7" s="1"/>
  <c r="H132" i="7"/>
  <c r="K132" i="7" s="1"/>
  <c r="G131" i="7"/>
  <c r="J131" i="7" s="1"/>
  <c r="F130" i="8" l="1"/>
  <c r="M130" i="8"/>
  <c r="K130" i="8"/>
  <c r="I130" i="8"/>
  <c r="Q130" i="8"/>
  <c r="M130" i="9"/>
  <c r="Q130" i="9" s="1"/>
  <c r="I130" i="9"/>
  <c r="O130" i="9" s="1"/>
  <c r="G129" i="9"/>
  <c r="N129" i="9" s="1"/>
  <c r="K130" i="9"/>
  <c r="P130" i="9" s="1"/>
  <c r="D130" i="9"/>
  <c r="F131" i="9" s="1"/>
  <c r="E130" i="9"/>
  <c r="P130" i="8"/>
  <c r="O130" i="8"/>
  <c r="E130" i="8"/>
  <c r="D130" i="8"/>
  <c r="G129" i="8"/>
  <c r="N129" i="8" s="1"/>
  <c r="I132" i="6"/>
  <c r="L132" i="6" s="1"/>
  <c r="H132" i="6"/>
  <c r="K132" i="6" s="1"/>
  <c r="F132" i="6"/>
  <c r="E132" i="6"/>
  <c r="D132" i="6"/>
  <c r="G131" i="6"/>
  <c r="J131" i="6" s="1"/>
  <c r="D133" i="7"/>
  <c r="F134" i="7" s="1"/>
  <c r="E133" i="7"/>
  <c r="H133" i="7"/>
  <c r="K133" i="7" s="1"/>
  <c r="G132" i="7"/>
  <c r="J132" i="7" s="1"/>
  <c r="I133" i="7"/>
  <c r="L133" i="7" s="1"/>
  <c r="F131" i="8" l="1"/>
  <c r="M131" i="8"/>
  <c r="K131" i="8"/>
  <c r="I131" i="8"/>
  <c r="Q131" i="8"/>
  <c r="K131" i="9"/>
  <c r="P131" i="9" s="1"/>
  <c r="I131" i="9"/>
  <c r="O131" i="9" s="1"/>
  <c r="G130" i="9"/>
  <c r="N130" i="9" s="1"/>
  <c r="M131" i="9"/>
  <c r="Q131" i="9" s="1"/>
  <c r="E131" i="9"/>
  <c r="D131" i="9"/>
  <c r="F132" i="9" s="1"/>
  <c r="G130" i="8"/>
  <c r="N130" i="8" s="1"/>
  <c r="O131" i="8"/>
  <c r="E131" i="8"/>
  <c r="D131" i="8"/>
  <c r="P131" i="8"/>
  <c r="I133" i="6"/>
  <c r="L133" i="6" s="1"/>
  <c r="H133" i="6"/>
  <c r="K133" i="6" s="1"/>
  <c r="F133" i="6"/>
  <c r="D133" i="6"/>
  <c r="E133" i="6"/>
  <c r="G132" i="6"/>
  <c r="J132" i="6" s="1"/>
  <c r="D134" i="7"/>
  <c r="F135" i="7" s="1"/>
  <c r="E134" i="7"/>
  <c r="G133" i="7"/>
  <c r="J133" i="7" s="1"/>
  <c r="F132" i="8" l="1"/>
  <c r="M132" i="8"/>
  <c r="Q132" i="8" s="1"/>
  <c r="K132" i="8"/>
  <c r="I132" i="8"/>
  <c r="M132" i="9"/>
  <c r="Q132" i="9" s="1"/>
  <c r="K132" i="9"/>
  <c r="P132" i="9" s="1"/>
  <c r="E132" i="9"/>
  <c r="D132" i="9"/>
  <c r="F133" i="9" s="1"/>
  <c r="G131" i="9"/>
  <c r="N131" i="9" s="1"/>
  <c r="I132" i="9"/>
  <c r="O132" i="9" s="1"/>
  <c r="P132" i="8"/>
  <c r="O132" i="8"/>
  <c r="E132" i="8"/>
  <c r="D132" i="8"/>
  <c r="G131" i="8"/>
  <c r="N131" i="8" s="1"/>
  <c r="G133" i="6"/>
  <c r="J133" i="6" s="1"/>
  <c r="H134" i="6"/>
  <c r="K134" i="6" s="1"/>
  <c r="D134" i="6"/>
  <c r="I134" i="6"/>
  <c r="L134" i="6" s="1"/>
  <c r="F134" i="6"/>
  <c r="E134" i="6"/>
  <c r="D135" i="7"/>
  <c r="F136" i="7" s="1"/>
  <c r="E135" i="7"/>
  <c r="H134" i="7"/>
  <c r="K134" i="7" s="1"/>
  <c r="I134" i="7"/>
  <c r="L134" i="7" s="1"/>
  <c r="I135" i="7"/>
  <c r="L135" i="7" s="1"/>
  <c r="H135" i="7"/>
  <c r="K135" i="7" s="1"/>
  <c r="G134" i="7"/>
  <c r="J134" i="7" s="1"/>
  <c r="F133" i="8" l="1"/>
  <c r="M133" i="8"/>
  <c r="Q133" i="8" s="1"/>
  <c r="K133" i="8"/>
  <c r="I133" i="8"/>
  <c r="E133" i="9"/>
  <c r="D133" i="9"/>
  <c r="F134" i="9" s="1"/>
  <c r="M133" i="9"/>
  <c r="Q133" i="9" s="1"/>
  <c r="K133" i="9"/>
  <c r="P133" i="9" s="1"/>
  <c r="I133" i="9"/>
  <c r="O133" i="9" s="1"/>
  <c r="G132" i="9"/>
  <c r="N132" i="9" s="1"/>
  <c r="G132" i="8"/>
  <c r="N132" i="8" s="1"/>
  <c r="P133" i="8"/>
  <c r="O133" i="8"/>
  <c r="E133" i="8"/>
  <c r="D133" i="8"/>
  <c r="F135" i="6"/>
  <c r="E135" i="6"/>
  <c r="D135" i="6"/>
  <c r="G134" i="6"/>
  <c r="J134" i="6" s="1"/>
  <c r="I135" i="6"/>
  <c r="L135" i="6" s="1"/>
  <c r="H135" i="6"/>
  <c r="K135" i="6" s="1"/>
  <c r="D136" i="7"/>
  <c r="F137" i="7" s="1"/>
  <c r="E136" i="7"/>
  <c r="G135" i="7"/>
  <c r="J135" i="7" s="1"/>
  <c r="F134" i="8" l="1"/>
  <c r="I134" i="8"/>
  <c r="M134" i="8"/>
  <c r="K134" i="8"/>
  <c r="Q134" i="8"/>
  <c r="E134" i="9"/>
  <c r="D134" i="9"/>
  <c r="F135" i="9" s="1"/>
  <c r="G133" i="9"/>
  <c r="N133" i="9" s="1"/>
  <c r="M134" i="9"/>
  <c r="Q134" i="9" s="1"/>
  <c r="K134" i="9"/>
  <c r="P134" i="9" s="1"/>
  <c r="I134" i="9"/>
  <c r="O134" i="9" s="1"/>
  <c r="O134" i="8"/>
  <c r="E134" i="8"/>
  <c r="D134" i="8"/>
  <c r="P134" i="8"/>
  <c r="G133" i="8"/>
  <c r="N133" i="8" s="1"/>
  <c r="G135" i="6"/>
  <c r="J135" i="6" s="1"/>
  <c r="I136" i="6"/>
  <c r="L136" i="6" s="1"/>
  <c r="H136" i="6"/>
  <c r="K136" i="6" s="1"/>
  <c r="F136" i="6"/>
  <c r="E136" i="6"/>
  <c r="D136" i="6"/>
  <c r="E137" i="7"/>
  <c r="D137" i="7"/>
  <c r="F138" i="7" s="1"/>
  <c r="H136" i="7"/>
  <c r="K136" i="7" s="1"/>
  <c r="I136" i="7"/>
  <c r="L136" i="7" s="1"/>
  <c r="H137" i="7"/>
  <c r="K137" i="7" s="1"/>
  <c r="G136" i="7"/>
  <c r="J136" i="7" s="1"/>
  <c r="F135" i="8" l="1"/>
  <c r="I135" i="8"/>
  <c r="M135" i="8"/>
  <c r="Q135" i="8" s="1"/>
  <c r="K135" i="8"/>
  <c r="I135" i="9"/>
  <c r="O135" i="9" s="1"/>
  <c r="G134" i="9"/>
  <c r="N134" i="9" s="1"/>
  <c r="D135" i="9"/>
  <c r="F136" i="9" s="1"/>
  <c r="M135" i="9"/>
  <c r="Q135" i="9" s="1"/>
  <c r="K135" i="9"/>
  <c r="P135" i="9" s="1"/>
  <c r="E135" i="9"/>
  <c r="G134" i="8"/>
  <c r="N134" i="8" s="1"/>
  <c r="P135" i="8"/>
  <c r="O135" i="8"/>
  <c r="E135" i="8"/>
  <c r="D135" i="8"/>
  <c r="E137" i="6"/>
  <c r="D137" i="6"/>
  <c r="I137" i="6"/>
  <c r="L137" i="6" s="1"/>
  <c r="H137" i="6"/>
  <c r="K137" i="6" s="1"/>
  <c r="F137" i="6"/>
  <c r="G136" i="6"/>
  <c r="J136" i="6" s="1"/>
  <c r="D138" i="7"/>
  <c r="F139" i="7" s="1"/>
  <c r="E138" i="7"/>
  <c r="G137" i="7"/>
  <c r="J137" i="7" s="1"/>
  <c r="I137" i="7"/>
  <c r="L137" i="7" s="1"/>
  <c r="F136" i="8" l="1"/>
  <c r="K136" i="8"/>
  <c r="M136" i="8"/>
  <c r="Q136" i="8" s="1"/>
  <c r="I136" i="8"/>
  <c r="K136" i="9"/>
  <c r="P136" i="9" s="1"/>
  <c r="I136" i="9"/>
  <c r="O136" i="9" s="1"/>
  <c r="G135" i="9"/>
  <c r="N135" i="9" s="1"/>
  <c r="E136" i="9"/>
  <c r="D136" i="9"/>
  <c r="F137" i="9" s="1"/>
  <c r="M136" i="9"/>
  <c r="Q136" i="9" s="1"/>
  <c r="E136" i="8"/>
  <c r="D136" i="8"/>
  <c r="P136" i="8"/>
  <c r="O136" i="8"/>
  <c r="G135" i="8"/>
  <c r="N135" i="8" s="1"/>
  <c r="I138" i="6"/>
  <c r="L138" i="6" s="1"/>
  <c r="F138" i="6"/>
  <c r="D138" i="6"/>
  <c r="G137" i="6"/>
  <c r="J137" i="6" s="1"/>
  <c r="E138" i="6"/>
  <c r="H138" i="6"/>
  <c r="K138" i="6" s="1"/>
  <c r="D139" i="7"/>
  <c r="F140" i="7" s="1"/>
  <c r="E139" i="7"/>
  <c r="I138" i="7"/>
  <c r="L138" i="7" s="1"/>
  <c r="H138" i="7"/>
  <c r="K138" i="7" s="1"/>
  <c r="I139" i="7"/>
  <c r="L139" i="7" s="1"/>
  <c r="G138" i="7"/>
  <c r="J138" i="7" s="1"/>
  <c r="H139" i="7"/>
  <c r="K139" i="7" s="1"/>
  <c r="F137" i="8" l="1"/>
  <c r="K137" i="8"/>
  <c r="I137" i="8"/>
  <c r="M137" i="8"/>
  <c r="Q137" i="8"/>
  <c r="M137" i="9"/>
  <c r="Q137" i="9" s="1"/>
  <c r="K137" i="9"/>
  <c r="P137" i="9" s="1"/>
  <c r="E137" i="9"/>
  <c r="D137" i="9"/>
  <c r="F138" i="9" s="1"/>
  <c r="G136" i="9"/>
  <c r="N136" i="9" s="1"/>
  <c r="I137" i="9"/>
  <c r="O137" i="9" s="1"/>
  <c r="P137" i="8"/>
  <c r="O137" i="8"/>
  <c r="E137" i="8"/>
  <c r="D137" i="8"/>
  <c r="G136" i="8"/>
  <c r="N136" i="8" s="1"/>
  <c r="G138" i="6"/>
  <c r="J138" i="6" s="1"/>
  <c r="I139" i="6"/>
  <c r="L139" i="6" s="1"/>
  <c r="H139" i="6"/>
  <c r="K139" i="6" s="1"/>
  <c r="F139" i="6"/>
  <c r="E139" i="6"/>
  <c r="D139" i="6"/>
  <c r="E140" i="7"/>
  <c r="D140" i="7"/>
  <c r="F141" i="7" s="1"/>
  <c r="I140" i="7"/>
  <c r="L140" i="7" s="1"/>
  <c r="G139" i="7"/>
  <c r="J139" i="7" s="1"/>
  <c r="H140" i="7"/>
  <c r="K140" i="7" s="1"/>
  <c r="F138" i="8" l="1"/>
  <c r="K138" i="8"/>
  <c r="I138" i="8"/>
  <c r="M138" i="8"/>
  <c r="Q138" i="8" s="1"/>
  <c r="M138" i="9"/>
  <c r="Q138" i="9" s="1"/>
  <c r="I138" i="9"/>
  <c r="O138" i="9" s="1"/>
  <c r="G137" i="9"/>
  <c r="N137" i="9" s="1"/>
  <c r="K138" i="9"/>
  <c r="P138" i="9" s="1"/>
  <c r="E138" i="9"/>
  <c r="D138" i="9"/>
  <c r="F139" i="9" s="1"/>
  <c r="D138" i="8"/>
  <c r="G137" i="8"/>
  <c r="N137" i="8" s="1"/>
  <c r="E138" i="8"/>
  <c r="P138" i="8"/>
  <c r="O138" i="8"/>
  <c r="I140" i="6"/>
  <c r="L140" i="6" s="1"/>
  <c r="H140" i="6"/>
  <c r="K140" i="6" s="1"/>
  <c r="E140" i="6"/>
  <c r="D140" i="6"/>
  <c r="F140" i="6"/>
  <c r="G139" i="6"/>
  <c r="J139" i="6" s="1"/>
  <c r="D141" i="7"/>
  <c r="F142" i="7" s="1"/>
  <c r="E141" i="7"/>
  <c r="I141" i="7"/>
  <c r="L141" i="7" s="1"/>
  <c r="G140" i="7"/>
  <c r="J140" i="7" s="1"/>
  <c r="F139" i="8" l="1"/>
  <c r="M139" i="8"/>
  <c r="K139" i="8"/>
  <c r="I139" i="8"/>
  <c r="Q139" i="8"/>
  <c r="K139" i="9"/>
  <c r="P139" i="9" s="1"/>
  <c r="I139" i="9"/>
  <c r="O139" i="9" s="1"/>
  <c r="G138" i="9"/>
  <c r="N138" i="9" s="1"/>
  <c r="E139" i="9"/>
  <c r="D139" i="9"/>
  <c r="F140" i="9" s="1"/>
  <c r="M139" i="9"/>
  <c r="Q139" i="9" s="1"/>
  <c r="P139" i="8"/>
  <c r="O139" i="8"/>
  <c r="E139" i="8"/>
  <c r="D139" i="8"/>
  <c r="G138" i="8"/>
  <c r="N138" i="8" s="1"/>
  <c r="G140" i="6"/>
  <c r="J140" i="6" s="1"/>
  <c r="I141" i="6"/>
  <c r="L141" i="6" s="1"/>
  <c r="H141" i="6"/>
  <c r="K141" i="6" s="1"/>
  <c r="E141" i="6"/>
  <c r="D141" i="6"/>
  <c r="F141" i="6"/>
  <c r="D142" i="7"/>
  <c r="F143" i="7" s="1"/>
  <c r="E142" i="7"/>
  <c r="H141" i="7"/>
  <c r="K141" i="7" s="1"/>
  <c r="G141" i="7"/>
  <c r="J141" i="7" s="1"/>
  <c r="F140" i="8" l="1"/>
  <c r="M140" i="8"/>
  <c r="Q140" i="8" s="1"/>
  <c r="K140" i="8"/>
  <c r="I140" i="8"/>
  <c r="M140" i="9"/>
  <c r="Q140" i="9" s="1"/>
  <c r="K140" i="9"/>
  <c r="P140" i="9" s="1"/>
  <c r="D140" i="9"/>
  <c r="F141" i="9" s="1"/>
  <c r="I140" i="9"/>
  <c r="O140" i="9" s="1"/>
  <c r="E140" i="9"/>
  <c r="G139" i="9"/>
  <c r="N139" i="9" s="1"/>
  <c r="G139" i="8"/>
  <c r="N139" i="8" s="1"/>
  <c r="P140" i="8"/>
  <c r="O140" i="8"/>
  <c r="E140" i="8"/>
  <c r="D140" i="8"/>
  <c r="H142" i="6"/>
  <c r="K142" i="6" s="1"/>
  <c r="F142" i="6"/>
  <c r="E142" i="6"/>
  <c r="I142" i="6"/>
  <c r="L142" i="6" s="1"/>
  <c r="D142" i="6"/>
  <c r="G141" i="6"/>
  <c r="J141" i="6" s="1"/>
  <c r="D143" i="7"/>
  <c r="F144" i="7" s="1"/>
  <c r="E143" i="7"/>
  <c r="I142" i="7"/>
  <c r="L142" i="7" s="1"/>
  <c r="H142" i="7"/>
  <c r="K142" i="7" s="1"/>
  <c r="I143" i="7"/>
  <c r="L143" i="7" s="1"/>
  <c r="G142" i="7"/>
  <c r="J142" i="7" s="1"/>
  <c r="H143" i="7"/>
  <c r="K143" i="7" s="1"/>
  <c r="F141" i="8" l="1"/>
  <c r="M141" i="8"/>
  <c r="I141" i="8"/>
  <c r="K141" i="8"/>
  <c r="Q141" i="8"/>
  <c r="E141" i="9"/>
  <c r="D141" i="9"/>
  <c r="F142" i="9" s="1"/>
  <c r="M141" i="9"/>
  <c r="Q141" i="9" s="1"/>
  <c r="K141" i="9"/>
  <c r="P141" i="9" s="1"/>
  <c r="I141" i="9"/>
  <c r="O141" i="9" s="1"/>
  <c r="G140" i="9"/>
  <c r="N140" i="9" s="1"/>
  <c r="P141" i="8"/>
  <c r="O141" i="8"/>
  <c r="E141" i="8"/>
  <c r="D141" i="8"/>
  <c r="G140" i="8"/>
  <c r="N140" i="8" s="1"/>
  <c r="G142" i="6"/>
  <c r="J142" i="6" s="1"/>
  <c r="I143" i="6"/>
  <c r="L143" i="6" s="1"/>
  <c r="F143" i="6"/>
  <c r="H143" i="6"/>
  <c r="K143" i="6" s="1"/>
  <c r="E143" i="6"/>
  <c r="D143" i="6"/>
  <c r="D144" i="7"/>
  <c r="F145" i="7" s="1"/>
  <c r="E144" i="7"/>
  <c r="I144" i="7"/>
  <c r="L144" i="7" s="1"/>
  <c r="G143" i="7"/>
  <c r="J143" i="7" s="1"/>
  <c r="H144" i="7"/>
  <c r="K144" i="7" s="1"/>
  <c r="F142" i="8" l="1"/>
  <c r="M142" i="8"/>
  <c r="K142" i="8"/>
  <c r="I142" i="8"/>
  <c r="Q142" i="8"/>
  <c r="E142" i="9"/>
  <c r="D142" i="9"/>
  <c r="F143" i="9" s="1"/>
  <c r="G141" i="9"/>
  <c r="N141" i="9" s="1"/>
  <c r="M142" i="9"/>
  <c r="Q142" i="9" s="1"/>
  <c r="K142" i="9"/>
  <c r="P142" i="9" s="1"/>
  <c r="I142" i="9"/>
  <c r="O142" i="9" s="1"/>
  <c r="G141" i="8"/>
  <c r="N141" i="8" s="1"/>
  <c r="P142" i="8"/>
  <c r="O142" i="8"/>
  <c r="E142" i="8"/>
  <c r="D142" i="8"/>
  <c r="F144" i="6"/>
  <c r="E144" i="6"/>
  <c r="D144" i="6"/>
  <c r="G143" i="6"/>
  <c r="J143" i="6" s="1"/>
  <c r="I144" i="6"/>
  <c r="L144" i="6" s="1"/>
  <c r="H144" i="6"/>
  <c r="K144" i="6" s="1"/>
  <c r="E145" i="7"/>
  <c r="D145" i="7"/>
  <c r="F146" i="7" s="1"/>
  <c r="I145" i="7"/>
  <c r="L145" i="7" s="1"/>
  <c r="H145" i="7"/>
  <c r="K145" i="7" s="1"/>
  <c r="G144" i="7"/>
  <c r="J144" i="7" s="1"/>
  <c r="F143" i="8" l="1"/>
  <c r="M143" i="8"/>
  <c r="I143" i="8"/>
  <c r="K143" i="8"/>
  <c r="Q143" i="8"/>
  <c r="I143" i="9"/>
  <c r="O143" i="9" s="1"/>
  <c r="G142" i="9"/>
  <c r="N142" i="9" s="1"/>
  <c r="D143" i="9"/>
  <c r="F144" i="9" s="1"/>
  <c r="M143" i="9"/>
  <c r="Q143" i="9" s="1"/>
  <c r="K143" i="9"/>
  <c r="P143" i="9" s="1"/>
  <c r="E143" i="9"/>
  <c r="E143" i="8"/>
  <c r="D143" i="8"/>
  <c r="P143" i="8"/>
  <c r="O143" i="8"/>
  <c r="G142" i="8"/>
  <c r="N142" i="8" s="1"/>
  <c r="H145" i="6"/>
  <c r="K145" i="6" s="1"/>
  <c r="E145" i="6"/>
  <c r="D145" i="6"/>
  <c r="G144" i="6"/>
  <c r="J144" i="6" s="1"/>
  <c r="F145" i="6"/>
  <c r="I145" i="6"/>
  <c r="L145" i="6" s="1"/>
  <c r="D146" i="7"/>
  <c r="F147" i="7" s="1"/>
  <c r="E146" i="7"/>
  <c r="I146" i="7"/>
  <c r="L146" i="7" s="1"/>
  <c r="G145" i="7"/>
  <c r="J145" i="7" s="1"/>
  <c r="H146" i="7"/>
  <c r="K146" i="7" s="1"/>
  <c r="F144" i="8" l="1"/>
  <c r="M144" i="8"/>
  <c r="K144" i="8"/>
  <c r="I144" i="8"/>
  <c r="Q144" i="8"/>
  <c r="K144" i="9"/>
  <c r="P144" i="9" s="1"/>
  <c r="I144" i="9"/>
  <c r="O144" i="9" s="1"/>
  <c r="G143" i="9"/>
  <c r="N143" i="9" s="1"/>
  <c r="E144" i="9"/>
  <c r="D144" i="9"/>
  <c r="F145" i="9" s="1"/>
  <c r="M144" i="9"/>
  <c r="Q144" i="9" s="1"/>
  <c r="G143" i="8"/>
  <c r="N143" i="8" s="1"/>
  <c r="P144" i="8"/>
  <c r="O144" i="8"/>
  <c r="D144" i="8"/>
  <c r="E144" i="8"/>
  <c r="D146" i="6"/>
  <c r="G145" i="6"/>
  <c r="J145" i="6" s="1"/>
  <c r="I146" i="6"/>
  <c r="L146" i="6" s="1"/>
  <c r="H146" i="6"/>
  <c r="K146" i="6" s="1"/>
  <c r="F146" i="6"/>
  <c r="E146" i="6"/>
  <c r="D147" i="7"/>
  <c r="F148" i="7" s="1"/>
  <c r="E147" i="7"/>
  <c r="H147" i="7"/>
  <c r="K147" i="7" s="1"/>
  <c r="I147" i="7"/>
  <c r="L147" i="7" s="1"/>
  <c r="G146" i="7"/>
  <c r="J146" i="7" s="1"/>
  <c r="F145" i="8" l="1"/>
  <c r="M145" i="8"/>
  <c r="K145" i="8"/>
  <c r="I145" i="8"/>
  <c r="Q145" i="8"/>
  <c r="M145" i="9"/>
  <c r="Q145" i="9" s="1"/>
  <c r="K145" i="9"/>
  <c r="P145" i="9" s="1"/>
  <c r="E145" i="9"/>
  <c r="D145" i="9"/>
  <c r="F146" i="9" s="1"/>
  <c r="G144" i="9"/>
  <c r="N144" i="9" s="1"/>
  <c r="I145" i="9"/>
  <c r="O145" i="9" s="1"/>
  <c r="E145" i="8"/>
  <c r="D145" i="8"/>
  <c r="P145" i="8"/>
  <c r="O145" i="8"/>
  <c r="G144" i="8"/>
  <c r="N144" i="8" s="1"/>
  <c r="I147" i="6"/>
  <c r="L147" i="6" s="1"/>
  <c r="H147" i="6"/>
  <c r="K147" i="6" s="1"/>
  <c r="F147" i="6"/>
  <c r="E147" i="6"/>
  <c r="D147" i="6"/>
  <c r="G146" i="6"/>
  <c r="J146" i="6" s="1"/>
  <c r="D148" i="7"/>
  <c r="F149" i="7" s="1"/>
  <c r="E148" i="7"/>
  <c r="I148" i="7"/>
  <c r="L148" i="7" s="1"/>
  <c r="H148" i="7"/>
  <c r="K148" i="7" s="1"/>
  <c r="G147" i="7"/>
  <c r="J147" i="7" s="1"/>
  <c r="F146" i="8" l="1"/>
  <c r="M146" i="8"/>
  <c r="Q146" i="8" s="1"/>
  <c r="K146" i="8"/>
  <c r="I146" i="8"/>
  <c r="M146" i="9"/>
  <c r="Q146" i="9" s="1"/>
  <c r="I146" i="9"/>
  <c r="O146" i="9" s="1"/>
  <c r="G145" i="9"/>
  <c r="N145" i="9" s="1"/>
  <c r="D146" i="9"/>
  <c r="F147" i="9" s="1"/>
  <c r="K146" i="9"/>
  <c r="P146" i="9" s="1"/>
  <c r="E146" i="9"/>
  <c r="P146" i="8"/>
  <c r="O146" i="8"/>
  <c r="E146" i="8"/>
  <c r="D146" i="8"/>
  <c r="G145" i="8"/>
  <c r="N145" i="8" s="1"/>
  <c r="G147" i="6"/>
  <c r="J147" i="6" s="1"/>
  <c r="I148" i="6"/>
  <c r="L148" i="6" s="1"/>
  <c r="H148" i="6"/>
  <c r="K148" i="6" s="1"/>
  <c r="F148" i="6"/>
  <c r="E148" i="6"/>
  <c r="D148" i="6"/>
  <c r="D149" i="7"/>
  <c r="F150" i="7" s="1"/>
  <c r="E149" i="7"/>
  <c r="H149" i="7"/>
  <c r="K149" i="7" s="1"/>
  <c r="I149" i="7"/>
  <c r="L149" i="7" s="1"/>
  <c r="G148" i="7"/>
  <c r="J148" i="7" s="1"/>
  <c r="F147" i="8" l="1"/>
  <c r="M147" i="8"/>
  <c r="Q147" i="8" s="1"/>
  <c r="K147" i="8"/>
  <c r="I147" i="8"/>
  <c r="K147" i="9"/>
  <c r="P147" i="9" s="1"/>
  <c r="I147" i="9"/>
  <c r="O147" i="9" s="1"/>
  <c r="G146" i="9"/>
  <c r="N146" i="9" s="1"/>
  <c r="M147" i="9"/>
  <c r="Q147" i="9" s="1"/>
  <c r="E147" i="9"/>
  <c r="D147" i="9"/>
  <c r="F148" i="9" s="1"/>
  <c r="G146" i="8"/>
  <c r="N146" i="8" s="1"/>
  <c r="E147" i="8"/>
  <c r="D147" i="8"/>
  <c r="O147" i="8"/>
  <c r="P147" i="8"/>
  <c r="I149" i="6"/>
  <c r="L149" i="6" s="1"/>
  <c r="H149" i="6"/>
  <c r="K149" i="6" s="1"/>
  <c r="F149" i="6"/>
  <c r="E149" i="6"/>
  <c r="D149" i="6"/>
  <c r="G148" i="6"/>
  <c r="J148" i="6" s="1"/>
  <c r="D150" i="7"/>
  <c r="F151" i="7" s="1"/>
  <c r="E150" i="7"/>
  <c r="H150" i="7"/>
  <c r="K150" i="7" s="1"/>
  <c r="I150" i="7"/>
  <c r="L150" i="7" s="1"/>
  <c r="G149" i="7"/>
  <c r="J149" i="7" s="1"/>
  <c r="F148" i="8" l="1"/>
  <c r="M148" i="8"/>
  <c r="Q148" i="8" s="1"/>
  <c r="K148" i="8"/>
  <c r="I148" i="8"/>
  <c r="M148" i="9"/>
  <c r="Q148" i="9" s="1"/>
  <c r="K148" i="9"/>
  <c r="P148" i="9" s="1"/>
  <c r="I148" i="9"/>
  <c r="O148" i="9" s="1"/>
  <c r="G147" i="9"/>
  <c r="N147" i="9" s="1"/>
  <c r="D148" i="9"/>
  <c r="F149" i="9" s="1"/>
  <c r="E148" i="9"/>
  <c r="P148" i="8"/>
  <c r="O148" i="8"/>
  <c r="E148" i="8"/>
  <c r="D148" i="8"/>
  <c r="G147" i="8"/>
  <c r="N147" i="8" s="1"/>
  <c r="G149" i="6"/>
  <c r="J149" i="6" s="1"/>
  <c r="I150" i="6"/>
  <c r="L150" i="6" s="1"/>
  <c r="H150" i="6"/>
  <c r="K150" i="6" s="1"/>
  <c r="D150" i="6"/>
  <c r="F150" i="6"/>
  <c r="E150" i="6"/>
  <c r="D151" i="7"/>
  <c r="F152" i="7" s="1"/>
  <c r="E151" i="7"/>
  <c r="I151" i="7"/>
  <c r="L151" i="7" s="1"/>
  <c r="H151" i="7"/>
  <c r="K151" i="7" s="1"/>
  <c r="G150" i="7"/>
  <c r="J150" i="7" s="1"/>
  <c r="F149" i="8" l="1"/>
  <c r="M149" i="8"/>
  <c r="Q149" i="8" s="1"/>
  <c r="K149" i="8"/>
  <c r="I149" i="8"/>
  <c r="E149" i="9"/>
  <c r="D149" i="9"/>
  <c r="F150" i="9" s="1"/>
  <c r="M149" i="9"/>
  <c r="Q149" i="9" s="1"/>
  <c r="K149" i="9"/>
  <c r="P149" i="9" s="1"/>
  <c r="G148" i="9"/>
  <c r="N148" i="9" s="1"/>
  <c r="I149" i="9"/>
  <c r="O149" i="9" s="1"/>
  <c r="G148" i="8"/>
  <c r="N148" i="8" s="1"/>
  <c r="P149" i="8"/>
  <c r="O149" i="8"/>
  <c r="E149" i="8"/>
  <c r="D149" i="8"/>
  <c r="H151" i="6"/>
  <c r="K151" i="6" s="1"/>
  <c r="F151" i="6"/>
  <c r="E151" i="6"/>
  <c r="D151" i="6"/>
  <c r="G150" i="6"/>
  <c r="J150" i="6" s="1"/>
  <c r="I151" i="6"/>
  <c r="L151" i="6" s="1"/>
  <c r="E152" i="7"/>
  <c r="D152" i="7"/>
  <c r="F153" i="7" s="1"/>
  <c r="I152" i="7"/>
  <c r="L152" i="7" s="1"/>
  <c r="H152" i="7"/>
  <c r="K152" i="7" s="1"/>
  <c r="G151" i="7"/>
  <c r="J151" i="7" s="1"/>
  <c r="F150" i="8" l="1"/>
  <c r="I150" i="8"/>
  <c r="M150" i="8"/>
  <c r="Q150" i="8" s="1"/>
  <c r="K150" i="8"/>
  <c r="E150" i="9"/>
  <c r="M150" i="9"/>
  <c r="Q150" i="9" s="1"/>
  <c r="K150" i="9"/>
  <c r="P150" i="9" s="1"/>
  <c r="I150" i="9"/>
  <c r="O150" i="9" s="1"/>
  <c r="D150" i="9"/>
  <c r="F151" i="9" s="1"/>
  <c r="G149" i="9"/>
  <c r="N149" i="9" s="1"/>
  <c r="O150" i="8"/>
  <c r="E150" i="8"/>
  <c r="D150" i="8"/>
  <c r="P150" i="8"/>
  <c r="G149" i="8"/>
  <c r="N149" i="8" s="1"/>
  <c r="G151" i="6"/>
  <c r="J151" i="6" s="1"/>
  <c r="I152" i="6"/>
  <c r="L152" i="6" s="1"/>
  <c r="H152" i="6"/>
  <c r="K152" i="6" s="1"/>
  <c r="F152" i="6"/>
  <c r="E152" i="6"/>
  <c r="D152" i="6"/>
  <c r="D153" i="7"/>
  <c r="F154" i="7" s="1"/>
  <c r="E153" i="7"/>
  <c r="H153" i="7"/>
  <c r="K153" i="7" s="1"/>
  <c r="G152" i="7"/>
  <c r="J152" i="7" s="1"/>
  <c r="F151" i="8" l="1"/>
  <c r="I151" i="8"/>
  <c r="M151" i="8"/>
  <c r="Q151" i="8" s="1"/>
  <c r="K151" i="8"/>
  <c r="I151" i="9"/>
  <c r="O151" i="9" s="1"/>
  <c r="G150" i="9"/>
  <c r="N150" i="9" s="1"/>
  <c r="D151" i="9"/>
  <c r="F152" i="9" s="1"/>
  <c r="M151" i="9"/>
  <c r="Q151" i="9" s="1"/>
  <c r="K151" i="9"/>
  <c r="P151" i="9" s="1"/>
  <c r="E151" i="9"/>
  <c r="G150" i="8"/>
  <c r="N150" i="8" s="1"/>
  <c r="P151" i="8"/>
  <c r="D151" i="8"/>
  <c r="E151" i="8"/>
  <c r="O151" i="8"/>
  <c r="F153" i="6"/>
  <c r="E153" i="6"/>
  <c r="D153" i="6"/>
  <c r="G152" i="6"/>
  <c r="J152" i="6" s="1"/>
  <c r="I153" i="6"/>
  <c r="L153" i="6" s="1"/>
  <c r="H153" i="6"/>
  <c r="K153" i="6" s="1"/>
  <c r="D154" i="7"/>
  <c r="F155" i="7" s="1"/>
  <c r="E154" i="7"/>
  <c r="I154" i="7"/>
  <c r="L154" i="7" s="1"/>
  <c r="H154" i="7"/>
  <c r="K154" i="7" s="1"/>
  <c r="G153" i="7"/>
  <c r="J153" i="7" s="1"/>
  <c r="I153" i="7"/>
  <c r="L153" i="7" s="1"/>
  <c r="F152" i="8" l="1"/>
  <c r="K152" i="8"/>
  <c r="M152" i="8"/>
  <c r="I152" i="8"/>
  <c r="Q152" i="8"/>
  <c r="K152" i="9"/>
  <c r="P152" i="9" s="1"/>
  <c r="I152" i="9"/>
  <c r="O152" i="9" s="1"/>
  <c r="G151" i="9"/>
  <c r="N151" i="9" s="1"/>
  <c r="E152" i="9"/>
  <c r="D152" i="9"/>
  <c r="F153" i="9" s="1"/>
  <c r="M152" i="9"/>
  <c r="Q152" i="9" s="1"/>
  <c r="E152" i="8"/>
  <c r="D152" i="8"/>
  <c r="G151" i="8"/>
  <c r="N151" i="8" s="1"/>
  <c r="P152" i="8"/>
  <c r="O152" i="8"/>
  <c r="I154" i="6"/>
  <c r="L154" i="6" s="1"/>
  <c r="H154" i="6"/>
  <c r="K154" i="6" s="1"/>
  <c r="F154" i="6"/>
  <c r="E154" i="6"/>
  <c r="D154" i="6"/>
  <c r="G153" i="6"/>
  <c r="J153" i="6" s="1"/>
  <c r="D155" i="7"/>
  <c r="F156" i="7" s="1"/>
  <c r="E155" i="7"/>
  <c r="I155" i="7"/>
  <c r="L155" i="7" s="1"/>
  <c r="G154" i="7"/>
  <c r="J154" i="7" s="1"/>
  <c r="H155" i="7"/>
  <c r="K155" i="7" s="1"/>
  <c r="F153" i="8" l="1"/>
  <c r="K153" i="8"/>
  <c r="I153" i="8"/>
  <c r="M153" i="8"/>
  <c r="Q153" i="8"/>
  <c r="M153" i="9"/>
  <c r="Q153" i="9" s="1"/>
  <c r="K153" i="9"/>
  <c r="P153" i="9" s="1"/>
  <c r="E153" i="9"/>
  <c r="D153" i="9"/>
  <c r="F154" i="9" s="1"/>
  <c r="G152" i="9"/>
  <c r="N152" i="9" s="1"/>
  <c r="I153" i="9"/>
  <c r="O153" i="9" s="1"/>
  <c r="P153" i="8"/>
  <c r="O153" i="8"/>
  <c r="E153" i="8"/>
  <c r="D153" i="8"/>
  <c r="G152" i="8"/>
  <c r="N152" i="8" s="1"/>
  <c r="D155" i="6"/>
  <c r="G154" i="6"/>
  <c r="J154" i="6" s="1"/>
  <c r="E155" i="6"/>
  <c r="H155" i="6"/>
  <c r="K155" i="6" s="1"/>
  <c r="I155" i="6"/>
  <c r="L155" i="6" s="1"/>
  <c r="F155" i="6"/>
  <c r="E156" i="7"/>
  <c r="D156" i="7"/>
  <c r="F157" i="7" s="1"/>
  <c r="I156" i="7"/>
  <c r="L156" i="7" s="1"/>
  <c r="G155" i="7"/>
  <c r="J155" i="7" s="1"/>
  <c r="H156" i="7"/>
  <c r="K156" i="7" s="1"/>
  <c r="F154" i="8" l="1"/>
  <c r="K154" i="8"/>
  <c r="M154" i="8"/>
  <c r="Q154" i="8" s="1"/>
  <c r="I154" i="8"/>
  <c r="M154" i="9"/>
  <c r="Q154" i="9" s="1"/>
  <c r="I154" i="9"/>
  <c r="O154" i="9" s="1"/>
  <c r="G153" i="9"/>
  <c r="N153" i="9" s="1"/>
  <c r="E154" i="9"/>
  <c r="D154" i="9"/>
  <c r="F155" i="9" s="1"/>
  <c r="K154" i="9"/>
  <c r="P154" i="9" s="1"/>
  <c r="D154" i="8"/>
  <c r="G153" i="8"/>
  <c r="N153" i="8" s="1"/>
  <c r="P154" i="8"/>
  <c r="O154" i="8"/>
  <c r="E154" i="8"/>
  <c r="I156" i="6"/>
  <c r="L156" i="6" s="1"/>
  <c r="H156" i="6"/>
  <c r="K156" i="6" s="1"/>
  <c r="F156" i="6"/>
  <c r="E156" i="6"/>
  <c r="D156" i="6"/>
  <c r="G155" i="6"/>
  <c r="J155" i="6" s="1"/>
  <c r="D157" i="7"/>
  <c r="F158" i="7" s="1"/>
  <c r="E157" i="7"/>
  <c r="I157" i="7"/>
  <c r="L157" i="7" s="1"/>
  <c r="H157" i="7"/>
  <c r="K157" i="7" s="1"/>
  <c r="G156" i="7"/>
  <c r="J156" i="7" s="1"/>
  <c r="F155" i="8" l="1"/>
  <c r="M155" i="8"/>
  <c r="Q155" i="8" s="1"/>
  <c r="K155" i="8"/>
  <c r="I155" i="8"/>
  <c r="K155" i="9"/>
  <c r="P155" i="9" s="1"/>
  <c r="I155" i="9"/>
  <c r="O155" i="9" s="1"/>
  <c r="G154" i="9"/>
  <c r="N154" i="9" s="1"/>
  <c r="M155" i="9"/>
  <c r="Q155" i="9" s="1"/>
  <c r="E155" i="9"/>
  <c r="D155" i="9"/>
  <c r="F156" i="9" s="1"/>
  <c r="P155" i="8"/>
  <c r="O155" i="8"/>
  <c r="E155" i="8"/>
  <c r="D155" i="8"/>
  <c r="G154" i="8"/>
  <c r="N154" i="8" s="1"/>
  <c r="G156" i="6"/>
  <c r="J156" i="6" s="1"/>
  <c r="I157" i="6"/>
  <c r="L157" i="6" s="1"/>
  <c r="H157" i="6"/>
  <c r="K157" i="6" s="1"/>
  <c r="F157" i="6"/>
  <c r="E157" i="6"/>
  <c r="D157" i="6"/>
  <c r="E158" i="7"/>
  <c r="D158" i="7"/>
  <c r="F159" i="7" s="1"/>
  <c r="G157" i="7"/>
  <c r="J157" i="7" s="1"/>
  <c r="F156" i="8" l="1"/>
  <c r="M156" i="8"/>
  <c r="Q156" i="8" s="1"/>
  <c r="K156" i="8"/>
  <c r="I156" i="8"/>
  <c r="M156" i="9"/>
  <c r="Q156" i="9" s="1"/>
  <c r="K156" i="9"/>
  <c r="P156" i="9" s="1"/>
  <c r="I156" i="9"/>
  <c r="O156" i="9" s="1"/>
  <c r="G155" i="9"/>
  <c r="N155" i="9" s="1"/>
  <c r="D156" i="9"/>
  <c r="F157" i="9" s="1"/>
  <c r="E156" i="9"/>
  <c r="G155" i="8"/>
  <c r="N155" i="8" s="1"/>
  <c r="P156" i="8"/>
  <c r="E156" i="8"/>
  <c r="D156" i="8"/>
  <c r="O156" i="8"/>
  <c r="I158" i="6"/>
  <c r="L158" i="6" s="1"/>
  <c r="H158" i="6"/>
  <c r="K158" i="6" s="1"/>
  <c r="F158" i="6"/>
  <c r="E158" i="6"/>
  <c r="D158" i="6"/>
  <c r="G157" i="6"/>
  <c r="J157" i="6" s="1"/>
  <c r="E159" i="7"/>
  <c r="D159" i="7"/>
  <c r="F160" i="7" s="1"/>
  <c r="I158" i="7"/>
  <c r="L158" i="7" s="1"/>
  <c r="H158" i="7"/>
  <c r="K158" i="7" s="1"/>
  <c r="G158" i="7"/>
  <c r="J158" i="7" s="1"/>
  <c r="I159" i="7"/>
  <c r="L159" i="7" s="1"/>
  <c r="H159" i="7"/>
  <c r="K159" i="7" s="1"/>
  <c r="F157" i="8" l="1"/>
  <c r="M157" i="8"/>
  <c r="K157" i="8"/>
  <c r="I157" i="8"/>
  <c r="Q157" i="8"/>
  <c r="E157" i="9"/>
  <c r="D157" i="9"/>
  <c r="F158" i="9" s="1"/>
  <c r="M157" i="9"/>
  <c r="Q157" i="9" s="1"/>
  <c r="K157" i="9"/>
  <c r="P157" i="9" s="1"/>
  <c r="I157" i="9"/>
  <c r="O157" i="9" s="1"/>
  <c r="G156" i="9"/>
  <c r="N156" i="9" s="1"/>
  <c r="P157" i="8"/>
  <c r="O157" i="8"/>
  <c r="E157" i="8"/>
  <c r="D157" i="8"/>
  <c r="G156" i="8"/>
  <c r="N156" i="8" s="1"/>
  <c r="G158" i="6"/>
  <c r="J158" i="6" s="1"/>
  <c r="I159" i="6"/>
  <c r="L159" i="6" s="1"/>
  <c r="H159" i="6"/>
  <c r="K159" i="6" s="1"/>
  <c r="F159" i="6"/>
  <c r="E159" i="6"/>
  <c r="D159" i="6"/>
  <c r="D160" i="7"/>
  <c r="F161" i="7" s="1"/>
  <c r="E160" i="7"/>
  <c r="I160" i="7"/>
  <c r="L160" i="7" s="1"/>
  <c r="G159" i="7"/>
  <c r="J159" i="7" s="1"/>
  <c r="H160" i="7"/>
  <c r="K160" i="7" s="1"/>
  <c r="F158" i="8" l="1"/>
  <c r="M158" i="8"/>
  <c r="K158" i="8"/>
  <c r="I158" i="8"/>
  <c r="Q158" i="8"/>
  <c r="E158" i="9"/>
  <c r="M158" i="9"/>
  <c r="Q158" i="9" s="1"/>
  <c r="K158" i="9"/>
  <c r="P158" i="9" s="1"/>
  <c r="I158" i="9"/>
  <c r="O158" i="9" s="1"/>
  <c r="D158" i="9"/>
  <c r="F159" i="9" s="1"/>
  <c r="G157" i="9"/>
  <c r="N157" i="9" s="1"/>
  <c r="G157" i="8"/>
  <c r="N157" i="8" s="1"/>
  <c r="O158" i="8"/>
  <c r="E158" i="8"/>
  <c r="P158" i="8"/>
  <c r="D158" i="8"/>
  <c r="F160" i="6"/>
  <c r="E160" i="6"/>
  <c r="D160" i="6"/>
  <c r="G159" i="6"/>
  <c r="J159" i="6" s="1"/>
  <c r="I160" i="6"/>
  <c r="L160" i="6" s="1"/>
  <c r="H160" i="6"/>
  <c r="K160" i="6" s="1"/>
  <c r="D161" i="7"/>
  <c r="F162" i="7" s="1"/>
  <c r="E161" i="7"/>
  <c r="I161" i="7"/>
  <c r="L161" i="7" s="1"/>
  <c r="H161" i="7"/>
  <c r="K161" i="7" s="1"/>
  <c r="G160" i="7"/>
  <c r="J160" i="7" s="1"/>
  <c r="F159" i="8" l="1"/>
  <c r="M159" i="8"/>
  <c r="I159" i="8"/>
  <c r="K159" i="8"/>
  <c r="Q159" i="8"/>
  <c r="I159" i="9"/>
  <c r="O159" i="9" s="1"/>
  <c r="G158" i="9"/>
  <c r="N158" i="9" s="1"/>
  <c r="D159" i="9"/>
  <c r="F160" i="9" s="1"/>
  <c r="K159" i="9"/>
  <c r="P159" i="9" s="1"/>
  <c r="E159" i="9"/>
  <c r="M159" i="9"/>
  <c r="Q159" i="9" s="1"/>
  <c r="E159" i="8"/>
  <c r="D159" i="8"/>
  <c r="G158" i="8"/>
  <c r="N158" i="8" s="1"/>
  <c r="P159" i="8"/>
  <c r="O159" i="8"/>
  <c r="G160" i="6"/>
  <c r="J160" i="6" s="1"/>
  <c r="I161" i="6"/>
  <c r="L161" i="6" s="1"/>
  <c r="H161" i="6"/>
  <c r="K161" i="6" s="1"/>
  <c r="F161" i="6"/>
  <c r="E161" i="6"/>
  <c r="D161" i="6"/>
  <c r="D162" i="7"/>
  <c r="F163" i="7" s="1"/>
  <c r="E162" i="7"/>
  <c r="G161" i="7"/>
  <c r="J161" i="7" s="1"/>
  <c r="I162" i="7"/>
  <c r="L162" i="7" s="1"/>
  <c r="H162" i="7"/>
  <c r="K162" i="7" s="1"/>
  <c r="F160" i="8" l="1"/>
  <c r="M160" i="8"/>
  <c r="Q160" i="8" s="1"/>
  <c r="K160" i="8"/>
  <c r="I160" i="8"/>
  <c r="K160" i="9"/>
  <c r="P160" i="9" s="1"/>
  <c r="I160" i="9"/>
  <c r="O160" i="9" s="1"/>
  <c r="G159" i="9"/>
  <c r="N159" i="9" s="1"/>
  <c r="E160" i="9"/>
  <c r="D160" i="9"/>
  <c r="F161" i="9" s="1"/>
  <c r="M160" i="9"/>
  <c r="Q160" i="9" s="1"/>
  <c r="G159" i="8"/>
  <c r="N159" i="8" s="1"/>
  <c r="P160" i="8"/>
  <c r="O160" i="8"/>
  <c r="E160" i="8"/>
  <c r="D160" i="8"/>
  <c r="E162" i="6"/>
  <c r="D162" i="6"/>
  <c r="G161" i="6"/>
  <c r="J161" i="6" s="1"/>
  <c r="I162" i="6"/>
  <c r="L162" i="6" s="1"/>
  <c r="H162" i="6"/>
  <c r="K162" i="6" s="1"/>
  <c r="F162" i="6"/>
  <c r="D163" i="7"/>
  <c r="F164" i="7" s="1"/>
  <c r="E163" i="7"/>
  <c r="H163" i="7"/>
  <c r="K163" i="7" s="1"/>
  <c r="I163" i="7"/>
  <c r="L163" i="7" s="1"/>
  <c r="G162" i="7"/>
  <c r="J162" i="7" s="1"/>
  <c r="F161" i="8" l="1"/>
  <c r="M161" i="8"/>
  <c r="Q161" i="8" s="1"/>
  <c r="K161" i="8"/>
  <c r="I161" i="8"/>
  <c r="M161" i="9"/>
  <c r="Q161" i="9" s="1"/>
  <c r="K161" i="9"/>
  <c r="P161" i="9" s="1"/>
  <c r="E161" i="9"/>
  <c r="D161" i="9"/>
  <c r="F162" i="9" s="1"/>
  <c r="I161" i="9"/>
  <c r="O161" i="9" s="1"/>
  <c r="G160" i="9"/>
  <c r="N160" i="9" s="1"/>
  <c r="E161" i="8"/>
  <c r="D161" i="8"/>
  <c r="G160" i="8"/>
  <c r="N160" i="8" s="1"/>
  <c r="O161" i="8"/>
  <c r="P161" i="8"/>
  <c r="I163" i="6"/>
  <c r="L163" i="6" s="1"/>
  <c r="H163" i="6"/>
  <c r="K163" i="6" s="1"/>
  <c r="F163" i="6"/>
  <c r="E163" i="6"/>
  <c r="D163" i="6"/>
  <c r="G162" i="6"/>
  <c r="J162" i="6" s="1"/>
  <c r="E164" i="7"/>
  <c r="D164" i="7"/>
  <c r="F165" i="7" s="1"/>
  <c r="I164" i="7"/>
  <c r="L164" i="7" s="1"/>
  <c r="H164" i="7"/>
  <c r="K164" i="7" s="1"/>
  <c r="G163" i="7"/>
  <c r="J163" i="7" s="1"/>
  <c r="F162" i="8" l="1"/>
  <c r="M162" i="8"/>
  <c r="K162" i="8"/>
  <c r="I162" i="8"/>
  <c r="Q162" i="8"/>
  <c r="M162" i="9"/>
  <c r="Q162" i="9" s="1"/>
  <c r="I162" i="9"/>
  <c r="O162" i="9" s="1"/>
  <c r="G161" i="9"/>
  <c r="N161" i="9" s="1"/>
  <c r="E162" i="9"/>
  <c r="D162" i="9"/>
  <c r="F163" i="9" s="1"/>
  <c r="K162" i="9"/>
  <c r="P162" i="9" s="1"/>
  <c r="P162" i="8"/>
  <c r="O162" i="8"/>
  <c r="E162" i="8"/>
  <c r="D162" i="8"/>
  <c r="G161" i="8"/>
  <c r="N161" i="8" s="1"/>
  <c r="G163" i="6"/>
  <c r="J163" i="6" s="1"/>
  <c r="I164" i="6"/>
  <c r="L164" i="6" s="1"/>
  <c r="H164" i="6"/>
  <c r="K164" i="6" s="1"/>
  <c r="F164" i="6"/>
  <c r="E164" i="6"/>
  <c r="D164" i="6"/>
  <c r="E165" i="7"/>
  <c r="D165" i="7"/>
  <c r="F166" i="7" s="1"/>
  <c r="H165" i="7"/>
  <c r="K165" i="7" s="1"/>
  <c r="G164" i="7"/>
  <c r="J164" i="7" s="1"/>
  <c r="I165" i="7"/>
  <c r="L165" i="7" s="1"/>
  <c r="F163" i="8" l="1"/>
  <c r="M163" i="8"/>
  <c r="K163" i="8"/>
  <c r="I163" i="8"/>
  <c r="Q163" i="8"/>
  <c r="K163" i="9"/>
  <c r="P163" i="9" s="1"/>
  <c r="I163" i="9"/>
  <c r="O163" i="9" s="1"/>
  <c r="G162" i="9"/>
  <c r="N162" i="9" s="1"/>
  <c r="E163" i="9"/>
  <c r="D163" i="9"/>
  <c r="F164" i="9" s="1"/>
  <c r="M163" i="9"/>
  <c r="Q163" i="9" s="1"/>
  <c r="G162" i="8"/>
  <c r="N162" i="8" s="1"/>
  <c r="O163" i="8"/>
  <c r="P163" i="8"/>
  <c r="E163" i="8"/>
  <c r="D163" i="8"/>
  <c r="I165" i="6"/>
  <c r="L165" i="6" s="1"/>
  <c r="H165" i="6"/>
  <c r="K165" i="6" s="1"/>
  <c r="F165" i="6"/>
  <c r="E165" i="6"/>
  <c r="D165" i="6"/>
  <c r="G164" i="6"/>
  <c r="J164" i="6" s="1"/>
  <c r="D166" i="7"/>
  <c r="F167" i="7" s="1"/>
  <c r="E166" i="7"/>
  <c r="I166" i="7"/>
  <c r="L166" i="7" s="1"/>
  <c r="H166" i="7"/>
  <c r="K166" i="7" s="1"/>
  <c r="G165" i="7"/>
  <c r="J165" i="7" s="1"/>
  <c r="F164" i="8" l="1"/>
  <c r="M164" i="8"/>
  <c r="Q164" i="8" s="1"/>
  <c r="K164" i="8"/>
  <c r="I164" i="8"/>
  <c r="M164" i="9"/>
  <c r="Q164" i="9" s="1"/>
  <c r="K164" i="9"/>
  <c r="P164" i="9" s="1"/>
  <c r="I164" i="9"/>
  <c r="O164" i="9" s="1"/>
  <c r="G163" i="9"/>
  <c r="N163" i="9" s="1"/>
  <c r="D164" i="9"/>
  <c r="F165" i="9" s="1"/>
  <c r="E164" i="9"/>
  <c r="P164" i="8"/>
  <c r="O164" i="8"/>
  <c r="E164" i="8"/>
  <c r="D164" i="8"/>
  <c r="G163" i="8"/>
  <c r="N163" i="8" s="1"/>
  <c r="G165" i="6"/>
  <c r="J165" i="6" s="1"/>
  <c r="I166" i="6"/>
  <c r="L166" i="6" s="1"/>
  <c r="H166" i="6"/>
  <c r="K166" i="6" s="1"/>
  <c r="D166" i="6"/>
  <c r="F166" i="6"/>
  <c r="E166" i="6"/>
  <c r="D167" i="7"/>
  <c r="F168" i="7" s="1"/>
  <c r="E167" i="7"/>
  <c r="I167" i="7"/>
  <c r="L167" i="7" s="1"/>
  <c r="H167" i="7"/>
  <c r="K167" i="7" s="1"/>
  <c r="G166" i="7"/>
  <c r="J166" i="7" s="1"/>
  <c r="F165" i="8" l="1"/>
  <c r="M165" i="8"/>
  <c r="Q165" i="8" s="1"/>
  <c r="K165" i="8"/>
  <c r="I165" i="8"/>
  <c r="E165" i="9"/>
  <c r="D165" i="9"/>
  <c r="F166" i="9" s="1"/>
  <c r="M165" i="9"/>
  <c r="Q165" i="9" s="1"/>
  <c r="K165" i="9"/>
  <c r="P165" i="9" s="1"/>
  <c r="I165" i="9"/>
  <c r="O165" i="9" s="1"/>
  <c r="G164" i="9"/>
  <c r="N164" i="9" s="1"/>
  <c r="G164" i="8"/>
  <c r="N164" i="8" s="1"/>
  <c r="P165" i="8"/>
  <c r="O165" i="8"/>
  <c r="E165" i="8"/>
  <c r="D165" i="8"/>
  <c r="H167" i="6"/>
  <c r="K167" i="6" s="1"/>
  <c r="F167" i="6"/>
  <c r="E167" i="6"/>
  <c r="D167" i="6"/>
  <c r="G166" i="6"/>
  <c r="J166" i="6" s="1"/>
  <c r="I167" i="6"/>
  <c r="L167" i="6" s="1"/>
  <c r="D168" i="7"/>
  <c r="F169" i="7" s="1"/>
  <c r="E168" i="7"/>
  <c r="I168" i="7"/>
  <c r="L168" i="7" s="1"/>
  <c r="H168" i="7"/>
  <c r="K168" i="7" s="1"/>
  <c r="G167" i="7"/>
  <c r="J167" i="7" s="1"/>
  <c r="F166" i="8" l="1"/>
  <c r="I166" i="8"/>
  <c r="M166" i="8"/>
  <c r="Q166" i="8" s="1"/>
  <c r="K166" i="8"/>
  <c r="E166" i="9"/>
  <c r="D166" i="9"/>
  <c r="F167" i="9" s="1"/>
  <c r="M166" i="9"/>
  <c r="Q166" i="9" s="1"/>
  <c r="K166" i="9"/>
  <c r="P166" i="9" s="1"/>
  <c r="I166" i="9"/>
  <c r="O166" i="9" s="1"/>
  <c r="G165" i="9"/>
  <c r="N165" i="9" s="1"/>
  <c r="O166" i="8"/>
  <c r="E166" i="8"/>
  <c r="D166" i="8"/>
  <c r="P166" i="8"/>
  <c r="G165" i="8"/>
  <c r="N165" i="8" s="1"/>
  <c r="G167" i="6"/>
  <c r="J167" i="6" s="1"/>
  <c r="I168" i="6"/>
  <c r="L168" i="6" s="1"/>
  <c r="H168" i="6"/>
  <c r="K168" i="6" s="1"/>
  <c r="F168" i="6"/>
  <c r="E168" i="6"/>
  <c r="D168" i="6"/>
  <c r="E169" i="7"/>
  <c r="D169" i="7"/>
  <c r="F170" i="7" s="1"/>
  <c r="I169" i="7"/>
  <c r="L169" i="7" s="1"/>
  <c r="H169" i="7"/>
  <c r="K169" i="7" s="1"/>
  <c r="G168" i="7"/>
  <c r="J168" i="7" s="1"/>
  <c r="F167" i="8" l="1"/>
  <c r="I167" i="8"/>
  <c r="M167" i="8"/>
  <c r="K167" i="8"/>
  <c r="Q167" i="8"/>
  <c r="I167" i="9"/>
  <c r="O167" i="9" s="1"/>
  <c r="G166" i="9"/>
  <c r="N166" i="9" s="1"/>
  <c r="E167" i="9"/>
  <c r="D167" i="9"/>
  <c r="F168" i="9" s="1"/>
  <c r="M167" i="9"/>
  <c r="Q167" i="9" s="1"/>
  <c r="K167" i="9"/>
  <c r="P167" i="9" s="1"/>
  <c r="G166" i="8"/>
  <c r="N166" i="8" s="1"/>
  <c r="P167" i="8"/>
  <c r="O167" i="8"/>
  <c r="D167" i="8"/>
  <c r="E167" i="8"/>
  <c r="F169" i="6"/>
  <c r="E169" i="6"/>
  <c r="D169" i="6"/>
  <c r="G168" i="6"/>
  <c r="J168" i="6" s="1"/>
  <c r="I169" i="6"/>
  <c r="L169" i="6" s="1"/>
  <c r="H169" i="6"/>
  <c r="K169" i="6" s="1"/>
  <c r="D170" i="7"/>
  <c r="F171" i="7" s="1"/>
  <c r="E170" i="7"/>
  <c r="I170" i="7"/>
  <c r="L170" i="7" s="1"/>
  <c r="H170" i="7"/>
  <c r="K170" i="7" s="1"/>
  <c r="G169" i="7"/>
  <c r="J169" i="7" s="1"/>
  <c r="F168" i="8" l="1"/>
  <c r="K168" i="8"/>
  <c r="M168" i="8"/>
  <c r="Q168" i="8" s="1"/>
  <c r="I168" i="8"/>
  <c r="K168" i="9"/>
  <c r="P168" i="9" s="1"/>
  <c r="I168" i="9"/>
  <c r="O168" i="9" s="1"/>
  <c r="G167" i="9"/>
  <c r="N167" i="9" s="1"/>
  <c r="E168" i="9"/>
  <c r="D168" i="9"/>
  <c r="F169" i="9" s="1"/>
  <c r="M168" i="9"/>
  <c r="Q168" i="9" s="1"/>
  <c r="E168" i="8"/>
  <c r="D168" i="8"/>
  <c r="G167" i="8"/>
  <c r="N167" i="8" s="1"/>
  <c r="P168" i="8"/>
  <c r="O168" i="8"/>
  <c r="I170" i="6"/>
  <c r="L170" i="6" s="1"/>
  <c r="H170" i="6"/>
  <c r="K170" i="6" s="1"/>
  <c r="F170" i="6"/>
  <c r="E170" i="6"/>
  <c r="D170" i="6"/>
  <c r="G169" i="6"/>
  <c r="J169" i="6" s="1"/>
  <c r="D171" i="7"/>
  <c r="F172" i="7" s="1"/>
  <c r="E171" i="7"/>
  <c r="I171" i="7"/>
  <c r="L171" i="7" s="1"/>
  <c r="G170" i="7"/>
  <c r="J170" i="7" s="1"/>
  <c r="H171" i="7"/>
  <c r="K171" i="7" s="1"/>
  <c r="F169" i="8" l="1"/>
  <c r="K169" i="8"/>
  <c r="I169" i="8"/>
  <c r="M169" i="8"/>
  <c r="Q169" i="8" s="1"/>
  <c r="M169" i="9"/>
  <c r="Q169" i="9" s="1"/>
  <c r="K169" i="9"/>
  <c r="P169" i="9" s="1"/>
  <c r="I169" i="9"/>
  <c r="O169" i="9" s="1"/>
  <c r="G168" i="9"/>
  <c r="N168" i="9" s="1"/>
  <c r="E169" i="9"/>
  <c r="D169" i="9"/>
  <c r="F170" i="9" s="1"/>
  <c r="P169" i="8"/>
  <c r="O169" i="8"/>
  <c r="E169" i="8"/>
  <c r="D169" i="8"/>
  <c r="G168" i="8"/>
  <c r="N168" i="8" s="1"/>
  <c r="D171" i="6"/>
  <c r="G170" i="6"/>
  <c r="J170" i="6" s="1"/>
  <c r="H171" i="6"/>
  <c r="K171" i="6" s="1"/>
  <c r="F171" i="6"/>
  <c r="E171" i="6"/>
  <c r="I171" i="6"/>
  <c r="L171" i="6" s="1"/>
  <c r="E172" i="7"/>
  <c r="D172" i="7"/>
  <c r="F173" i="7" s="1"/>
  <c r="I172" i="7"/>
  <c r="L172" i="7" s="1"/>
  <c r="G171" i="7"/>
  <c r="J171" i="7" s="1"/>
  <c r="H172" i="7"/>
  <c r="K172" i="7" s="1"/>
  <c r="F170" i="8" l="1"/>
  <c r="K170" i="8"/>
  <c r="I170" i="8"/>
  <c r="M170" i="8"/>
  <c r="Q170" i="8" s="1"/>
  <c r="M170" i="9"/>
  <c r="Q170" i="9" s="1"/>
  <c r="K170" i="9"/>
  <c r="P170" i="9" s="1"/>
  <c r="I170" i="9"/>
  <c r="O170" i="9" s="1"/>
  <c r="G169" i="9"/>
  <c r="N169" i="9" s="1"/>
  <c r="E170" i="9"/>
  <c r="D170" i="9"/>
  <c r="F171" i="9" s="1"/>
  <c r="D170" i="8"/>
  <c r="G169" i="8"/>
  <c r="N169" i="8" s="1"/>
  <c r="P170" i="8"/>
  <c r="O170" i="8"/>
  <c r="E170" i="8"/>
  <c r="I172" i="6"/>
  <c r="L172" i="6" s="1"/>
  <c r="H172" i="6"/>
  <c r="K172" i="6" s="1"/>
  <c r="F172" i="6"/>
  <c r="E172" i="6"/>
  <c r="D172" i="6"/>
  <c r="G171" i="6"/>
  <c r="J171" i="6" s="1"/>
  <c r="D173" i="7"/>
  <c r="F174" i="7" s="1"/>
  <c r="E173" i="7"/>
  <c r="I173" i="7"/>
  <c r="L173" i="7" s="1"/>
  <c r="H173" i="7"/>
  <c r="K173" i="7" s="1"/>
  <c r="G172" i="7"/>
  <c r="J172" i="7" s="1"/>
  <c r="F171" i="8" l="1"/>
  <c r="M171" i="8"/>
  <c r="Q171" i="8" s="1"/>
  <c r="K171" i="8"/>
  <c r="I171" i="8"/>
  <c r="M171" i="9"/>
  <c r="Q171" i="9" s="1"/>
  <c r="K171" i="9"/>
  <c r="P171" i="9" s="1"/>
  <c r="I171" i="9"/>
  <c r="O171" i="9" s="1"/>
  <c r="G170" i="9"/>
  <c r="N170" i="9" s="1"/>
  <c r="E171" i="9"/>
  <c r="D171" i="9"/>
  <c r="F172" i="9" s="1"/>
  <c r="P171" i="8"/>
  <c r="O171" i="8"/>
  <c r="E171" i="8"/>
  <c r="D171" i="8"/>
  <c r="G170" i="8"/>
  <c r="N170" i="8" s="1"/>
  <c r="G172" i="6"/>
  <c r="J172" i="6" s="1"/>
  <c r="I173" i="6"/>
  <c r="L173" i="6" s="1"/>
  <c r="H173" i="6"/>
  <c r="K173" i="6" s="1"/>
  <c r="D173" i="6"/>
  <c r="F173" i="6"/>
  <c r="E173" i="6"/>
  <c r="D174" i="7"/>
  <c r="F175" i="7" s="1"/>
  <c r="E174" i="7"/>
  <c r="G173" i="7"/>
  <c r="J173" i="7" s="1"/>
  <c r="F172" i="8" l="1"/>
  <c r="M172" i="8"/>
  <c r="K172" i="8"/>
  <c r="I172" i="8"/>
  <c r="Q172" i="8"/>
  <c r="M172" i="9"/>
  <c r="Q172" i="9" s="1"/>
  <c r="K172" i="9"/>
  <c r="P172" i="9" s="1"/>
  <c r="I172" i="9"/>
  <c r="O172" i="9" s="1"/>
  <c r="G171" i="9"/>
  <c r="N171" i="9" s="1"/>
  <c r="D172" i="9"/>
  <c r="F173" i="9" s="1"/>
  <c r="E172" i="9"/>
  <c r="G171" i="8"/>
  <c r="N171" i="8" s="1"/>
  <c r="P172" i="8"/>
  <c r="O172" i="8"/>
  <c r="E172" i="8"/>
  <c r="D172" i="8"/>
  <c r="I174" i="6"/>
  <c r="L174" i="6" s="1"/>
  <c r="H174" i="6"/>
  <c r="K174" i="6" s="1"/>
  <c r="F174" i="6"/>
  <c r="E174" i="6"/>
  <c r="D174" i="6"/>
  <c r="G173" i="6"/>
  <c r="J173" i="6" s="1"/>
  <c r="D175" i="7"/>
  <c r="F176" i="7" s="1"/>
  <c r="E175" i="7"/>
  <c r="I174" i="7"/>
  <c r="L174" i="7" s="1"/>
  <c r="H174" i="7"/>
  <c r="K174" i="7" s="1"/>
  <c r="I175" i="7"/>
  <c r="L175" i="7" s="1"/>
  <c r="G174" i="7"/>
  <c r="J174" i="7" s="1"/>
  <c r="H175" i="7"/>
  <c r="K175" i="7" s="1"/>
  <c r="F173" i="8" l="1"/>
  <c r="M173" i="8"/>
  <c r="Q173" i="8" s="1"/>
  <c r="I173" i="8"/>
  <c r="K173" i="8"/>
  <c r="E173" i="9"/>
  <c r="D173" i="9"/>
  <c r="F174" i="9" s="1"/>
  <c r="M173" i="9"/>
  <c r="Q173" i="9" s="1"/>
  <c r="K173" i="9"/>
  <c r="P173" i="9" s="1"/>
  <c r="I173" i="9"/>
  <c r="O173" i="9" s="1"/>
  <c r="G172" i="9"/>
  <c r="N172" i="9" s="1"/>
  <c r="P173" i="8"/>
  <c r="O173" i="8"/>
  <c r="E173" i="8"/>
  <c r="D173" i="8"/>
  <c r="G172" i="8"/>
  <c r="N172" i="8" s="1"/>
  <c r="G174" i="6"/>
  <c r="J174" i="6" s="1"/>
  <c r="I175" i="6"/>
  <c r="L175" i="6" s="1"/>
  <c r="H175" i="6"/>
  <c r="K175" i="6" s="1"/>
  <c r="F175" i="6"/>
  <c r="E175" i="6"/>
  <c r="D175" i="6"/>
  <c r="D176" i="7"/>
  <c r="F177" i="7" s="1"/>
  <c r="E176" i="7"/>
  <c r="I176" i="7"/>
  <c r="L176" i="7" s="1"/>
  <c r="G175" i="7"/>
  <c r="J175" i="7" s="1"/>
  <c r="H176" i="7"/>
  <c r="K176" i="7" s="1"/>
  <c r="F174" i="8" l="1"/>
  <c r="M174" i="8"/>
  <c r="Q174" i="8" s="1"/>
  <c r="K174" i="8"/>
  <c r="I174" i="8"/>
  <c r="E174" i="9"/>
  <c r="D174" i="9"/>
  <c r="F175" i="9" s="1"/>
  <c r="M174" i="9"/>
  <c r="Q174" i="9" s="1"/>
  <c r="K174" i="9"/>
  <c r="P174" i="9" s="1"/>
  <c r="I174" i="9"/>
  <c r="O174" i="9" s="1"/>
  <c r="G173" i="9"/>
  <c r="N173" i="9" s="1"/>
  <c r="G173" i="8"/>
  <c r="N173" i="8" s="1"/>
  <c r="P174" i="8"/>
  <c r="O174" i="8"/>
  <c r="E174" i="8"/>
  <c r="D174" i="8"/>
  <c r="F176" i="6"/>
  <c r="E176" i="6"/>
  <c r="D176" i="6"/>
  <c r="G175" i="6"/>
  <c r="J175" i="6" s="1"/>
  <c r="I176" i="6"/>
  <c r="L176" i="6" s="1"/>
  <c r="H176" i="6"/>
  <c r="K176" i="6" s="1"/>
  <c r="D177" i="7"/>
  <c r="F178" i="7" s="1"/>
  <c r="E177" i="7"/>
  <c r="I177" i="7"/>
  <c r="L177" i="7" s="1"/>
  <c r="H177" i="7"/>
  <c r="K177" i="7" s="1"/>
  <c r="G176" i="7"/>
  <c r="J176" i="7" s="1"/>
  <c r="F175" i="8" l="1"/>
  <c r="M175" i="8"/>
  <c r="Q175" i="8" s="1"/>
  <c r="I175" i="8"/>
  <c r="K175" i="8"/>
  <c r="I175" i="9"/>
  <c r="O175" i="9" s="1"/>
  <c r="G174" i="9"/>
  <c r="N174" i="9" s="1"/>
  <c r="E175" i="9"/>
  <c r="D175" i="9"/>
  <c r="F176" i="9" s="1"/>
  <c r="M175" i="9"/>
  <c r="Q175" i="9" s="1"/>
  <c r="K175" i="9"/>
  <c r="P175" i="9" s="1"/>
  <c r="E175" i="8"/>
  <c r="D175" i="8"/>
  <c r="G174" i="8"/>
  <c r="N174" i="8" s="1"/>
  <c r="P175" i="8"/>
  <c r="O175" i="8"/>
  <c r="G176" i="6"/>
  <c r="J176" i="6" s="1"/>
  <c r="I177" i="6"/>
  <c r="L177" i="6" s="1"/>
  <c r="H177" i="6"/>
  <c r="K177" i="6" s="1"/>
  <c r="F177" i="6"/>
  <c r="E177" i="6"/>
  <c r="D177" i="6"/>
  <c r="D178" i="7"/>
  <c r="F179" i="7" s="1"/>
  <c r="E178" i="7"/>
  <c r="I178" i="7"/>
  <c r="L178" i="7" s="1"/>
  <c r="G177" i="7"/>
  <c r="J177" i="7" s="1"/>
  <c r="H178" i="7"/>
  <c r="K178" i="7" s="1"/>
  <c r="F176" i="8" l="1"/>
  <c r="M176" i="8"/>
  <c r="Q176" i="8" s="1"/>
  <c r="K176" i="8"/>
  <c r="I176" i="8"/>
  <c r="K176" i="9"/>
  <c r="P176" i="9" s="1"/>
  <c r="I176" i="9"/>
  <c r="O176" i="9" s="1"/>
  <c r="G175" i="9"/>
  <c r="N175" i="9" s="1"/>
  <c r="E176" i="9"/>
  <c r="D176" i="9"/>
  <c r="F177" i="9" s="1"/>
  <c r="M176" i="9"/>
  <c r="Q176" i="9" s="1"/>
  <c r="G175" i="8"/>
  <c r="N175" i="8" s="1"/>
  <c r="P176" i="8"/>
  <c r="O176" i="8"/>
  <c r="E176" i="8"/>
  <c r="D176" i="8"/>
  <c r="E178" i="6"/>
  <c r="D178" i="6"/>
  <c r="G177" i="6"/>
  <c r="J177" i="6" s="1"/>
  <c r="H178" i="6"/>
  <c r="K178" i="6" s="1"/>
  <c r="I178" i="6"/>
  <c r="L178" i="6" s="1"/>
  <c r="F178" i="6"/>
  <c r="D179" i="7"/>
  <c r="F180" i="7" s="1"/>
  <c r="E179" i="7"/>
  <c r="H179" i="7"/>
  <c r="K179" i="7" s="1"/>
  <c r="I179" i="7"/>
  <c r="L179" i="7" s="1"/>
  <c r="G178" i="7"/>
  <c r="J178" i="7" s="1"/>
  <c r="F177" i="8" l="1"/>
  <c r="M177" i="8"/>
  <c r="K177" i="8"/>
  <c r="I177" i="8"/>
  <c r="Q177" i="8"/>
  <c r="M177" i="9"/>
  <c r="Q177" i="9" s="1"/>
  <c r="K177" i="9"/>
  <c r="P177" i="9" s="1"/>
  <c r="I177" i="9"/>
  <c r="O177" i="9" s="1"/>
  <c r="G176" i="9"/>
  <c r="N176" i="9" s="1"/>
  <c r="E177" i="9"/>
  <c r="D177" i="9"/>
  <c r="F178" i="9" s="1"/>
  <c r="E177" i="8"/>
  <c r="D177" i="8"/>
  <c r="G176" i="8"/>
  <c r="N176" i="8" s="1"/>
  <c r="P177" i="8"/>
  <c r="O177" i="8"/>
  <c r="I179" i="6"/>
  <c r="L179" i="6" s="1"/>
  <c r="H179" i="6"/>
  <c r="K179" i="6" s="1"/>
  <c r="F179" i="6"/>
  <c r="E179" i="6"/>
  <c r="D179" i="6"/>
  <c r="G178" i="6"/>
  <c r="J178" i="6" s="1"/>
  <c r="D180" i="7"/>
  <c r="F181" i="7" s="1"/>
  <c r="E180" i="7"/>
  <c r="I180" i="7"/>
  <c r="L180" i="7" s="1"/>
  <c r="H180" i="7"/>
  <c r="K180" i="7" s="1"/>
  <c r="G179" i="7"/>
  <c r="J179" i="7" s="1"/>
  <c r="F178" i="8" l="1"/>
  <c r="M178" i="8"/>
  <c r="K178" i="8"/>
  <c r="I178" i="8"/>
  <c r="Q178" i="8"/>
  <c r="M178" i="9"/>
  <c r="Q178" i="9" s="1"/>
  <c r="K178" i="9"/>
  <c r="P178" i="9" s="1"/>
  <c r="I178" i="9"/>
  <c r="O178" i="9" s="1"/>
  <c r="G177" i="9"/>
  <c r="N177" i="9" s="1"/>
  <c r="E178" i="9"/>
  <c r="D178" i="9"/>
  <c r="F179" i="9" s="1"/>
  <c r="P178" i="8"/>
  <c r="O178" i="8"/>
  <c r="E178" i="8"/>
  <c r="D178" i="8"/>
  <c r="G177" i="8"/>
  <c r="N177" i="8" s="1"/>
  <c r="G179" i="6"/>
  <c r="J179" i="6" s="1"/>
  <c r="I180" i="6"/>
  <c r="L180" i="6" s="1"/>
  <c r="H180" i="6"/>
  <c r="K180" i="6" s="1"/>
  <c r="F180" i="6"/>
  <c r="E180" i="6"/>
  <c r="D180" i="6"/>
  <c r="D181" i="7"/>
  <c r="F182" i="7" s="1"/>
  <c r="E181" i="7"/>
  <c r="H181" i="7"/>
  <c r="K181" i="7" s="1"/>
  <c r="I181" i="7"/>
  <c r="L181" i="7" s="1"/>
  <c r="G180" i="7"/>
  <c r="J180" i="7" s="1"/>
  <c r="F179" i="8" l="1"/>
  <c r="M179" i="8"/>
  <c r="K179" i="8"/>
  <c r="P179" i="8" s="1"/>
  <c r="I179" i="8"/>
  <c r="Q179" i="8"/>
  <c r="M179" i="9"/>
  <c r="Q179" i="9" s="1"/>
  <c r="K179" i="9"/>
  <c r="P179" i="9" s="1"/>
  <c r="I179" i="9"/>
  <c r="O179" i="9" s="1"/>
  <c r="G178" i="9"/>
  <c r="N178" i="9" s="1"/>
  <c r="E179" i="9"/>
  <c r="D179" i="9"/>
  <c r="F180" i="9" s="1"/>
  <c r="G178" i="8"/>
  <c r="N178" i="8" s="1"/>
  <c r="O179" i="8"/>
  <c r="E179" i="8"/>
  <c r="D179" i="8"/>
  <c r="I181" i="6"/>
  <c r="L181" i="6" s="1"/>
  <c r="H181" i="6"/>
  <c r="K181" i="6" s="1"/>
  <c r="F181" i="6"/>
  <c r="E181" i="6"/>
  <c r="D181" i="6"/>
  <c r="G180" i="6"/>
  <c r="J180" i="6" s="1"/>
  <c r="D182" i="7"/>
  <c r="F183" i="7" s="1"/>
  <c r="E182" i="7"/>
  <c r="H182" i="7"/>
  <c r="K182" i="7" s="1"/>
  <c r="I182" i="7"/>
  <c r="L182" i="7" s="1"/>
  <c r="G181" i="7"/>
  <c r="J181" i="7" s="1"/>
  <c r="F180" i="8" l="1"/>
  <c r="M180" i="8"/>
  <c r="Q180" i="8" s="1"/>
  <c r="K180" i="8"/>
  <c r="I180" i="8"/>
  <c r="M180" i="9"/>
  <c r="Q180" i="9" s="1"/>
  <c r="K180" i="9"/>
  <c r="P180" i="9" s="1"/>
  <c r="I180" i="9"/>
  <c r="O180" i="9" s="1"/>
  <c r="G179" i="9"/>
  <c r="N179" i="9" s="1"/>
  <c r="D180" i="9"/>
  <c r="F181" i="9" s="1"/>
  <c r="E180" i="9"/>
  <c r="P180" i="8"/>
  <c r="O180" i="8"/>
  <c r="E180" i="8"/>
  <c r="D180" i="8"/>
  <c r="G179" i="8"/>
  <c r="N179" i="8" s="1"/>
  <c r="G181" i="6"/>
  <c r="J181" i="6" s="1"/>
  <c r="I182" i="6"/>
  <c r="L182" i="6" s="1"/>
  <c r="H182" i="6"/>
  <c r="K182" i="6" s="1"/>
  <c r="F182" i="6"/>
  <c r="E182" i="6"/>
  <c r="D182" i="6"/>
  <c r="D183" i="7"/>
  <c r="F184" i="7" s="1"/>
  <c r="E183" i="7"/>
  <c r="I183" i="7"/>
  <c r="L183" i="7" s="1"/>
  <c r="G182" i="7"/>
  <c r="J182" i="7" s="1"/>
  <c r="H183" i="7"/>
  <c r="K183" i="7" s="1"/>
  <c r="F181" i="8" l="1"/>
  <c r="M181" i="8"/>
  <c r="Q181" i="8" s="1"/>
  <c r="K181" i="8"/>
  <c r="I181" i="8"/>
  <c r="E181" i="9"/>
  <c r="D181" i="9"/>
  <c r="F182" i="9" s="1"/>
  <c r="M181" i="9"/>
  <c r="Q181" i="9" s="1"/>
  <c r="K181" i="9"/>
  <c r="P181" i="9" s="1"/>
  <c r="I181" i="9"/>
  <c r="O181" i="9" s="1"/>
  <c r="G180" i="9"/>
  <c r="N180" i="9" s="1"/>
  <c r="G180" i="8"/>
  <c r="N180" i="8" s="1"/>
  <c r="P181" i="8"/>
  <c r="O181" i="8"/>
  <c r="E181" i="8"/>
  <c r="D181" i="8"/>
  <c r="H183" i="6"/>
  <c r="K183" i="6" s="1"/>
  <c r="F183" i="6"/>
  <c r="E183" i="6"/>
  <c r="D183" i="6"/>
  <c r="G182" i="6"/>
  <c r="J182" i="6" s="1"/>
  <c r="I183" i="6"/>
  <c r="L183" i="6" s="1"/>
  <c r="D184" i="7"/>
  <c r="F185" i="7" s="1"/>
  <c r="E184" i="7"/>
  <c r="I184" i="7"/>
  <c r="L184" i="7" s="1"/>
  <c r="H184" i="7"/>
  <c r="K184" i="7" s="1"/>
  <c r="G183" i="7"/>
  <c r="J183" i="7" s="1"/>
  <c r="F182" i="8" l="1"/>
  <c r="I182" i="8"/>
  <c r="M182" i="8"/>
  <c r="K182" i="8"/>
  <c r="Q182" i="8"/>
  <c r="E182" i="9"/>
  <c r="D182" i="9"/>
  <c r="F183" i="9" s="1"/>
  <c r="M182" i="9"/>
  <c r="Q182" i="9" s="1"/>
  <c r="K182" i="9"/>
  <c r="P182" i="9" s="1"/>
  <c r="I182" i="9"/>
  <c r="O182" i="9" s="1"/>
  <c r="G181" i="9"/>
  <c r="N181" i="9" s="1"/>
  <c r="O182" i="8"/>
  <c r="E182" i="8"/>
  <c r="D182" i="8"/>
  <c r="G181" i="8"/>
  <c r="N181" i="8" s="1"/>
  <c r="P182" i="8"/>
  <c r="G183" i="6"/>
  <c r="J183" i="6" s="1"/>
  <c r="I184" i="6"/>
  <c r="L184" i="6" s="1"/>
  <c r="H184" i="6"/>
  <c r="K184" i="6" s="1"/>
  <c r="F184" i="6"/>
  <c r="E184" i="6"/>
  <c r="D184" i="6"/>
  <c r="D185" i="7"/>
  <c r="F186" i="7" s="1"/>
  <c r="E185" i="7"/>
  <c r="H185" i="7"/>
  <c r="K185" i="7" s="1"/>
  <c r="G184" i="7"/>
  <c r="J184" i="7" s="1"/>
  <c r="F183" i="8" l="1"/>
  <c r="I183" i="8"/>
  <c r="M183" i="8"/>
  <c r="Q183" i="8" s="1"/>
  <c r="K183" i="8"/>
  <c r="I183" i="9"/>
  <c r="O183" i="9" s="1"/>
  <c r="G182" i="9"/>
  <c r="N182" i="9" s="1"/>
  <c r="E183" i="9"/>
  <c r="D183" i="9"/>
  <c r="F184" i="9" s="1"/>
  <c r="M183" i="9"/>
  <c r="Q183" i="9" s="1"/>
  <c r="K183" i="9"/>
  <c r="P183" i="9" s="1"/>
  <c r="G182" i="8"/>
  <c r="N182" i="8" s="1"/>
  <c r="P183" i="8"/>
  <c r="O183" i="8"/>
  <c r="E183" i="8"/>
  <c r="D183" i="8"/>
  <c r="F185" i="6"/>
  <c r="E185" i="6"/>
  <c r="D185" i="6"/>
  <c r="G184" i="6"/>
  <c r="J184" i="6" s="1"/>
  <c r="I185" i="6"/>
  <c r="L185" i="6" s="1"/>
  <c r="H185" i="6"/>
  <c r="K185" i="6" s="1"/>
  <c r="D186" i="7"/>
  <c r="F187" i="7" s="1"/>
  <c r="E186" i="7"/>
  <c r="I186" i="7"/>
  <c r="L186" i="7" s="1"/>
  <c r="H186" i="7"/>
  <c r="K186" i="7" s="1"/>
  <c r="G185" i="7"/>
  <c r="J185" i="7" s="1"/>
  <c r="I185" i="7"/>
  <c r="L185" i="7" s="1"/>
  <c r="F184" i="8" l="1"/>
  <c r="K184" i="8"/>
  <c r="M184" i="8"/>
  <c r="I184" i="8"/>
  <c r="Q184" i="8"/>
  <c r="K184" i="9"/>
  <c r="P184" i="9" s="1"/>
  <c r="I184" i="9"/>
  <c r="O184" i="9" s="1"/>
  <c r="G183" i="9"/>
  <c r="N183" i="9" s="1"/>
  <c r="E184" i="9"/>
  <c r="D184" i="9"/>
  <c r="F185" i="9" s="1"/>
  <c r="M184" i="9"/>
  <c r="Q184" i="9" s="1"/>
  <c r="E184" i="8"/>
  <c r="D184" i="8"/>
  <c r="G183" i="8"/>
  <c r="N183" i="8" s="1"/>
  <c r="P184" i="8"/>
  <c r="O184" i="8"/>
  <c r="I186" i="6"/>
  <c r="L186" i="6" s="1"/>
  <c r="H186" i="6"/>
  <c r="K186" i="6" s="1"/>
  <c r="F186" i="6"/>
  <c r="E186" i="6"/>
  <c r="D186" i="6"/>
  <c r="G185" i="6"/>
  <c r="J185" i="6" s="1"/>
  <c r="E187" i="7"/>
  <c r="D187" i="7"/>
  <c r="F188" i="7" s="1"/>
  <c r="I187" i="7"/>
  <c r="L187" i="7" s="1"/>
  <c r="G186" i="7"/>
  <c r="J186" i="7" s="1"/>
  <c r="H187" i="7"/>
  <c r="K187" i="7" s="1"/>
  <c r="F185" i="8" l="1"/>
  <c r="K185" i="8"/>
  <c r="I185" i="8"/>
  <c r="M185" i="8"/>
  <c r="Q185" i="8"/>
  <c r="M185" i="9"/>
  <c r="Q185" i="9" s="1"/>
  <c r="K185" i="9"/>
  <c r="P185" i="9" s="1"/>
  <c r="I185" i="9"/>
  <c r="O185" i="9" s="1"/>
  <c r="G184" i="9"/>
  <c r="N184" i="9" s="1"/>
  <c r="E185" i="9"/>
  <c r="D185" i="9"/>
  <c r="F186" i="9" s="1"/>
  <c r="P185" i="8"/>
  <c r="O185" i="8"/>
  <c r="E185" i="8"/>
  <c r="D185" i="8"/>
  <c r="G184" i="8"/>
  <c r="N184" i="8" s="1"/>
  <c r="D187" i="6"/>
  <c r="G186" i="6"/>
  <c r="J186" i="6" s="1"/>
  <c r="I187" i="6"/>
  <c r="L187" i="6" s="1"/>
  <c r="H187" i="6"/>
  <c r="K187" i="6" s="1"/>
  <c r="F187" i="6"/>
  <c r="E187" i="6"/>
  <c r="E188" i="7"/>
  <c r="D188" i="7"/>
  <c r="F189" i="7" s="1"/>
  <c r="I188" i="7"/>
  <c r="L188" i="7" s="1"/>
  <c r="G187" i="7"/>
  <c r="J187" i="7" s="1"/>
  <c r="H188" i="7"/>
  <c r="K188" i="7" s="1"/>
  <c r="F186" i="8" l="1"/>
  <c r="K186" i="8"/>
  <c r="M186" i="8"/>
  <c r="I186" i="8"/>
  <c r="Q186" i="8"/>
  <c r="M186" i="9"/>
  <c r="Q186" i="9" s="1"/>
  <c r="K186" i="9"/>
  <c r="P186" i="9" s="1"/>
  <c r="I186" i="9"/>
  <c r="O186" i="9" s="1"/>
  <c r="G185" i="9"/>
  <c r="N185" i="9" s="1"/>
  <c r="E186" i="9"/>
  <c r="D186" i="9"/>
  <c r="F187" i="9" s="1"/>
  <c r="D186" i="8"/>
  <c r="G185" i="8"/>
  <c r="N185" i="8" s="1"/>
  <c r="P186" i="8"/>
  <c r="O186" i="8"/>
  <c r="E186" i="8"/>
  <c r="I188" i="6"/>
  <c r="L188" i="6" s="1"/>
  <c r="H188" i="6"/>
  <c r="K188" i="6" s="1"/>
  <c r="F188" i="6"/>
  <c r="E188" i="6"/>
  <c r="D188" i="6"/>
  <c r="G187" i="6"/>
  <c r="J187" i="6" s="1"/>
  <c r="D189" i="7"/>
  <c r="F190" i="7" s="1"/>
  <c r="E189" i="7"/>
  <c r="G188" i="7"/>
  <c r="J188" i="7" s="1"/>
  <c r="F187" i="8" l="1"/>
  <c r="M187" i="8"/>
  <c r="K187" i="8"/>
  <c r="I187" i="8"/>
  <c r="Q187" i="8"/>
  <c r="M187" i="9"/>
  <c r="Q187" i="9" s="1"/>
  <c r="K187" i="9"/>
  <c r="P187" i="9" s="1"/>
  <c r="I187" i="9"/>
  <c r="O187" i="9" s="1"/>
  <c r="G186" i="9"/>
  <c r="N186" i="9" s="1"/>
  <c r="E187" i="9"/>
  <c r="D187" i="9"/>
  <c r="F188" i="9" s="1"/>
  <c r="P187" i="8"/>
  <c r="O187" i="8"/>
  <c r="E187" i="8"/>
  <c r="D187" i="8"/>
  <c r="G186" i="8"/>
  <c r="N186" i="8" s="1"/>
  <c r="G188" i="6"/>
  <c r="J188" i="6" s="1"/>
  <c r="I189" i="6"/>
  <c r="L189" i="6" s="1"/>
  <c r="H189" i="6"/>
  <c r="K189" i="6" s="1"/>
  <c r="D189" i="6"/>
  <c r="F189" i="6"/>
  <c r="E189" i="6"/>
  <c r="D190" i="7"/>
  <c r="F191" i="7" s="1"/>
  <c r="E190" i="7"/>
  <c r="I189" i="7"/>
  <c r="L189" i="7" s="1"/>
  <c r="H189" i="7"/>
  <c r="K189" i="7" s="1"/>
  <c r="G189" i="7"/>
  <c r="J189" i="7" s="1"/>
  <c r="F188" i="8" l="1"/>
  <c r="M188" i="8"/>
  <c r="K188" i="8"/>
  <c r="I188" i="8"/>
  <c r="Q188" i="8"/>
  <c r="M188" i="9"/>
  <c r="Q188" i="9" s="1"/>
  <c r="K188" i="9"/>
  <c r="P188" i="9" s="1"/>
  <c r="I188" i="9"/>
  <c r="O188" i="9" s="1"/>
  <c r="G187" i="9"/>
  <c r="N187" i="9" s="1"/>
  <c r="D188" i="9"/>
  <c r="F189" i="9" s="1"/>
  <c r="E188" i="9"/>
  <c r="G187" i="8"/>
  <c r="N187" i="8" s="1"/>
  <c r="P188" i="8"/>
  <c r="O188" i="8"/>
  <c r="E188" i="8"/>
  <c r="D188" i="8"/>
  <c r="I190" i="6"/>
  <c r="L190" i="6" s="1"/>
  <c r="H190" i="6"/>
  <c r="K190" i="6" s="1"/>
  <c r="F190" i="6"/>
  <c r="E190" i="6"/>
  <c r="D190" i="6"/>
  <c r="G189" i="6"/>
  <c r="J189" i="6" s="1"/>
  <c r="D191" i="7"/>
  <c r="F192" i="7" s="1"/>
  <c r="E191" i="7"/>
  <c r="I190" i="7"/>
  <c r="L190" i="7" s="1"/>
  <c r="H190" i="7"/>
  <c r="K190" i="7" s="1"/>
  <c r="G190" i="7"/>
  <c r="J190" i="7" s="1"/>
  <c r="I191" i="7"/>
  <c r="L191" i="7" s="1"/>
  <c r="H191" i="7"/>
  <c r="K191" i="7" s="1"/>
  <c r="F189" i="8" l="1"/>
  <c r="M189" i="8"/>
  <c r="Q189" i="8" s="1"/>
  <c r="I189" i="8"/>
  <c r="K189" i="8"/>
  <c r="E189" i="9"/>
  <c r="D189" i="9"/>
  <c r="F190" i="9" s="1"/>
  <c r="M189" i="9"/>
  <c r="Q189" i="9" s="1"/>
  <c r="K189" i="9"/>
  <c r="P189" i="9" s="1"/>
  <c r="I189" i="9"/>
  <c r="O189" i="9" s="1"/>
  <c r="G188" i="9"/>
  <c r="N188" i="9" s="1"/>
  <c r="P189" i="8"/>
  <c r="O189" i="8"/>
  <c r="E189" i="8"/>
  <c r="D189" i="8"/>
  <c r="G188" i="8"/>
  <c r="N188" i="8" s="1"/>
  <c r="G190" i="6"/>
  <c r="J190" i="6" s="1"/>
  <c r="I191" i="6"/>
  <c r="L191" i="6" s="1"/>
  <c r="H191" i="6"/>
  <c r="K191" i="6" s="1"/>
  <c r="F191" i="6"/>
  <c r="E191" i="6"/>
  <c r="D191" i="6"/>
  <c r="E192" i="7"/>
  <c r="D192" i="7"/>
  <c r="F193" i="7" s="1"/>
  <c r="I192" i="7"/>
  <c r="L192" i="7" s="1"/>
  <c r="G191" i="7"/>
  <c r="J191" i="7" s="1"/>
  <c r="H192" i="7"/>
  <c r="K192" i="7" s="1"/>
  <c r="F190" i="8" l="1"/>
  <c r="M190" i="8"/>
  <c r="Q190" i="8" s="1"/>
  <c r="K190" i="8"/>
  <c r="I190" i="8"/>
  <c r="E190" i="9"/>
  <c r="D190" i="9"/>
  <c r="F191" i="9" s="1"/>
  <c r="M190" i="9"/>
  <c r="Q190" i="9" s="1"/>
  <c r="K190" i="9"/>
  <c r="P190" i="9" s="1"/>
  <c r="I190" i="9"/>
  <c r="O190" i="9" s="1"/>
  <c r="G189" i="9"/>
  <c r="N189" i="9" s="1"/>
  <c r="G189" i="8"/>
  <c r="N189" i="8" s="1"/>
  <c r="P190" i="8"/>
  <c r="O190" i="8"/>
  <c r="E190" i="8"/>
  <c r="D190" i="8"/>
  <c r="F192" i="6"/>
  <c r="E192" i="6"/>
  <c r="D192" i="6"/>
  <c r="G191" i="6"/>
  <c r="J191" i="6" s="1"/>
  <c r="I192" i="6"/>
  <c r="L192" i="6" s="1"/>
  <c r="H192" i="6"/>
  <c r="K192" i="6" s="1"/>
  <c r="D193" i="7"/>
  <c r="F194" i="7" s="1"/>
  <c r="E193" i="7"/>
  <c r="I193" i="7"/>
  <c r="L193" i="7" s="1"/>
  <c r="H193" i="7"/>
  <c r="K193" i="7" s="1"/>
  <c r="G192" i="7"/>
  <c r="J192" i="7" s="1"/>
  <c r="F191" i="8" l="1"/>
  <c r="M191" i="8"/>
  <c r="I191" i="8"/>
  <c r="K191" i="8"/>
  <c r="Q191" i="8"/>
  <c r="I191" i="9"/>
  <c r="O191" i="9" s="1"/>
  <c r="G190" i="9"/>
  <c r="N190" i="9" s="1"/>
  <c r="E191" i="9"/>
  <c r="D191" i="9"/>
  <c r="F192" i="9" s="1"/>
  <c r="M191" i="9"/>
  <c r="Q191" i="9" s="1"/>
  <c r="K191" i="9"/>
  <c r="P191" i="9" s="1"/>
  <c r="E191" i="8"/>
  <c r="D191" i="8"/>
  <c r="G190" i="8"/>
  <c r="N190" i="8" s="1"/>
  <c r="O191" i="8"/>
  <c r="P191" i="8"/>
  <c r="G192" i="6"/>
  <c r="J192" i="6" s="1"/>
  <c r="I193" i="6"/>
  <c r="L193" i="6" s="1"/>
  <c r="H193" i="6"/>
  <c r="K193" i="6" s="1"/>
  <c r="F193" i="6"/>
  <c r="E193" i="6"/>
  <c r="D193" i="6"/>
  <c r="D194" i="7"/>
  <c r="F195" i="7" s="1"/>
  <c r="E194" i="7"/>
  <c r="G193" i="7"/>
  <c r="J193" i="7" s="1"/>
  <c r="I194" i="7"/>
  <c r="L194" i="7" s="1"/>
  <c r="H194" i="7"/>
  <c r="K194" i="7" s="1"/>
  <c r="F192" i="8" l="1"/>
  <c r="M192" i="8"/>
  <c r="Q192" i="8" s="1"/>
  <c r="K192" i="8"/>
  <c r="I192" i="8"/>
  <c r="K192" i="9"/>
  <c r="P192" i="9" s="1"/>
  <c r="I192" i="9"/>
  <c r="O192" i="9" s="1"/>
  <c r="G191" i="9"/>
  <c r="N191" i="9" s="1"/>
  <c r="E192" i="9"/>
  <c r="D192" i="9"/>
  <c r="F193" i="9" s="1"/>
  <c r="M192" i="9"/>
  <c r="Q192" i="9" s="1"/>
  <c r="G191" i="8"/>
  <c r="N191" i="8" s="1"/>
  <c r="P192" i="8"/>
  <c r="O192" i="8"/>
  <c r="E192" i="8"/>
  <c r="D192" i="8"/>
  <c r="E194" i="6"/>
  <c r="D194" i="6"/>
  <c r="G193" i="6"/>
  <c r="J193" i="6" s="1"/>
  <c r="H194" i="6"/>
  <c r="K194" i="6" s="1"/>
  <c r="F194" i="6"/>
  <c r="I194" i="6"/>
  <c r="L194" i="6" s="1"/>
  <c r="D195" i="7"/>
  <c r="F196" i="7" s="1"/>
  <c r="E195" i="7"/>
  <c r="H195" i="7"/>
  <c r="K195" i="7" s="1"/>
  <c r="I195" i="7"/>
  <c r="L195" i="7" s="1"/>
  <c r="G194" i="7"/>
  <c r="J194" i="7" s="1"/>
  <c r="F193" i="8" l="1"/>
  <c r="M193" i="8"/>
  <c r="K193" i="8"/>
  <c r="I193" i="8"/>
  <c r="Q193" i="8"/>
  <c r="M193" i="9"/>
  <c r="Q193" i="9" s="1"/>
  <c r="K193" i="9"/>
  <c r="P193" i="9" s="1"/>
  <c r="I193" i="9"/>
  <c r="O193" i="9" s="1"/>
  <c r="G192" i="9"/>
  <c r="N192" i="9" s="1"/>
  <c r="E193" i="9"/>
  <c r="D193" i="9"/>
  <c r="F194" i="9" s="1"/>
  <c r="E193" i="8"/>
  <c r="D193" i="8"/>
  <c r="G192" i="8"/>
  <c r="N192" i="8" s="1"/>
  <c r="P193" i="8"/>
  <c r="O193" i="8"/>
  <c r="I195" i="6"/>
  <c r="L195" i="6" s="1"/>
  <c r="H195" i="6"/>
  <c r="K195" i="6" s="1"/>
  <c r="F195" i="6"/>
  <c r="E195" i="6"/>
  <c r="D195" i="6"/>
  <c r="G194" i="6"/>
  <c r="J194" i="6" s="1"/>
  <c r="D196" i="7"/>
  <c r="F197" i="7" s="1"/>
  <c r="E196" i="7"/>
  <c r="G195" i="7"/>
  <c r="J195" i="7" s="1"/>
  <c r="F194" i="8" l="1"/>
  <c r="M194" i="8"/>
  <c r="K194" i="8"/>
  <c r="I194" i="8"/>
  <c r="Q194" i="8"/>
  <c r="M194" i="9"/>
  <c r="Q194" i="9" s="1"/>
  <c r="K194" i="9"/>
  <c r="P194" i="9" s="1"/>
  <c r="G193" i="9"/>
  <c r="N193" i="9" s="1"/>
  <c r="I194" i="9"/>
  <c r="O194" i="9" s="1"/>
  <c r="E194" i="9"/>
  <c r="D194" i="9"/>
  <c r="F195" i="9" s="1"/>
  <c r="P194" i="8"/>
  <c r="O194" i="8"/>
  <c r="E194" i="8"/>
  <c r="D194" i="8"/>
  <c r="G193" i="8"/>
  <c r="N193" i="8" s="1"/>
  <c r="D196" i="6"/>
  <c r="G195" i="6"/>
  <c r="J195" i="6" s="1"/>
  <c r="I196" i="6"/>
  <c r="L196" i="6" s="1"/>
  <c r="E196" i="6"/>
  <c r="H196" i="6"/>
  <c r="K196" i="6" s="1"/>
  <c r="F196" i="6"/>
  <c r="D197" i="7"/>
  <c r="F198" i="7" s="1"/>
  <c r="E197" i="7"/>
  <c r="I196" i="7"/>
  <c r="L196" i="7" s="1"/>
  <c r="H196" i="7"/>
  <c r="K196" i="7" s="1"/>
  <c r="H197" i="7"/>
  <c r="K197" i="7" s="1"/>
  <c r="G196" i="7"/>
  <c r="J196" i="7" s="1"/>
  <c r="I197" i="7"/>
  <c r="L197" i="7" s="1"/>
  <c r="F195" i="8" l="1"/>
  <c r="M195" i="8"/>
  <c r="Q195" i="8" s="1"/>
  <c r="K195" i="8"/>
  <c r="I195" i="8"/>
  <c r="K195" i="9"/>
  <c r="P195" i="9" s="1"/>
  <c r="E195" i="9"/>
  <c r="M195" i="9"/>
  <c r="Q195" i="9" s="1"/>
  <c r="G194" i="9"/>
  <c r="N194" i="9" s="1"/>
  <c r="I195" i="9"/>
  <c r="O195" i="9" s="1"/>
  <c r="D195" i="9"/>
  <c r="F196" i="9" s="1"/>
  <c r="G194" i="8"/>
  <c r="N194" i="8" s="1"/>
  <c r="P195" i="8"/>
  <c r="O195" i="8"/>
  <c r="E195" i="8"/>
  <c r="D195" i="8"/>
  <c r="G196" i="6"/>
  <c r="J196" i="6" s="1"/>
  <c r="F197" i="6"/>
  <c r="I197" i="6"/>
  <c r="L197" i="6" s="1"/>
  <c r="H197" i="6"/>
  <c r="K197" i="6" s="1"/>
  <c r="E197" i="6"/>
  <c r="D197" i="6"/>
  <c r="D198" i="7"/>
  <c r="F199" i="7" s="1"/>
  <c r="E198" i="7"/>
  <c r="I198" i="7"/>
  <c r="L198" i="7" s="1"/>
  <c r="H198" i="7"/>
  <c r="K198" i="7" s="1"/>
  <c r="G197" i="7"/>
  <c r="J197" i="7" s="1"/>
  <c r="F196" i="8" l="1"/>
  <c r="M196" i="8"/>
  <c r="Q196" i="8" s="1"/>
  <c r="K196" i="8"/>
  <c r="I196" i="8"/>
  <c r="M196" i="9"/>
  <c r="Q196" i="9" s="1"/>
  <c r="E196" i="9"/>
  <c r="D196" i="9"/>
  <c r="F197" i="9" s="1"/>
  <c r="G195" i="9"/>
  <c r="N195" i="9" s="1"/>
  <c r="K196" i="9"/>
  <c r="P196" i="9" s="1"/>
  <c r="I196" i="9"/>
  <c r="O196" i="9" s="1"/>
  <c r="P196" i="8"/>
  <c r="O196" i="8"/>
  <c r="E196" i="8"/>
  <c r="D196" i="8"/>
  <c r="G195" i="8"/>
  <c r="N195" i="8" s="1"/>
  <c r="E198" i="6"/>
  <c r="F198" i="6"/>
  <c r="D198" i="6"/>
  <c r="G197" i="6"/>
  <c r="J197" i="6" s="1"/>
  <c r="I198" i="6"/>
  <c r="L198" i="6" s="1"/>
  <c r="H198" i="6"/>
  <c r="K198" i="6" s="1"/>
  <c r="D199" i="7"/>
  <c r="F200" i="7" s="1"/>
  <c r="E199" i="7"/>
  <c r="I199" i="7"/>
  <c r="L199" i="7" s="1"/>
  <c r="H199" i="7"/>
  <c r="K199" i="7" s="1"/>
  <c r="G198" i="7"/>
  <c r="J198" i="7" s="1"/>
  <c r="F197" i="8" l="1"/>
  <c r="M197" i="8"/>
  <c r="K197" i="8"/>
  <c r="I197" i="8"/>
  <c r="Q197" i="8"/>
  <c r="I197" i="9"/>
  <c r="O197" i="9" s="1"/>
  <c r="G196" i="9"/>
  <c r="N196" i="9" s="1"/>
  <c r="M197" i="9"/>
  <c r="Q197" i="9" s="1"/>
  <c r="K197" i="9"/>
  <c r="P197" i="9" s="1"/>
  <c r="E197" i="9"/>
  <c r="D197" i="9"/>
  <c r="F198" i="9" s="1"/>
  <c r="G196" i="8"/>
  <c r="N196" i="8" s="1"/>
  <c r="P197" i="8"/>
  <c r="O197" i="8"/>
  <c r="E197" i="8"/>
  <c r="D197" i="8"/>
  <c r="I199" i="6"/>
  <c r="L199" i="6" s="1"/>
  <c r="D199" i="6"/>
  <c r="H199" i="6"/>
  <c r="K199" i="6" s="1"/>
  <c r="F199" i="6"/>
  <c r="E199" i="6"/>
  <c r="G198" i="6"/>
  <c r="J198" i="6" s="1"/>
  <c r="E200" i="7"/>
  <c r="D200" i="7"/>
  <c r="F201" i="7" s="1"/>
  <c r="I200" i="7"/>
  <c r="L200" i="7" s="1"/>
  <c r="H200" i="7"/>
  <c r="K200" i="7" s="1"/>
  <c r="G199" i="7"/>
  <c r="J199" i="7" s="1"/>
  <c r="F198" i="8" l="1"/>
  <c r="I198" i="8"/>
  <c r="M198" i="8"/>
  <c r="K198" i="8"/>
  <c r="Q198" i="8"/>
  <c r="K198" i="9"/>
  <c r="P198" i="9" s="1"/>
  <c r="M198" i="9"/>
  <c r="Q198" i="9" s="1"/>
  <c r="G197" i="9"/>
  <c r="N197" i="9" s="1"/>
  <c r="I198" i="9"/>
  <c r="O198" i="9" s="1"/>
  <c r="E198" i="9"/>
  <c r="D198" i="9"/>
  <c r="F199" i="9" s="1"/>
  <c r="O198" i="8"/>
  <c r="E198" i="8"/>
  <c r="D198" i="8"/>
  <c r="G197" i="8"/>
  <c r="N197" i="8" s="1"/>
  <c r="P198" i="8"/>
  <c r="F200" i="6"/>
  <c r="E200" i="6"/>
  <c r="D200" i="6"/>
  <c r="G199" i="6"/>
  <c r="J199" i="6" s="1"/>
  <c r="I200" i="6"/>
  <c r="L200" i="6" s="1"/>
  <c r="H200" i="6"/>
  <c r="K200" i="6" s="1"/>
  <c r="D201" i="7"/>
  <c r="F202" i="7" s="1"/>
  <c r="E201" i="7"/>
  <c r="H201" i="7"/>
  <c r="K201" i="7" s="1"/>
  <c r="G200" i="7"/>
  <c r="J200" i="7" s="1"/>
  <c r="F199" i="8" l="1"/>
  <c r="I199" i="8"/>
  <c r="M199" i="8"/>
  <c r="Q199" i="8" s="1"/>
  <c r="K199" i="8"/>
  <c r="M199" i="9"/>
  <c r="Q199" i="9" s="1"/>
  <c r="E199" i="9"/>
  <c r="D199" i="9"/>
  <c r="F200" i="9" s="1"/>
  <c r="G198" i="9"/>
  <c r="N198" i="9" s="1"/>
  <c r="K199" i="9"/>
  <c r="P199" i="9" s="1"/>
  <c r="I199" i="9"/>
  <c r="O199" i="9" s="1"/>
  <c r="G198" i="8"/>
  <c r="N198" i="8" s="1"/>
  <c r="P199" i="8"/>
  <c r="O199" i="8"/>
  <c r="E199" i="8"/>
  <c r="D199" i="8"/>
  <c r="I201" i="6"/>
  <c r="L201" i="6" s="1"/>
  <c r="G200" i="6"/>
  <c r="J200" i="6" s="1"/>
  <c r="H201" i="6"/>
  <c r="K201" i="6" s="1"/>
  <c r="F201" i="6"/>
  <c r="E201" i="6"/>
  <c r="D201" i="6"/>
  <c r="E202" i="7"/>
  <c r="D202" i="7"/>
  <c r="F203" i="7" s="1"/>
  <c r="I202" i="7"/>
  <c r="L202" i="7" s="1"/>
  <c r="H202" i="7"/>
  <c r="K202" i="7" s="1"/>
  <c r="G201" i="7"/>
  <c r="J201" i="7" s="1"/>
  <c r="I201" i="7"/>
  <c r="L201" i="7" s="1"/>
  <c r="F200" i="8" l="1"/>
  <c r="K200" i="8"/>
  <c r="M200" i="8"/>
  <c r="I200" i="8"/>
  <c r="Q200" i="8"/>
  <c r="E200" i="9"/>
  <c r="D200" i="9"/>
  <c r="F201" i="9" s="1"/>
  <c r="K200" i="9"/>
  <c r="P200" i="9" s="1"/>
  <c r="I200" i="9"/>
  <c r="O200" i="9" s="1"/>
  <c r="G199" i="9"/>
  <c r="N199" i="9" s="1"/>
  <c r="M200" i="9"/>
  <c r="Q200" i="9" s="1"/>
  <c r="E200" i="8"/>
  <c r="D200" i="8"/>
  <c r="G199" i="8"/>
  <c r="N199" i="8" s="1"/>
  <c r="O200" i="8"/>
  <c r="P200" i="8"/>
  <c r="G201" i="6"/>
  <c r="J201" i="6" s="1"/>
  <c r="I202" i="6"/>
  <c r="L202" i="6" s="1"/>
  <c r="H202" i="6"/>
  <c r="K202" i="6" s="1"/>
  <c r="F202" i="6"/>
  <c r="E202" i="6"/>
  <c r="D202" i="6"/>
  <c r="D203" i="7"/>
  <c r="F204" i="7" s="1"/>
  <c r="E203" i="7"/>
  <c r="I203" i="7"/>
  <c r="L203" i="7" s="1"/>
  <c r="G202" i="7"/>
  <c r="J202" i="7" s="1"/>
  <c r="H203" i="7"/>
  <c r="K203" i="7" s="1"/>
  <c r="F201" i="8" l="1"/>
  <c r="K201" i="8"/>
  <c r="I201" i="8"/>
  <c r="M201" i="8"/>
  <c r="Q201" i="8" s="1"/>
  <c r="M201" i="9"/>
  <c r="Q201" i="9" s="1"/>
  <c r="G200" i="9"/>
  <c r="N200" i="9" s="1"/>
  <c r="K201" i="9"/>
  <c r="P201" i="9" s="1"/>
  <c r="I201" i="9"/>
  <c r="O201" i="9" s="1"/>
  <c r="E201" i="9"/>
  <c r="D201" i="9"/>
  <c r="F202" i="9" s="1"/>
  <c r="P201" i="8"/>
  <c r="O201" i="8"/>
  <c r="E201" i="8"/>
  <c r="D201" i="8"/>
  <c r="G200" i="8"/>
  <c r="N200" i="8" s="1"/>
  <c r="H203" i="6"/>
  <c r="K203" i="6" s="1"/>
  <c r="E203" i="6"/>
  <c r="G202" i="6"/>
  <c r="J202" i="6" s="1"/>
  <c r="I203" i="6"/>
  <c r="L203" i="6" s="1"/>
  <c r="F203" i="6"/>
  <c r="D203" i="6"/>
  <c r="E204" i="7"/>
  <c r="D204" i="7"/>
  <c r="F205" i="7" s="1"/>
  <c r="G203" i="7"/>
  <c r="J203" i="7" s="1"/>
  <c r="F202" i="8" l="1"/>
  <c r="K202" i="8"/>
  <c r="I202" i="8"/>
  <c r="M202" i="8"/>
  <c r="Q202" i="8"/>
  <c r="I202" i="9"/>
  <c r="O202" i="9" s="1"/>
  <c r="G201" i="9"/>
  <c r="N201" i="9" s="1"/>
  <c r="M202" i="9"/>
  <c r="Q202" i="9" s="1"/>
  <c r="K202" i="9"/>
  <c r="P202" i="9" s="1"/>
  <c r="D202" i="9"/>
  <c r="F203" i="9" s="1"/>
  <c r="E202" i="9"/>
  <c r="D202" i="8"/>
  <c r="G201" i="8"/>
  <c r="N201" i="8" s="1"/>
  <c r="P202" i="8"/>
  <c r="O202" i="8"/>
  <c r="E202" i="8"/>
  <c r="G203" i="6"/>
  <c r="J203" i="6" s="1"/>
  <c r="I204" i="6"/>
  <c r="L204" i="6" s="1"/>
  <c r="H204" i="6"/>
  <c r="K204" i="6" s="1"/>
  <c r="F204" i="6"/>
  <c r="E204" i="6"/>
  <c r="D204" i="6"/>
  <c r="D205" i="7"/>
  <c r="F206" i="7" s="1"/>
  <c r="E205" i="7"/>
  <c r="I204" i="7"/>
  <c r="L204" i="7" s="1"/>
  <c r="H204" i="7"/>
  <c r="K204" i="7" s="1"/>
  <c r="I205" i="7"/>
  <c r="L205" i="7" s="1"/>
  <c r="H205" i="7"/>
  <c r="K205" i="7" s="1"/>
  <c r="G204" i="7"/>
  <c r="J204" i="7" s="1"/>
  <c r="F203" i="8" l="1"/>
  <c r="M203" i="8"/>
  <c r="Q203" i="8" s="1"/>
  <c r="K203" i="8"/>
  <c r="I203" i="8"/>
  <c r="K203" i="9"/>
  <c r="P203" i="9" s="1"/>
  <c r="E203" i="9"/>
  <c r="I203" i="9"/>
  <c r="O203" i="9" s="1"/>
  <c r="D203" i="9"/>
  <c r="F204" i="9" s="1"/>
  <c r="G202" i="9"/>
  <c r="N202" i="9" s="1"/>
  <c r="M203" i="9"/>
  <c r="Q203" i="9" s="1"/>
  <c r="P203" i="8"/>
  <c r="O203" i="8"/>
  <c r="E203" i="8"/>
  <c r="D203" i="8"/>
  <c r="G202" i="8"/>
  <c r="N202" i="8" s="1"/>
  <c r="F205" i="6"/>
  <c r="E205" i="6"/>
  <c r="G204" i="6"/>
  <c r="J204" i="6" s="1"/>
  <c r="D205" i="6"/>
  <c r="I205" i="6"/>
  <c r="L205" i="6" s="1"/>
  <c r="H205" i="6"/>
  <c r="K205" i="6" s="1"/>
  <c r="D206" i="7"/>
  <c r="F207" i="7" s="1"/>
  <c r="E206" i="7"/>
  <c r="G205" i="7"/>
  <c r="J205" i="7" s="1"/>
  <c r="F204" i="8" l="1"/>
  <c r="M204" i="8"/>
  <c r="Q204" i="8" s="1"/>
  <c r="K204" i="8"/>
  <c r="I204" i="8"/>
  <c r="M204" i="9"/>
  <c r="Q204" i="9" s="1"/>
  <c r="E204" i="9"/>
  <c r="G203" i="9"/>
  <c r="N203" i="9" s="1"/>
  <c r="K204" i="9"/>
  <c r="P204" i="9" s="1"/>
  <c r="I204" i="9"/>
  <c r="O204" i="9" s="1"/>
  <c r="D204" i="9"/>
  <c r="F205" i="9" s="1"/>
  <c r="G203" i="8"/>
  <c r="N203" i="8" s="1"/>
  <c r="P204" i="8"/>
  <c r="O204" i="8"/>
  <c r="E204" i="8"/>
  <c r="D204" i="8"/>
  <c r="E206" i="6"/>
  <c r="I206" i="6"/>
  <c r="L206" i="6" s="1"/>
  <c r="H206" i="6"/>
  <c r="K206" i="6" s="1"/>
  <c r="F206" i="6"/>
  <c r="D206" i="6"/>
  <c r="G205" i="6"/>
  <c r="J205" i="6" s="1"/>
  <c r="D207" i="7"/>
  <c r="F208" i="7" s="1"/>
  <c r="E207" i="7"/>
  <c r="I206" i="7"/>
  <c r="L206" i="7" s="1"/>
  <c r="H206" i="7"/>
  <c r="K206" i="7" s="1"/>
  <c r="I207" i="7"/>
  <c r="L207" i="7" s="1"/>
  <c r="G206" i="7"/>
  <c r="J206" i="7" s="1"/>
  <c r="H207" i="7"/>
  <c r="K207" i="7" s="1"/>
  <c r="F205" i="8" l="1"/>
  <c r="M205" i="8"/>
  <c r="K205" i="8"/>
  <c r="I205" i="8"/>
  <c r="Q205" i="8"/>
  <c r="I205" i="9"/>
  <c r="O205" i="9" s="1"/>
  <c r="G204" i="9"/>
  <c r="N204" i="9" s="1"/>
  <c r="D205" i="9"/>
  <c r="F206" i="9" s="1"/>
  <c r="M205" i="9"/>
  <c r="Q205" i="9" s="1"/>
  <c r="K205" i="9"/>
  <c r="P205" i="9" s="1"/>
  <c r="E205" i="9"/>
  <c r="P205" i="8"/>
  <c r="O205" i="8"/>
  <c r="E205" i="8"/>
  <c r="D205" i="8"/>
  <c r="G204" i="8"/>
  <c r="N204" i="8" s="1"/>
  <c r="D207" i="6"/>
  <c r="H207" i="6"/>
  <c r="K207" i="6" s="1"/>
  <c r="F207" i="6"/>
  <c r="E207" i="6"/>
  <c r="G206" i="6"/>
  <c r="J206" i="6" s="1"/>
  <c r="I207" i="6"/>
  <c r="L207" i="6" s="1"/>
  <c r="D208" i="7"/>
  <c r="F209" i="7" s="1"/>
  <c r="E208" i="7"/>
  <c r="I208" i="7"/>
  <c r="L208" i="7" s="1"/>
  <c r="G207" i="7"/>
  <c r="J207" i="7" s="1"/>
  <c r="H208" i="7"/>
  <c r="K208" i="7" s="1"/>
  <c r="F206" i="8" l="1"/>
  <c r="M206" i="8"/>
  <c r="K206" i="8"/>
  <c r="I206" i="8"/>
  <c r="Q206" i="8"/>
  <c r="K206" i="9"/>
  <c r="P206" i="9" s="1"/>
  <c r="I206" i="9"/>
  <c r="O206" i="9" s="1"/>
  <c r="G205" i="9"/>
  <c r="N205" i="9" s="1"/>
  <c r="M206" i="9"/>
  <c r="Q206" i="9" s="1"/>
  <c r="E206" i="9"/>
  <c r="D206" i="9"/>
  <c r="F207" i="9" s="1"/>
  <c r="G205" i="8"/>
  <c r="N205" i="8" s="1"/>
  <c r="P206" i="8"/>
  <c r="O206" i="8"/>
  <c r="E206" i="8"/>
  <c r="D206" i="8"/>
  <c r="H208" i="6"/>
  <c r="K208" i="6" s="1"/>
  <c r="G207" i="6"/>
  <c r="J207" i="6" s="1"/>
  <c r="I208" i="6"/>
  <c r="L208" i="6" s="1"/>
  <c r="F208" i="6"/>
  <c r="E208" i="6"/>
  <c r="D208" i="6"/>
  <c r="D209" i="7"/>
  <c r="F210" i="7" s="1"/>
  <c r="E209" i="7"/>
  <c r="G208" i="7"/>
  <c r="J208" i="7" s="1"/>
  <c r="F207" i="8" l="1"/>
  <c r="M207" i="8"/>
  <c r="Q207" i="8" s="1"/>
  <c r="I207" i="8"/>
  <c r="K207" i="8"/>
  <c r="M207" i="9"/>
  <c r="Q207" i="9" s="1"/>
  <c r="K207" i="9"/>
  <c r="P207" i="9" s="1"/>
  <c r="G206" i="9"/>
  <c r="N206" i="9" s="1"/>
  <c r="I207" i="9"/>
  <c r="O207" i="9" s="1"/>
  <c r="E207" i="9"/>
  <c r="D207" i="9"/>
  <c r="F208" i="9" s="1"/>
  <c r="E207" i="8"/>
  <c r="D207" i="8"/>
  <c r="G206" i="8"/>
  <c r="N206" i="8" s="1"/>
  <c r="P207" i="8"/>
  <c r="O207" i="8"/>
  <c r="I209" i="6"/>
  <c r="L209" i="6" s="1"/>
  <c r="H209" i="6"/>
  <c r="K209" i="6" s="1"/>
  <c r="F209" i="6"/>
  <c r="E209" i="6"/>
  <c r="D209" i="6"/>
  <c r="G208" i="6"/>
  <c r="J208" i="6" s="1"/>
  <c r="D210" i="7"/>
  <c r="F211" i="7" s="1"/>
  <c r="E210" i="7"/>
  <c r="I209" i="7"/>
  <c r="L209" i="7" s="1"/>
  <c r="H209" i="7"/>
  <c r="K209" i="7" s="1"/>
  <c r="I210" i="7"/>
  <c r="L210" i="7" s="1"/>
  <c r="G209" i="7"/>
  <c r="J209" i="7" s="1"/>
  <c r="H210" i="7"/>
  <c r="K210" i="7" s="1"/>
  <c r="F208" i="8" l="1"/>
  <c r="M208" i="8"/>
  <c r="K208" i="8"/>
  <c r="I208" i="8"/>
  <c r="Q208" i="8"/>
  <c r="E208" i="9"/>
  <c r="D208" i="9"/>
  <c r="F209" i="9" s="1"/>
  <c r="M208" i="9"/>
  <c r="Q208" i="9" s="1"/>
  <c r="I208" i="9"/>
  <c r="O208" i="9" s="1"/>
  <c r="G207" i="9"/>
  <c r="N207" i="9" s="1"/>
  <c r="K208" i="9"/>
  <c r="P208" i="9" s="1"/>
  <c r="G207" i="8"/>
  <c r="N207" i="8" s="1"/>
  <c r="P208" i="8"/>
  <c r="O208" i="8"/>
  <c r="E208" i="8"/>
  <c r="D208" i="8"/>
  <c r="I210" i="6"/>
  <c r="L210" i="6" s="1"/>
  <c r="H210" i="6"/>
  <c r="K210" i="6" s="1"/>
  <c r="F210" i="6"/>
  <c r="G209" i="6"/>
  <c r="J209" i="6" s="1"/>
  <c r="E210" i="6"/>
  <c r="D210" i="6"/>
  <c r="D211" i="7"/>
  <c r="F212" i="7" s="1"/>
  <c r="E211" i="7"/>
  <c r="H211" i="7"/>
  <c r="K211" i="7" s="1"/>
  <c r="I211" i="7"/>
  <c r="L211" i="7" s="1"/>
  <c r="G210" i="7"/>
  <c r="J210" i="7" s="1"/>
  <c r="F209" i="8" l="1"/>
  <c r="M209" i="8"/>
  <c r="Q209" i="8" s="1"/>
  <c r="K209" i="8"/>
  <c r="I209" i="8"/>
  <c r="G208" i="9"/>
  <c r="N208" i="9" s="1"/>
  <c r="M209" i="9"/>
  <c r="Q209" i="9" s="1"/>
  <c r="K209" i="9"/>
  <c r="P209" i="9" s="1"/>
  <c r="I209" i="9"/>
  <c r="O209" i="9" s="1"/>
  <c r="E209" i="9"/>
  <c r="D209" i="9"/>
  <c r="F210" i="9" s="1"/>
  <c r="E209" i="8"/>
  <c r="D209" i="8"/>
  <c r="G208" i="8"/>
  <c r="N208" i="8" s="1"/>
  <c r="P209" i="8"/>
  <c r="O209" i="8"/>
  <c r="H211" i="6"/>
  <c r="K211" i="6" s="1"/>
  <c r="I211" i="6"/>
  <c r="L211" i="6" s="1"/>
  <c r="F211" i="6"/>
  <c r="E211" i="6"/>
  <c r="D211" i="6"/>
  <c r="G210" i="6"/>
  <c r="J210" i="6" s="1"/>
  <c r="D212" i="7"/>
  <c r="F213" i="7" s="1"/>
  <c r="E212" i="7"/>
  <c r="I212" i="7"/>
  <c r="L212" i="7" s="1"/>
  <c r="H212" i="7"/>
  <c r="K212" i="7" s="1"/>
  <c r="G211" i="7"/>
  <c r="J211" i="7" s="1"/>
  <c r="F210" i="8" l="1"/>
  <c r="M210" i="8"/>
  <c r="Q210" i="8" s="1"/>
  <c r="K210" i="8"/>
  <c r="I210" i="8"/>
  <c r="I210" i="9"/>
  <c r="O210" i="9" s="1"/>
  <c r="G209" i="9"/>
  <c r="N209" i="9" s="1"/>
  <c r="D210" i="9"/>
  <c r="F211" i="9" s="1"/>
  <c r="E210" i="9"/>
  <c r="M210" i="9"/>
  <c r="Q210" i="9" s="1"/>
  <c r="K210" i="9"/>
  <c r="P210" i="9" s="1"/>
  <c r="P210" i="8"/>
  <c r="O210" i="8"/>
  <c r="E210" i="8"/>
  <c r="D210" i="8"/>
  <c r="G209" i="8"/>
  <c r="N209" i="8" s="1"/>
  <c r="F212" i="6"/>
  <c r="D212" i="6"/>
  <c r="E212" i="6"/>
  <c r="G211" i="6"/>
  <c r="J211" i="6" s="1"/>
  <c r="I212" i="6"/>
  <c r="L212" i="6" s="1"/>
  <c r="H212" i="6"/>
  <c r="K212" i="6" s="1"/>
  <c r="D213" i="7"/>
  <c r="F214" i="7" s="1"/>
  <c r="E213" i="7"/>
  <c r="G212" i="7"/>
  <c r="J212" i="7" s="1"/>
  <c r="F211" i="8" l="1"/>
  <c r="M211" i="8"/>
  <c r="Q211" i="8" s="1"/>
  <c r="K211" i="8"/>
  <c r="I211" i="8"/>
  <c r="K211" i="9"/>
  <c r="P211" i="9" s="1"/>
  <c r="I211" i="9"/>
  <c r="O211" i="9" s="1"/>
  <c r="G210" i="9"/>
  <c r="N210" i="9" s="1"/>
  <c r="E211" i="9"/>
  <c r="D211" i="9"/>
  <c r="F212" i="9" s="1"/>
  <c r="M211" i="9"/>
  <c r="Q211" i="9" s="1"/>
  <c r="G210" i="8"/>
  <c r="N210" i="8" s="1"/>
  <c r="P211" i="8"/>
  <c r="O211" i="8"/>
  <c r="E211" i="8"/>
  <c r="D211" i="8"/>
  <c r="G212" i="6"/>
  <c r="J212" i="6" s="1"/>
  <c r="F213" i="6"/>
  <c r="I213" i="6"/>
  <c r="L213" i="6" s="1"/>
  <c r="H213" i="6"/>
  <c r="K213" i="6" s="1"/>
  <c r="E213" i="6"/>
  <c r="D213" i="6"/>
  <c r="D214" i="7"/>
  <c r="F215" i="7" s="1"/>
  <c r="E214" i="7"/>
  <c r="I213" i="7"/>
  <c r="L213" i="7" s="1"/>
  <c r="H213" i="7"/>
  <c r="K213" i="7" s="1"/>
  <c r="I214" i="7"/>
  <c r="L214" i="7" s="1"/>
  <c r="G213" i="7"/>
  <c r="J213" i="7" s="1"/>
  <c r="F212" i="8" l="1"/>
  <c r="M212" i="8"/>
  <c r="Q212" i="8" s="1"/>
  <c r="K212" i="8"/>
  <c r="I212" i="8"/>
  <c r="M212" i="9"/>
  <c r="Q212" i="9" s="1"/>
  <c r="K212" i="9"/>
  <c r="P212" i="9" s="1"/>
  <c r="E212" i="9"/>
  <c r="D212" i="9"/>
  <c r="F213" i="9" s="1"/>
  <c r="G211" i="9"/>
  <c r="N211" i="9" s="1"/>
  <c r="I212" i="9"/>
  <c r="O212" i="9" s="1"/>
  <c r="P212" i="8"/>
  <c r="O212" i="8"/>
  <c r="E212" i="8"/>
  <c r="D212" i="8"/>
  <c r="G211" i="8"/>
  <c r="N211" i="8" s="1"/>
  <c r="E214" i="6"/>
  <c r="D214" i="6"/>
  <c r="I214" i="6"/>
  <c r="L214" i="6" s="1"/>
  <c r="H214" i="6"/>
  <c r="K214" i="6" s="1"/>
  <c r="F214" i="6"/>
  <c r="G213" i="6"/>
  <c r="J213" i="6" s="1"/>
  <c r="D215" i="7"/>
  <c r="F216" i="7" s="1"/>
  <c r="E215" i="7"/>
  <c r="H214" i="7"/>
  <c r="K214" i="7" s="1"/>
  <c r="I215" i="7"/>
  <c r="L215" i="7" s="1"/>
  <c r="H215" i="7"/>
  <c r="K215" i="7" s="1"/>
  <c r="G214" i="7"/>
  <c r="J214" i="7" s="1"/>
  <c r="F213" i="8" l="1"/>
  <c r="M213" i="8"/>
  <c r="K213" i="8"/>
  <c r="I213" i="8"/>
  <c r="Q213" i="8"/>
  <c r="M213" i="9"/>
  <c r="Q213" i="9" s="1"/>
  <c r="I213" i="9"/>
  <c r="O213" i="9" s="1"/>
  <c r="G212" i="9"/>
  <c r="N212" i="9" s="1"/>
  <c r="K213" i="9"/>
  <c r="P213" i="9" s="1"/>
  <c r="E213" i="9"/>
  <c r="D213" i="9"/>
  <c r="F214" i="9" s="1"/>
  <c r="G212" i="8"/>
  <c r="N212" i="8" s="1"/>
  <c r="P213" i="8"/>
  <c r="O213" i="8"/>
  <c r="E213" i="8"/>
  <c r="D213" i="8"/>
  <c r="I215" i="6"/>
  <c r="L215" i="6" s="1"/>
  <c r="D215" i="6"/>
  <c r="G214" i="6"/>
  <c r="J214" i="6" s="1"/>
  <c r="H215" i="6"/>
  <c r="K215" i="6" s="1"/>
  <c r="F215" i="6"/>
  <c r="E215" i="6"/>
  <c r="D216" i="7"/>
  <c r="F217" i="7" s="1"/>
  <c r="E216" i="7"/>
  <c r="I216" i="7"/>
  <c r="L216" i="7" s="1"/>
  <c r="H216" i="7"/>
  <c r="K216" i="7" s="1"/>
  <c r="G215" i="7"/>
  <c r="J215" i="7" s="1"/>
  <c r="F214" i="8" l="1"/>
  <c r="I214" i="8"/>
  <c r="M214" i="8"/>
  <c r="Q214" i="8" s="1"/>
  <c r="K214" i="8"/>
  <c r="K214" i="9"/>
  <c r="P214" i="9" s="1"/>
  <c r="I214" i="9"/>
  <c r="O214" i="9" s="1"/>
  <c r="G213" i="9"/>
  <c r="N213" i="9" s="1"/>
  <c r="E214" i="9"/>
  <c r="D214" i="9"/>
  <c r="F215" i="9" s="1"/>
  <c r="M214" i="9"/>
  <c r="Q214" i="9" s="1"/>
  <c r="O214" i="8"/>
  <c r="E214" i="8"/>
  <c r="D214" i="8"/>
  <c r="G213" i="8"/>
  <c r="N213" i="8" s="1"/>
  <c r="P214" i="8"/>
  <c r="I216" i="6"/>
  <c r="L216" i="6" s="1"/>
  <c r="H216" i="6"/>
  <c r="K216" i="6" s="1"/>
  <c r="F216" i="6"/>
  <c r="E216" i="6"/>
  <c r="D216" i="6"/>
  <c r="G215" i="6"/>
  <c r="J215" i="6" s="1"/>
  <c r="D217" i="7"/>
  <c r="F218" i="7" s="1"/>
  <c r="E217" i="7"/>
  <c r="I217" i="7"/>
  <c r="L217" i="7" s="1"/>
  <c r="H217" i="7"/>
  <c r="K217" i="7" s="1"/>
  <c r="G216" i="7"/>
  <c r="J216" i="7" s="1"/>
  <c r="F215" i="8" l="1"/>
  <c r="I215" i="8"/>
  <c r="M215" i="8"/>
  <c r="Q215" i="8" s="1"/>
  <c r="K215" i="8"/>
  <c r="M215" i="9"/>
  <c r="Q215" i="9" s="1"/>
  <c r="K215" i="9"/>
  <c r="P215" i="9" s="1"/>
  <c r="I215" i="9"/>
  <c r="O215" i="9" s="1"/>
  <c r="E215" i="9"/>
  <c r="D215" i="9"/>
  <c r="F216" i="9" s="1"/>
  <c r="G214" i="9"/>
  <c r="N214" i="9" s="1"/>
  <c r="G214" i="8"/>
  <c r="N214" i="8" s="1"/>
  <c r="P215" i="8"/>
  <c r="O215" i="8"/>
  <c r="E215" i="8"/>
  <c r="D215" i="8"/>
  <c r="I217" i="6"/>
  <c r="L217" i="6" s="1"/>
  <c r="G216" i="6"/>
  <c r="J216" i="6" s="1"/>
  <c r="D217" i="6"/>
  <c r="H217" i="6"/>
  <c r="K217" i="6" s="1"/>
  <c r="F217" i="6"/>
  <c r="E217" i="6"/>
  <c r="D218" i="7"/>
  <c r="F219" i="7" s="1"/>
  <c r="E218" i="7"/>
  <c r="I218" i="7"/>
  <c r="L218" i="7" s="1"/>
  <c r="H218" i="7"/>
  <c r="K218" i="7" s="1"/>
  <c r="G217" i="7"/>
  <c r="J217" i="7" s="1"/>
  <c r="F216" i="8" l="1"/>
  <c r="K216" i="8"/>
  <c r="M216" i="8"/>
  <c r="Q216" i="8" s="1"/>
  <c r="I216" i="8"/>
  <c r="E216" i="9"/>
  <c r="D216" i="9"/>
  <c r="F217" i="9" s="1"/>
  <c r="M216" i="9"/>
  <c r="Q216" i="9" s="1"/>
  <c r="G215" i="9"/>
  <c r="N215" i="9" s="1"/>
  <c r="K216" i="9"/>
  <c r="P216" i="9" s="1"/>
  <c r="I216" i="9"/>
  <c r="O216" i="9" s="1"/>
  <c r="E216" i="8"/>
  <c r="D216" i="8"/>
  <c r="G215" i="8"/>
  <c r="N215" i="8" s="1"/>
  <c r="P216" i="8"/>
  <c r="O216" i="8"/>
  <c r="G217" i="6"/>
  <c r="J217" i="6" s="1"/>
  <c r="I218" i="6"/>
  <c r="L218" i="6" s="1"/>
  <c r="H218" i="6"/>
  <c r="K218" i="6" s="1"/>
  <c r="F218" i="6"/>
  <c r="E218" i="6"/>
  <c r="D218" i="6"/>
  <c r="E219" i="7"/>
  <c r="D219" i="7"/>
  <c r="F220" i="7" s="1"/>
  <c r="I219" i="7"/>
  <c r="L219" i="7" s="1"/>
  <c r="G218" i="7"/>
  <c r="J218" i="7" s="1"/>
  <c r="H219" i="7"/>
  <c r="K219" i="7" s="1"/>
  <c r="F217" i="8" l="1"/>
  <c r="K217" i="8"/>
  <c r="I217" i="8"/>
  <c r="M217" i="8"/>
  <c r="Q217" i="8" s="1"/>
  <c r="E217" i="9"/>
  <c r="G216" i="9"/>
  <c r="N216" i="9" s="1"/>
  <c r="M217" i="9"/>
  <c r="Q217" i="9" s="1"/>
  <c r="K217" i="9"/>
  <c r="P217" i="9" s="1"/>
  <c r="I217" i="9"/>
  <c r="O217" i="9" s="1"/>
  <c r="D217" i="9"/>
  <c r="F218" i="9" s="1"/>
  <c r="P217" i="8"/>
  <c r="O217" i="8"/>
  <c r="E217" i="8"/>
  <c r="D217" i="8"/>
  <c r="G216" i="8"/>
  <c r="N216" i="8" s="1"/>
  <c r="H219" i="6"/>
  <c r="K219" i="6" s="1"/>
  <c r="E219" i="6"/>
  <c r="F219" i="6"/>
  <c r="D219" i="6"/>
  <c r="G218" i="6"/>
  <c r="J218" i="6" s="1"/>
  <c r="I219" i="6"/>
  <c r="L219" i="6" s="1"/>
  <c r="E220" i="7"/>
  <c r="D220" i="7"/>
  <c r="F221" i="7" s="1"/>
  <c r="I220" i="7"/>
  <c r="L220" i="7" s="1"/>
  <c r="G219" i="7"/>
  <c r="J219" i="7" s="1"/>
  <c r="H220" i="7"/>
  <c r="K220" i="7" s="1"/>
  <c r="F218" i="8" l="1"/>
  <c r="K218" i="8"/>
  <c r="I218" i="8"/>
  <c r="M218" i="8"/>
  <c r="Q218" i="8" s="1"/>
  <c r="I218" i="9"/>
  <c r="O218" i="9" s="1"/>
  <c r="G217" i="9"/>
  <c r="N217" i="9" s="1"/>
  <c r="D218" i="9"/>
  <c r="F219" i="9" s="1"/>
  <c r="E218" i="9"/>
  <c r="M218" i="9"/>
  <c r="Q218" i="9" s="1"/>
  <c r="K218" i="9"/>
  <c r="P218" i="9" s="1"/>
  <c r="D218" i="8"/>
  <c r="G217" i="8"/>
  <c r="N217" i="8" s="1"/>
  <c r="P218" i="8"/>
  <c r="O218" i="8"/>
  <c r="E218" i="8"/>
  <c r="G219" i="6"/>
  <c r="J219" i="6" s="1"/>
  <c r="I220" i="6"/>
  <c r="L220" i="6" s="1"/>
  <c r="H220" i="6"/>
  <c r="K220" i="6" s="1"/>
  <c r="F220" i="6"/>
  <c r="E220" i="6"/>
  <c r="D220" i="6"/>
  <c r="D221" i="7"/>
  <c r="F222" i="7" s="1"/>
  <c r="E221" i="7"/>
  <c r="I221" i="7"/>
  <c r="L221" i="7" s="1"/>
  <c r="H221" i="7"/>
  <c r="K221" i="7" s="1"/>
  <c r="G220" i="7"/>
  <c r="J220" i="7" s="1"/>
  <c r="F219" i="8" l="1"/>
  <c r="M219" i="8"/>
  <c r="K219" i="8"/>
  <c r="I219" i="8"/>
  <c r="Q219" i="8"/>
  <c r="K219" i="9"/>
  <c r="P219" i="9" s="1"/>
  <c r="I219" i="9"/>
  <c r="O219" i="9" s="1"/>
  <c r="G218" i="9"/>
  <c r="N218" i="9" s="1"/>
  <c r="E219" i="9"/>
  <c r="D219" i="9"/>
  <c r="F220" i="9" s="1"/>
  <c r="M219" i="9"/>
  <c r="Q219" i="9" s="1"/>
  <c r="P219" i="8"/>
  <c r="O219" i="8"/>
  <c r="E219" i="8"/>
  <c r="D219" i="8"/>
  <c r="G218" i="8"/>
  <c r="N218" i="8" s="1"/>
  <c r="F221" i="6"/>
  <c r="E221" i="6"/>
  <c r="G220" i="6"/>
  <c r="J220" i="6" s="1"/>
  <c r="I221" i="6"/>
  <c r="L221" i="6" s="1"/>
  <c r="H221" i="6"/>
  <c r="K221" i="6" s="1"/>
  <c r="D221" i="6"/>
  <c r="D222" i="7"/>
  <c r="F223" i="7" s="1"/>
  <c r="E222" i="7"/>
  <c r="G221" i="7"/>
  <c r="J221" i="7" s="1"/>
  <c r="F220" i="8" l="1"/>
  <c r="M220" i="8"/>
  <c r="K220" i="8"/>
  <c r="I220" i="8"/>
  <c r="Q220" i="8"/>
  <c r="M220" i="9"/>
  <c r="Q220" i="9" s="1"/>
  <c r="K220" i="9"/>
  <c r="P220" i="9" s="1"/>
  <c r="E220" i="9"/>
  <c r="I220" i="9"/>
  <c r="O220" i="9" s="1"/>
  <c r="D220" i="9"/>
  <c r="F221" i="9" s="1"/>
  <c r="G219" i="9"/>
  <c r="N219" i="9" s="1"/>
  <c r="G219" i="8"/>
  <c r="N219" i="8" s="1"/>
  <c r="P220" i="8"/>
  <c r="O220" i="8"/>
  <c r="E220" i="8"/>
  <c r="D220" i="8"/>
  <c r="E222" i="6"/>
  <c r="G221" i="6"/>
  <c r="J221" i="6" s="1"/>
  <c r="I222" i="6"/>
  <c r="L222" i="6" s="1"/>
  <c r="H222" i="6"/>
  <c r="K222" i="6" s="1"/>
  <c r="F222" i="6"/>
  <c r="D222" i="6"/>
  <c r="D223" i="7"/>
  <c r="F224" i="7" s="1"/>
  <c r="E223" i="7"/>
  <c r="I222" i="7"/>
  <c r="L222" i="7" s="1"/>
  <c r="H222" i="7"/>
  <c r="K222" i="7" s="1"/>
  <c r="G222" i="7"/>
  <c r="J222" i="7" s="1"/>
  <c r="I223" i="7"/>
  <c r="L223" i="7" s="1"/>
  <c r="H223" i="7"/>
  <c r="K223" i="7" s="1"/>
  <c r="F221" i="8" l="1"/>
  <c r="M221" i="8"/>
  <c r="K221" i="8"/>
  <c r="I221" i="8"/>
  <c r="Q221" i="8"/>
  <c r="M221" i="9"/>
  <c r="Q221" i="9" s="1"/>
  <c r="I221" i="9"/>
  <c r="O221" i="9" s="1"/>
  <c r="G220" i="9"/>
  <c r="N220" i="9" s="1"/>
  <c r="K221" i="9"/>
  <c r="P221" i="9" s="1"/>
  <c r="E221" i="9"/>
  <c r="D221" i="9"/>
  <c r="F222" i="9" s="1"/>
  <c r="P221" i="8"/>
  <c r="O221" i="8"/>
  <c r="E221" i="8"/>
  <c r="D221" i="8"/>
  <c r="G220" i="8"/>
  <c r="N220" i="8" s="1"/>
  <c r="D223" i="6"/>
  <c r="I223" i="6"/>
  <c r="L223" i="6" s="1"/>
  <c r="H223" i="6"/>
  <c r="K223" i="6" s="1"/>
  <c r="F223" i="6"/>
  <c r="E223" i="6"/>
  <c r="G222" i="6"/>
  <c r="J222" i="6" s="1"/>
  <c r="D224" i="7"/>
  <c r="F225" i="7" s="1"/>
  <c r="E224" i="7"/>
  <c r="I224" i="7"/>
  <c r="L224" i="7" s="1"/>
  <c r="G223" i="7"/>
  <c r="J223" i="7" s="1"/>
  <c r="H224" i="7"/>
  <c r="K224" i="7" s="1"/>
  <c r="F222" i="8" l="1"/>
  <c r="M222" i="8"/>
  <c r="Q222" i="8" s="1"/>
  <c r="K222" i="8"/>
  <c r="I222" i="8"/>
  <c r="K222" i="9"/>
  <c r="P222" i="9" s="1"/>
  <c r="I222" i="9"/>
  <c r="O222" i="9" s="1"/>
  <c r="G221" i="9"/>
  <c r="N221" i="9" s="1"/>
  <c r="E222" i="9"/>
  <c r="D222" i="9"/>
  <c r="F223" i="9" s="1"/>
  <c r="M222" i="9"/>
  <c r="Q222" i="9" s="1"/>
  <c r="G221" i="8"/>
  <c r="N221" i="8" s="1"/>
  <c r="P222" i="8"/>
  <c r="O222" i="8"/>
  <c r="E222" i="8"/>
  <c r="D222" i="8"/>
  <c r="H224" i="6"/>
  <c r="K224" i="6" s="1"/>
  <c r="D224" i="6"/>
  <c r="G223" i="6"/>
  <c r="J223" i="6" s="1"/>
  <c r="F224" i="6"/>
  <c r="E224" i="6"/>
  <c r="I224" i="6"/>
  <c r="L224" i="6" s="1"/>
  <c r="E225" i="7"/>
  <c r="D225" i="7"/>
  <c r="F226" i="7" s="1"/>
  <c r="I225" i="7"/>
  <c r="L225" i="7" s="1"/>
  <c r="H225" i="7"/>
  <c r="K225" i="7" s="1"/>
  <c r="G224" i="7"/>
  <c r="J224" i="7" s="1"/>
  <c r="F223" i="8" l="1"/>
  <c r="M223" i="8"/>
  <c r="Q223" i="8" s="1"/>
  <c r="I223" i="8"/>
  <c r="K223" i="8"/>
  <c r="M223" i="9"/>
  <c r="Q223" i="9" s="1"/>
  <c r="K223" i="9"/>
  <c r="P223" i="9" s="1"/>
  <c r="G222" i="9"/>
  <c r="N222" i="9" s="1"/>
  <c r="I223" i="9"/>
  <c r="O223" i="9" s="1"/>
  <c r="E223" i="9"/>
  <c r="D223" i="9"/>
  <c r="F224" i="9" s="1"/>
  <c r="E223" i="8"/>
  <c r="D223" i="8"/>
  <c r="G222" i="8"/>
  <c r="N222" i="8" s="1"/>
  <c r="P223" i="8"/>
  <c r="O223" i="8"/>
  <c r="I225" i="6"/>
  <c r="L225" i="6" s="1"/>
  <c r="H225" i="6"/>
  <c r="K225" i="6" s="1"/>
  <c r="F225" i="6"/>
  <c r="E225" i="6"/>
  <c r="D225" i="6"/>
  <c r="G224" i="6"/>
  <c r="J224" i="6" s="1"/>
  <c r="D226" i="7"/>
  <c r="F227" i="7" s="1"/>
  <c r="E226" i="7"/>
  <c r="G225" i="7"/>
  <c r="J225" i="7" s="1"/>
  <c r="I226" i="7"/>
  <c r="L226" i="7" s="1"/>
  <c r="H226" i="7"/>
  <c r="K226" i="7" s="1"/>
  <c r="F224" i="8" l="1"/>
  <c r="M224" i="8"/>
  <c r="Q224" i="8" s="1"/>
  <c r="K224" i="8"/>
  <c r="I224" i="8"/>
  <c r="E224" i="9"/>
  <c r="D224" i="9"/>
  <c r="F225" i="9" s="1"/>
  <c r="M224" i="9"/>
  <c r="Q224" i="9" s="1"/>
  <c r="I224" i="9"/>
  <c r="O224" i="9" s="1"/>
  <c r="G223" i="9"/>
  <c r="N223" i="9" s="1"/>
  <c r="K224" i="9"/>
  <c r="P224" i="9" s="1"/>
  <c r="G223" i="8"/>
  <c r="N223" i="8" s="1"/>
  <c r="P224" i="8"/>
  <c r="O224" i="8"/>
  <c r="E224" i="8"/>
  <c r="D224" i="8"/>
  <c r="I226" i="6"/>
  <c r="L226" i="6" s="1"/>
  <c r="H226" i="6"/>
  <c r="K226" i="6" s="1"/>
  <c r="F226" i="6"/>
  <c r="E226" i="6"/>
  <c r="D226" i="6"/>
  <c r="G225" i="6"/>
  <c r="J225" i="6" s="1"/>
  <c r="E227" i="7"/>
  <c r="D227" i="7"/>
  <c r="F228" i="7" s="1"/>
  <c r="H227" i="7"/>
  <c r="K227" i="7" s="1"/>
  <c r="I227" i="7"/>
  <c r="L227" i="7" s="1"/>
  <c r="G226" i="7"/>
  <c r="J226" i="7" s="1"/>
  <c r="F225" i="8" l="1"/>
  <c r="M225" i="8"/>
  <c r="Q225" i="8" s="1"/>
  <c r="K225" i="8"/>
  <c r="I225" i="8"/>
  <c r="E225" i="9"/>
  <c r="G224" i="9"/>
  <c r="N224" i="9" s="1"/>
  <c r="M225" i="9"/>
  <c r="Q225" i="9" s="1"/>
  <c r="K225" i="9"/>
  <c r="P225" i="9" s="1"/>
  <c r="I225" i="9"/>
  <c r="O225" i="9" s="1"/>
  <c r="D225" i="9"/>
  <c r="F226" i="9" s="1"/>
  <c r="E225" i="8"/>
  <c r="D225" i="8"/>
  <c r="G224" i="8"/>
  <c r="N224" i="8" s="1"/>
  <c r="P225" i="8"/>
  <c r="O225" i="8"/>
  <c r="H227" i="6"/>
  <c r="K227" i="6" s="1"/>
  <c r="G226" i="6"/>
  <c r="J226" i="6" s="1"/>
  <c r="I227" i="6"/>
  <c r="L227" i="6" s="1"/>
  <c r="F227" i="6"/>
  <c r="E227" i="6"/>
  <c r="D227" i="6"/>
  <c r="D228" i="7"/>
  <c r="F229" i="7" s="1"/>
  <c r="E228" i="7"/>
  <c r="I228" i="7"/>
  <c r="L228" i="7" s="1"/>
  <c r="H228" i="7"/>
  <c r="K228" i="7" s="1"/>
  <c r="G227" i="7"/>
  <c r="J227" i="7" s="1"/>
  <c r="F226" i="8" l="1"/>
  <c r="M226" i="8"/>
  <c r="K226" i="8"/>
  <c r="I226" i="8"/>
  <c r="Q226" i="8"/>
  <c r="I226" i="9"/>
  <c r="O226" i="9" s="1"/>
  <c r="G225" i="9"/>
  <c r="N225" i="9" s="1"/>
  <c r="D226" i="9"/>
  <c r="F227" i="9" s="1"/>
  <c r="K226" i="9"/>
  <c r="P226" i="9" s="1"/>
  <c r="E226" i="9"/>
  <c r="M226" i="9"/>
  <c r="Q226" i="9" s="1"/>
  <c r="P226" i="8"/>
  <c r="O226" i="8"/>
  <c r="E226" i="8"/>
  <c r="D226" i="8"/>
  <c r="G225" i="8"/>
  <c r="N225" i="8" s="1"/>
  <c r="F228" i="6"/>
  <c r="D228" i="6"/>
  <c r="I228" i="6"/>
  <c r="L228" i="6" s="1"/>
  <c r="H228" i="6"/>
  <c r="K228" i="6" s="1"/>
  <c r="E228" i="6"/>
  <c r="G227" i="6"/>
  <c r="J227" i="6" s="1"/>
  <c r="D229" i="7"/>
  <c r="F230" i="7" s="1"/>
  <c r="E229" i="7"/>
  <c r="H229" i="7"/>
  <c r="K229" i="7" s="1"/>
  <c r="G228" i="7"/>
  <c r="J228" i="7" s="1"/>
  <c r="I229" i="7"/>
  <c r="L229" i="7" s="1"/>
  <c r="F227" i="8" l="1"/>
  <c r="M227" i="8"/>
  <c r="Q227" i="8" s="1"/>
  <c r="K227" i="8"/>
  <c r="I227" i="8"/>
  <c r="K227" i="9"/>
  <c r="P227" i="9" s="1"/>
  <c r="I227" i="9"/>
  <c r="O227" i="9" s="1"/>
  <c r="G226" i="9"/>
  <c r="N226" i="9" s="1"/>
  <c r="E227" i="9"/>
  <c r="D227" i="9"/>
  <c r="F228" i="9" s="1"/>
  <c r="M227" i="9"/>
  <c r="Q227" i="9" s="1"/>
  <c r="G226" i="8"/>
  <c r="N226" i="8" s="1"/>
  <c r="P227" i="8"/>
  <c r="O227" i="8"/>
  <c r="E227" i="8"/>
  <c r="D227" i="8"/>
  <c r="G228" i="6"/>
  <c r="J228" i="6" s="1"/>
  <c r="F229" i="6"/>
  <c r="I229" i="6"/>
  <c r="L229" i="6" s="1"/>
  <c r="H229" i="6"/>
  <c r="K229" i="6" s="1"/>
  <c r="E229" i="6"/>
  <c r="D229" i="6"/>
  <c r="D230" i="7"/>
  <c r="F231" i="7" s="1"/>
  <c r="E230" i="7"/>
  <c r="I230" i="7"/>
  <c r="L230" i="7" s="1"/>
  <c r="H230" i="7"/>
  <c r="K230" i="7" s="1"/>
  <c r="G229" i="7"/>
  <c r="J229" i="7" s="1"/>
  <c r="F228" i="8" l="1"/>
  <c r="M228" i="8"/>
  <c r="K228" i="8"/>
  <c r="I228" i="8"/>
  <c r="Q228" i="8"/>
  <c r="M228" i="9"/>
  <c r="Q228" i="9" s="1"/>
  <c r="K228" i="9"/>
  <c r="P228" i="9" s="1"/>
  <c r="E228" i="9"/>
  <c r="I228" i="9"/>
  <c r="O228" i="9" s="1"/>
  <c r="D228" i="9"/>
  <c r="F229" i="9" s="1"/>
  <c r="G227" i="9"/>
  <c r="N227" i="9" s="1"/>
  <c r="P228" i="8"/>
  <c r="O228" i="8"/>
  <c r="E228" i="8"/>
  <c r="D228" i="8"/>
  <c r="G227" i="8"/>
  <c r="N227" i="8" s="1"/>
  <c r="E230" i="6"/>
  <c r="D230" i="6"/>
  <c r="I230" i="6"/>
  <c r="L230" i="6" s="1"/>
  <c r="H230" i="6"/>
  <c r="K230" i="6" s="1"/>
  <c r="F230" i="6"/>
  <c r="G229" i="6"/>
  <c r="J229" i="6" s="1"/>
  <c r="D231" i="7"/>
  <c r="F232" i="7" s="1"/>
  <c r="E231" i="7"/>
  <c r="I231" i="7"/>
  <c r="L231" i="7" s="1"/>
  <c r="G230" i="7"/>
  <c r="J230" i="7" s="1"/>
  <c r="H231" i="7"/>
  <c r="K231" i="7" s="1"/>
  <c r="F229" i="8" l="1"/>
  <c r="M229" i="8"/>
  <c r="K229" i="8"/>
  <c r="I229" i="8"/>
  <c r="Q229" i="8"/>
  <c r="M229" i="9"/>
  <c r="Q229" i="9" s="1"/>
  <c r="I229" i="9"/>
  <c r="O229" i="9" s="1"/>
  <c r="G228" i="9"/>
  <c r="N228" i="9" s="1"/>
  <c r="D229" i="9"/>
  <c r="F230" i="9" s="1"/>
  <c r="K229" i="9"/>
  <c r="P229" i="9" s="1"/>
  <c r="E229" i="9"/>
  <c r="G228" i="8"/>
  <c r="N228" i="8" s="1"/>
  <c r="P229" i="8"/>
  <c r="O229" i="8"/>
  <c r="E229" i="8"/>
  <c r="D229" i="8"/>
  <c r="I231" i="6"/>
  <c r="L231" i="6" s="1"/>
  <c r="D231" i="6"/>
  <c r="E231" i="6"/>
  <c r="G230" i="6"/>
  <c r="J230" i="6" s="1"/>
  <c r="H231" i="6"/>
  <c r="K231" i="6" s="1"/>
  <c r="F231" i="6"/>
  <c r="E232" i="7"/>
  <c r="D232" i="7"/>
  <c r="F233" i="7" s="1"/>
  <c r="G231" i="7"/>
  <c r="J231" i="7" s="1"/>
  <c r="F230" i="8" l="1"/>
  <c r="M230" i="8"/>
  <c r="K230" i="8"/>
  <c r="I230" i="8"/>
  <c r="Q230" i="8"/>
  <c r="K230" i="9"/>
  <c r="P230" i="9" s="1"/>
  <c r="I230" i="9"/>
  <c r="O230" i="9" s="1"/>
  <c r="G229" i="9"/>
  <c r="N229" i="9" s="1"/>
  <c r="M230" i="9"/>
  <c r="Q230" i="9" s="1"/>
  <c r="E230" i="9"/>
  <c r="D230" i="9"/>
  <c r="F231" i="9" s="1"/>
  <c r="P230" i="8"/>
  <c r="O230" i="8"/>
  <c r="E230" i="8"/>
  <c r="D230" i="8"/>
  <c r="G229" i="8"/>
  <c r="N229" i="8" s="1"/>
  <c r="I232" i="6"/>
  <c r="L232" i="6" s="1"/>
  <c r="H232" i="6"/>
  <c r="K232" i="6" s="1"/>
  <c r="F232" i="6"/>
  <c r="E232" i="6"/>
  <c r="G231" i="6"/>
  <c r="J231" i="6" s="1"/>
  <c r="D232" i="6"/>
  <c r="D233" i="7"/>
  <c r="F234" i="7" s="1"/>
  <c r="E233" i="7"/>
  <c r="I232" i="7"/>
  <c r="L232" i="7" s="1"/>
  <c r="H232" i="7"/>
  <c r="K232" i="7" s="1"/>
  <c r="H233" i="7"/>
  <c r="K233" i="7" s="1"/>
  <c r="G232" i="7"/>
  <c r="J232" i="7" s="1"/>
  <c r="F231" i="8" l="1"/>
  <c r="I231" i="8"/>
  <c r="M231" i="8"/>
  <c r="Q231" i="8" s="1"/>
  <c r="K231" i="8"/>
  <c r="M231" i="9"/>
  <c r="Q231" i="9" s="1"/>
  <c r="K231" i="9"/>
  <c r="P231" i="9" s="1"/>
  <c r="E231" i="9"/>
  <c r="D231" i="9"/>
  <c r="F232" i="9" s="1"/>
  <c r="G230" i="9"/>
  <c r="N230" i="9" s="1"/>
  <c r="I231" i="9"/>
  <c r="O231" i="9" s="1"/>
  <c r="G230" i="8"/>
  <c r="N230" i="8" s="1"/>
  <c r="P231" i="8"/>
  <c r="O231" i="8"/>
  <c r="E231" i="8"/>
  <c r="D231" i="8"/>
  <c r="I233" i="6"/>
  <c r="L233" i="6" s="1"/>
  <c r="D233" i="6"/>
  <c r="H233" i="6"/>
  <c r="K233" i="6" s="1"/>
  <c r="F233" i="6"/>
  <c r="E233" i="6"/>
  <c r="G232" i="6"/>
  <c r="J232" i="6" s="1"/>
  <c r="E234" i="7"/>
  <c r="D234" i="7"/>
  <c r="F235" i="7" s="1"/>
  <c r="I234" i="7"/>
  <c r="L234" i="7" s="1"/>
  <c r="H234" i="7"/>
  <c r="K234" i="7" s="1"/>
  <c r="G233" i="7"/>
  <c r="J233" i="7" s="1"/>
  <c r="I233" i="7"/>
  <c r="L233" i="7" s="1"/>
  <c r="F232" i="8" l="1"/>
  <c r="K232" i="8"/>
  <c r="M232" i="8"/>
  <c r="Q232" i="8" s="1"/>
  <c r="I232" i="8"/>
  <c r="E232" i="9"/>
  <c r="D232" i="9"/>
  <c r="F233" i="9" s="1"/>
  <c r="M232" i="9"/>
  <c r="Q232" i="9" s="1"/>
  <c r="K232" i="9"/>
  <c r="P232" i="9" s="1"/>
  <c r="I232" i="9"/>
  <c r="O232" i="9" s="1"/>
  <c r="G231" i="9"/>
  <c r="N231" i="9" s="1"/>
  <c r="D232" i="8"/>
  <c r="G231" i="8"/>
  <c r="N231" i="8" s="1"/>
  <c r="P232" i="8"/>
  <c r="O232" i="8"/>
  <c r="E232" i="8"/>
  <c r="G233" i="6"/>
  <c r="J233" i="6" s="1"/>
  <c r="I234" i="6"/>
  <c r="L234" i="6" s="1"/>
  <c r="H234" i="6"/>
  <c r="K234" i="6" s="1"/>
  <c r="F234" i="6"/>
  <c r="E234" i="6"/>
  <c r="D234" i="6"/>
  <c r="D235" i="7"/>
  <c r="F236" i="7" s="1"/>
  <c r="E235" i="7"/>
  <c r="I235" i="7"/>
  <c r="L235" i="7" s="1"/>
  <c r="G234" i="7"/>
  <c r="J234" i="7" s="1"/>
  <c r="H235" i="7"/>
  <c r="K235" i="7" s="1"/>
  <c r="F233" i="8" l="1"/>
  <c r="K233" i="8"/>
  <c r="I233" i="8"/>
  <c r="M233" i="8"/>
  <c r="Q233" i="8" s="1"/>
  <c r="E233" i="9"/>
  <c r="I233" i="9"/>
  <c r="O233" i="9" s="1"/>
  <c r="D233" i="9"/>
  <c r="F234" i="9" s="1"/>
  <c r="G232" i="9"/>
  <c r="N232" i="9" s="1"/>
  <c r="K233" i="9"/>
  <c r="P233" i="9" s="1"/>
  <c r="M233" i="9"/>
  <c r="Q233" i="9" s="1"/>
  <c r="P233" i="8"/>
  <c r="O233" i="8"/>
  <c r="E233" i="8"/>
  <c r="D233" i="8"/>
  <c r="G232" i="8"/>
  <c r="N232" i="8" s="1"/>
  <c r="H235" i="6"/>
  <c r="K235" i="6" s="1"/>
  <c r="E235" i="6"/>
  <c r="I235" i="6"/>
  <c r="L235" i="6" s="1"/>
  <c r="F235" i="6"/>
  <c r="D235" i="6"/>
  <c r="G234" i="6"/>
  <c r="J234" i="6" s="1"/>
  <c r="E236" i="7"/>
  <c r="D236" i="7"/>
  <c r="F237" i="7" s="1"/>
  <c r="I236" i="7"/>
  <c r="L236" i="7" s="1"/>
  <c r="G235" i="7"/>
  <c r="J235" i="7" s="1"/>
  <c r="H236" i="7"/>
  <c r="K236" i="7" s="1"/>
  <c r="F234" i="8" l="1"/>
  <c r="K234" i="8"/>
  <c r="M234" i="8"/>
  <c r="I234" i="8"/>
  <c r="Q234" i="8"/>
  <c r="I234" i="9"/>
  <c r="O234" i="9" s="1"/>
  <c r="G233" i="9"/>
  <c r="N233" i="9" s="1"/>
  <c r="D234" i="9"/>
  <c r="F235" i="9" s="1"/>
  <c r="K234" i="9"/>
  <c r="P234" i="9" s="1"/>
  <c r="M234" i="9"/>
  <c r="Q234" i="9" s="1"/>
  <c r="E234" i="9"/>
  <c r="P234" i="8"/>
  <c r="O234" i="8"/>
  <c r="E234" i="8"/>
  <c r="D234" i="8"/>
  <c r="G233" i="8"/>
  <c r="N233" i="8" s="1"/>
  <c r="G235" i="6"/>
  <c r="J235" i="6" s="1"/>
  <c r="I236" i="6"/>
  <c r="L236" i="6" s="1"/>
  <c r="E236" i="6"/>
  <c r="F236" i="6"/>
  <c r="D236" i="6"/>
  <c r="H236" i="6"/>
  <c r="K236" i="6" s="1"/>
  <c r="E237" i="7"/>
  <c r="D237" i="7"/>
  <c r="F238" i="7" s="1"/>
  <c r="I237" i="7"/>
  <c r="L237" i="7" s="1"/>
  <c r="H237" i="7"/>
  <c r="K237" i="7" s="1"/>
  <c r="G236" i="7"/>
  <c r="J236" i="7" s="1"/>
  <c r="F235" i="8" l="1"/>
  <c r="M235" i="8"/>
  <c r="Q235" i="8" s="1"/>
  <c r="K235" i="8"/>
  <c r="I235" i="8"/>
  <c r="K235" i="9"/>
  <c r="P235" i="9" s="1"/>
  <c r="I235" i="9"/>
  <c r="O235" i="9" s="1"/>
  <c r="G234" i="9"/>
  <c r="N234" i="9" s="1"/>
  <c r="E235" i="9"/>
  <c r="D235" i="9"/>
  <c r="F236" i="9" s="1"/>
  <c r="M235" i="9"/>
  <c r="Q235" i="9" s="1"/>
  <c r="P235" i="8"/>
  <c r="O235" i="8"/>
  <c r="E235" i="8"/>
  <c r="D235" i="8"/>
  <c r="G234" i="8"/>
  <c r="N234" i="8" s="1"/>
  <c r="F237" i="6"/>
  <c r="E237" i="6"/>
  <c r="G236" i="6"/>
  <c r="J236" i="6" s="1"/>
  <c r="I237" i="6"/>
  <c r="L237" i="6" s="1"/>
  <c r="H237" i="6"/>
  <c r="K237" i="6" s="1"/>
  <c r="D237" i="6"/>
  <c r="E238" i="7"/>
  <c r="D238" i="7"/>
  <c r="F239" i="7" s="1"/>
  <c r="G237" i="7"/>
  <c r="J237" i="7" s="1"/>
  <c r="F236" i="8" l="1"/>
  <c r="M236" i="8"/>
  <c r="K236" i="8"/>
  <c r="I236" i="8"/>
  <c r="Q236" i="8"/>
  <c r="M236" i="9"/>
  <c r="Q236" i="9" s="1"/>
  <c r="K236" i="9"/>
  <c r="P236" i="9" s="1"/>
  <c r="E236" i="9"/>
  <c r="D236" i="9"/>
  <c r="F237" i="9" s="1"/>
  <c r="I236" i="9"/>
  <c r="O236" i="9" s="1"/>
  <c r="G235" i="9"/>
  <c r="N235" i="9" s="1"/>
  <c r="G235" i="8"/>
  <c r="N235" i="8" s="1"/>
  <c r="P236" i="8"/>
  <c r="D236" i="8"/>
  <c r="O236" i="8"/>
  <c r="E236" i="8"/>
  <c r="E238" i="6"/>
  <c r="I238" i="6"/>
  <c r="L238" i="6" s="1"/>
  <c r="H238" i="6"/>
  <c r="K238" i="6" s="1"/>
  <c r="F238" i="6"/>
  <c r="D238" i="6"/>
  <c r="G237" i="6"/>
  <c r="J237" i="6" s="1"/>
  <c r="D239" i="7"/>
  <c r="F240" i="7" s="1"/>
  <c r="E239" i="7"/>
  <c r="H238" i="7"/>
  <c r="K238" i="7" s="1"/>
  <c r="I238" i="7"/>
  <c r="L238" i="7" s="1"/>
  <c r="G238" i="7"/>
  <c r="J238" i="7" s="1"/>
  <c r="I239" i="7"/>
  <c r="L239" i="7" s="1"/>
  <c r="H239" i="7"/>
  <c r="K239" i="7" s="1"/>
  <c r="F237" i="8" l="1"/>
  <c r="M237" i="8"/>
  <c r="Q237" i="8" s="1"/>
  <c r="I237" i="8"/>
  <c r="K237" i="8"/>
  <c r="M237" i="9"/>
  <c r="Q237" i="9" s="1"/>
  <c r="I237" i="9"/>
  <c r="O237" i="9" s="1"/>
  <c r="G236" i="9"/>
  <c r="N236" i="9" s="1"/>
  <c r="E237" i="9"/>
  <c r="D237" i="9"/>
  <c r="F238" i="9" s="1"/>
  <c r="K237" i="9"/>
  <c r="P237" i="9" s="1"/>
  <c r="E237" i="8"/>
  <c r="D237" i="8"/>
  <c r="P237" i="8"/>
  <c r="O237" i="8"/>
  <c r="G236" i="8"/>
  <c r="N236" i="8" s="1"/>
  <c r="D239" i="6"/>
  <c r="G238" i="6"/>
  <c r="J238" i="6" s="1"/>
  <c r="F239" i="6"/>
  <c r="E239" i="6"/>
  <c r="I239" i="6"/>
  <c r="L239" i="6" s="1"/>
  <c r="H239" i="6"/>
  <c r="K239" i="6" s="1"/>
  <c r="E240" i="7"/>
  <c r="D240" i="7"/>
  <c r="F241" i="7" s="1"/>
  <c r="I240" i="7"/>
  <c r="L240" i="7" s="1"/>
  <c r="G239" i="7"/>
  <c r="J239" i="7" s="1"/>
  <c r="H240" i="7"/>
  <c r="K240" i="7" s="1"/>
  <c r="F238" i="8" l="1"/>
  <c r="M238" i="8"/>
  <c r="Q238" i="8" s="1"/>
  <c r="K238" i="8"/>
  <c r="I238" i="8"/>
  <c r="K238" i="9"/>
  <c r="P238" i="9" s="1"/>
  <c r="I238" i="9"/>
  <c r="O238" i="9" s="1"/>
  <c r="G237" i="9"/>
  <c r="N237" i="9" s="1"/>
  <c r="M238" i="9"/>
  <c r="Q238" i="9" s="1"/>
  <c r="E238" i="9"/>
  <c r="D238" i="9"/>
  <c r="F239" i="9" s="1"/>
  <c r="G237" i="8"/>
  <c r="N237" i="8" s="1"/>
  <c r="O238" i="8"/>
  <c r="P238" i="8"/>
  <c r="E238" i="8"/>
  <c r="D238" i="8"/>
  <c r="H240" i="6"/>
  <c r="K240" i="6" s="1"/>
  <c r="E240" i="6"/>
  <c r="I240" i="6"/>
  <c r="L240" i="6" s="1"/>
  <c r="F240" i="6"/>
  <c r="G239" i="6"/>
  <c r="J239" i="6" s="1"/>
  <c r="D240" i="6"/>
  <c r="E241" i="7"/>
  <c r="D241" i="7"/>
  <c r="F242" i="7" s="1"/>
  <c r="I241" i="7"/>
  <c r="L241" i="7" s="1"/>
  <c r="H241" i="7"/>
  <c r="K241" i="7" s="1"/>
  <c r="G240" i="7"/>
  <c r="J240" i="7" s="1"/>
  <c r="F239" i="8" l="1"/>
  <c r="M239" i="8"/>
  <c r="I239" i="8"/>
  <c r="K239" i="8"/>
  <c r="Q239" i="8"/>
  <c r="M239" i="9"/>
  <c r="Q239" i="9" s="1"/>
  <c r="K239" i="9"/>
  <c r="P239" i="9" s="1"/>
  <c r="I239" i="9"/>
  <c r="O239" i="9" s="1"/>
  <c r="G238" i="9"/>
  <c r="N238" i="9" s="1"/>
  <c r="E239" i="9"/>
  <c r="D239" i="9"/>
  <c r="F240" i="9" s="1"/>
  <c r="E239" i="8"/>
  <c r="G238" i="8"/>
  <c r="N238" i="8" s="1"/>
  <c r="P239" i="8"/>
  <c r="O239" i="8"/>
  <c r="D239" i="8"/>
  <c r="H241" i="6"/>
  <c r="K241" i="6" s="1"/>
  <c r="I241" i="6"/>
  <c r="L241" i="6" s="1"/>
  <c r="F241" i="6"/>
  <c r="E241" i="6"/>
  <c r="D241" i="6"/>
  <c r="G240" i="6"/>
  <c r="J240" i="6" s="1"/>
  <c r="E242" i="7"/>
  <c r="D242" i="7"/>
  <c r="F243" i="7" s="1"/>
  <c r="I242" i="7"/>
  <c r="L242" i="7" s="1"/>
  <c r="G241" i="7"/>
  <c r="J241" i="7" s="1"/>
  <c r="H242" i="7"/>
  <c r="K242" i="7" s="1"/>
  <c r="F240" i="8" l="1"/>
  <c r="M240" i="8"/>
  <c r="Q240" i="8" s="1"/>
  <c r="K240" i="8"/>
  <c r="I240" i="8"/>
  <c r="E240" i="9"/>
  <c r="D240" i="9"/>
  <c r="F241" i="9" s="1"/>
  <c r="M240" i="9"/>
  <c r="Q240" i="9" s="1"/>
  <c r="K240" i="9"/>
  <c r="P240" i="9" s="1"/>
  <c r="G239" i="9"/>
  <c r="N239" i="9" s="1"/>
  <c r="I240" i="9"/>
  <c r="O240" i="9" s="1"/>
  <c r="P240" i="8"/>
  <c r="O240" i="8"/>
  <c r="E240" i="8"/>
  <c r="D240" i="8"/>
  <c r="G239" i="8"/>
  <c r="N239" i="8" s="1"/>
  <c r="I242" i="6"/>
  <c r="L242" i="6" s="1"/>
  <c r="H242" i="6"/>
  <c r="K242" i="6" s="1"/>
  <c r="F242" i="6"/>
  <c r="D242" i="6"/>
  <c r="G241" i="6"/>
  <c r="J241" i="6" s="1"/>
  <c r="E242" i="6"/>
  <c r="E243" i="7"/>
  <c r="D243" i="7"/>
  <c r="F244" i="7" s="1"/>
  <c r="H243" i="7"/>
  <c r="K243" i="7" s="1"/>
  <c r="I243" i="7"/>
  <c r="L243" i="7" s="1"/>
  <c r="G242" i="7"/>
  <c r="J242" i="7" s="1"/>
  <c r="F241" i="8" l="1"/>
  <c r="M241" i="8"/>
  <c r="K241" i="8"/>
  <c r="I241" i="8"/>
  <c r="Q241" i="8"/>
  <c r="E241" i="9"/>
  <c r="M241" i="9"/>
  <c r="Q241" i="9" s="1"/>
  <c r="I241" i="9"/>
  <c r="O241" i="9" s="1"/>
  <c r="G240" i="9"/>
  <c r="N240" i="9" s="1"/>
  <c r="K241" i="9"/>
  <c r="P241" i="9" s="1"/>
  <c r="D241" i="9"/>
  <c r="F242" i="9" s="1"/>
  <c r="G240" i="8"/>
  <c r="N240" i="8" s="1"/>
  <c r="O241" i="8"/>
  <c r="P241" i="8"/>
  <c r="E241" i="8"/>
  <c r="D241" i="8"/>
  <c r="H243" i="6"/>
  <c r="K243" i="6" s="1"/>
  <c r="F243" i="6"/>
  <c r="I243" i="6"/>
  <c r="L243" i="6" s="1"/>
  <c r="E243" i="6"/>
  <c r="D243" i="6"/>
  <c r="G242" i="6"/>
  <c r="J242" i="6" s="1"/>
  <c r="D244" i="7"/>
  <c r="F245" i="7" s="1"/>
  <c r="E244" i="7"/>
  <c r="I244" i="7"/>
  <c r="L244" i="7" s="1"/>
  <c r="H244" i="7"/>
  <c r="K244" i="7" s="1"/>
  <c r="G243" i="7"/>
  <c r="J243" i="7" s="1"/>
  <c r="F242" i="8" l="1"/>
  <c r="M242" i="8"/>
  <c r="K242" i="8"/>
  <c r="I242" i="8"/>
  <c r="Q242" i="8"/>
  <c r="I242" i="9"/>
  <c r="O242" i="9" s="1"/>
  <c r="G241" i="9"/>
  <c r="N241" i="9" s="1"/>
  <c r="D242" i="9"/>
  <c r="F243" i="9" s="1"/>
  <c r="K242" i="9"/>
  <c r="P242" i="9" s="1"/>
  <c r="M242" i="9"/>
  <c r="Q242" i="9" s="1"/>
  <c r="E242" i="9"/>
  <c r="O242" i="8"/>
  <c r="E242" i="8"/>
  <c r="D242" i="8"/>
  <c r="G241" i="8"/>
  <c r="N241" i="8" s="1"/>
  <c r="P242" i="8"/>
  <c r="F244" i="6"/>
  <c r="D244" i="6"/>
  <c r="I244" i="6"/>
  <c r="L244" i="6" s="1"/>
  <c r="H244" i="6"/>
  <c r="K244" i="6" s="1"/>
  <c r="E244" i="6"/>
  <c r="G243" i="6"/>
  <c r="J243" i="6" s="1"/>
  <c r="D245" i="7"/>
  <c r="F246" i="7" s="1"/>
  <c r="E245" i="7"/>
  <c r="H245" i="7"/>
  <c r="K245" i="7" s="1"/>
  <c r="I245" i="7"/>
  <c r="L245" i="7" s="1"/>
  <c r="G244" i="7"/>
  <c r="J244" i="7" s="1"/>
  <c r="F243" i="8" l="1"/>
  <c r="M243" i="8"/>
  <c r="K243" i="8"/>
  <c r="I243" i="8"/>
  <c r="Q243" i="8"/>
  <c r="K243" i="9"/>
  <c r="P243" i="9" s="1"/>
  <c r="I243" i="9"/>
  <c r="O243" i="9" s="1"/>
  <c r="G242" i="9"/>
  <c r="N242" i="9" s="1"/>
  <c r="E243" i="9"/>
  <c r="D243" i="9"/>
  <c r="F244" i="9" s="1"/>
  <c r="M243" i="9"/>
  <c r="Q243" i="9" s="1"/>
  <c r="G242" i="8"/>
  <c r="N242" i="8" s="1"/>
  <c r="P243" i="8"/>
  <c r="E243" i="8"/>
  <c r="D243" i="8"/>
  <c r="O243" i="8"/>
  <c r="G244" i="6"/>
  <c r="J244" i="6" s="1"/>
  <c r="H245" i="6"/>
  <c r="K245" i="6" s="1"/>
  <c r="F245" i="6"/>
  <c r="D245" i="6"/>
  <c r="I245" i="6"/>
  <c r="L245" i="6" s="1"/>
  <c r="E245" i="6"/>
  <c r="D246" i="7"/>
  <c r="F247" i="7" s="1"/>
  <c r="E246" i="7"/>
  <c r="H246" i="7"/>
  <c r="K246" i="7" s="1"/>
  <c r="I246" i="7"/>
  <c r="L246" i="7" s="1"/>
  <c r="G245" i="7"/>
  <c r="J245" i="7" s="1"/>
  <c r="F244" i="8" l="1"/>
  <c r="M244" i="8"/>
  <c r="Q244" i="8" s="1"/>
  <c r="K244" i="8"/>
  <c r="I244" i="8"/>
  <c r="M244" i="9"/>
  <c r="Q244" i="9" s="1"/>
  <c r="K244" i="9"/>
  <c r="P244" i="9" s="1"/>
  <c r="E244" i="9"/>
  <c r="D244" i="9"/>
  <c r="F245" i="9" s="1"/>
  <c r="G243" i="9"/>
  <c r="N243" i="9" s="1"/>
  <c r="I244" i="9"/>
  <c r="O244" i="9" s="1"/>
  <c r="O244" i="8"/>
  <c r="E244" i="8"/>
  <c r="D244" i="8"/>
  <c r="P244" i="8"/>
  <c r="G243" i="8"/>
  <c r="N243" i="8" s="1"/>
  <c r="E246" i="6"/>
  <c r="D246" i="6"/>
  <c r="I246" i="6"/>
  <c r="L246" i="6" s="1"/>
  <c r="H246" i="6"/>
  <c r="K246" i="6" s="1"/>
  <c r="F246" i="6"/>
  <c r="G245" i="6"/>
  <c r="J245" i="6" s="1"/>
  <c r="D247" i="7"/>
  <c r="F248" i="7" s="1"/>
  <c r="E247" i="7"/>
  <c r="I247" i="7"/>
  <c r="L247" i="7" s="1"/>
  <c r="H247" i="7"/>
  <c r="K247" i="7" s="1"/>
  <c r="G246" i="7"/>
  <c r="J246" i="7" s="1"/>
  <c r="F245" i="8" l="1"/>
  <c r="M245" i="8"/>
  <c r="I245" i="8"/>
  <c r="K245" i="8"/>
  <c r="Q245" i="8"/>
  <c r="M245" i="9"/>
  <c r="Q245" i="9" s="1"/>
  <c r="I245" i="9"/>
  <c r="O245" i="9" s="1"/>
  <c r="G244" i="9"/>
  <c r="N244" i="9" s="1"/>
  <c r="E245" i="9"/>
  <c r="D245" i="9"/>
  <c r="F246" i="9" s="1"/>
  <c r="K245" i="9"/>
  <c r="P245" i="9" s="1"/>
  <c r="P245" i="8"/>
  <c r="O245" i="8"/>
  <c r="D245" i="8"/>
  <c r="E245" i="8"/>
  <c r="G244" i="8"/>
  <c r="N244" i="8" s="1"/>
  <c r="I247" i="6"/>
  <c r="L247" i="6" s="1"/>
  <c r="F247" i="6"/>
  <c r="D247" i="6"/>
  <c r="H247" i="6"/>
  <c r="K247" i="6" s="1"/>
  <c r="E247" i="6"/>
  <c r="G246" i="6"/>
  <c r="J246" i="6" s="1"/>
  <c r="D248" i="7"/>
  <c r="F249" i="7" s="1"/>
  <c r="E248" i="7"/>
  <c r="H248" i="7"/>
  <c r="K248" i="7" s="1"/>
  <c r="G247" i="7"/>
  <c r="J247" i="7" s="1"/>
  <c r="F246" i="8" l="1"/>
  <c r="M246" i="8"/>
  <c r="K246" i="8"/>
  <c r="I246" i="8"/>
  <c r="Q246" i="8"/>
  <c r="K246" i="9"/>
  <c r="P246" i="9" s="1"/>
  <c r="I246" i="9"/>
  <c r="O246" i="9" s="1"/>
  <c r="G245" i="9"/>
  <c r="N245" i="9" s="1"/>
  <c r="M246" i="9"/>
  <c r="Q246" i="9" s="1"/>
  <c r="E246" i="9"/>
  <c r="D246" i="9"/>
  <c r="F247" i="9" s="1"/>
  <c r="D246" i="8"/>
  <c r="G245" i="8"/>
  <c r="N245" i="8" s="1"/>
  <c r="P246" i="8"/>
  <c r="O246" i="8"/>
  <c r="E246" i="8"/>
  <c r="I248" i="6"/>
  <c r="L248" i="6" s="1"/>
  <c r="G247" i="6"/>
  <c r="J247" i="6" s="1"/>
  <c r="H248" i="6"/>
  <c r="K248" i="6" s="1"/>
  <c r="F248" i="6"/>
  <c r="E248" i="6"/>
  <c r="D248" i="6"/>
  <c r="D249" i="7"/>
  <c r="F250" i="7" s="1"/>
  <c r="E249" i="7"/>
  <c r="I248" i="7"/>
  <c r="L248" i="7" s="1"/>
  <c r="H249" i="7"/>
  <c r="K249" i="7" s="1"/>
  <c r="I249" i="7"/>
  <c r="L249" i="7" s="1"/>
  <c r="G248" i="7"/>
  <c r="J248" i="7" s="1"/>
  <c r="F247" i="8" l="1"/>
  <c r="I247" i="8"/>
  <c r="M247" i="8"/>
  <c r="Q247" i="8" s="1"/>
  <c r="K247" i="8"/>
  <c r="M247" i="9"/>
  <c r="Q247" i="9" s="1"/>
  <c r="K247" i="9"/>
  <c r="P247" i="9" s="1"/>
  <c r="I247" i="9"/>
  <c r="O247" i="9" s="1"/>
  <c r="G246" i="9"/>
  <c r="N246" i="9" s="1"/>
  <c r="E247" i="9"/>
  <c r="D247" i="9"/>
  <c r="F248" i="9" s="1"/>
  <c r="P247" i="8"/>
  <c r="O247" i="8"/>
  <c r="E247" i="8"/>
  <c r="D247" i="8"/>
  <c r="G246" i="8"/>
  <c r="N246" i="8" s="1"/>
  <c r="I249" i="6"/>
  <c r="L249" i="6" s="1"/>
  <c r="F249" i="6"/>
  <c r="D249" i="6"/>
  <c r="H249" i="6"/>
  <c r="K249" i="6" s="1"/>
  <c r="E249" i="6"/>
  <c r="G248" i="6"/>
  <c r="J248" i="6" s="1"/>
  <c r="D250" i="7"/>
  <c r="F251" i="7" s="1"/>
  <c r="E250" i="7"/>
  <c r="I250" i="7"/>
  <c r="L250" i="7" s="1"/>
  <c r="H250" i="7"/>
  <c r="K250" i="7" s="1"/>
  <c r="G249" i="7"/>
  <c r="J249" i="7" s="1"/>
  <c r="F248" i="8" l="1"/>
  <c r="K248" i="8"/>
  <c r="M248" i="8"/>
  <c r="I248" i="8"/>
  <c r="Q248" i="8"/>
  <c r="E248" i="9"/>
  <c r="D248" i="9"/>
  <c r="F249" i="9" s="1"/>
  <c r="M248" i="9"/>
  <c r="Q248" i="9" s="1"/>
  <c r="K248" i="9"/>
  <c r="P248" i="9" s="1"/>
  <c r="G247" i="9"/>
  <c r="N247" i="9" s="1"/>
  <c r="I248" i="9"/>
  <c r="O248" i="9" s="1"/>
  <c r="D248" i="8"/>
  <c r="G247" i="8"/>
  <c r="N247" i="8" s="1"/>
  <c r="P248" i="8"/>
  <c r="O248" i="8"/>
  <c r="E248" i="8"/>
  <c r="G249" i="6"/>
  <c r="J249" i="6" s="1"/>
  <c r="I250" i="6"/>
  <c r="L250" i="6" s="1"/>
  <c r="H250" i="6"/>
  <c r="K250" i="6" s="1"/>
  <c r="F250" i="6"/>
  <c r="E250" i="6"/>
  <c r="D250" i="6"/>
  <c r="D251" i="7"/>
  <c r="F252" i="7" s="1"/>
  <c r="E251" i="7"/>
  <c r="I251" i="7"/>
  <c r="L251" i="7" s="1"/>
  <c r="G250" i="7"/>
  <c r="J250" i="7" s="1"/>
  <c r="H251" i="7"/>
  <c r="K251" i="7" s="1"/>
  <c r="F249" i="8" l="1"/>
  <c r="K249" i="8"/>
  <c r="I249" i="8"/>
  <c r="M249" i="8"/>
  <c r="Q249" i="8"/>
  <c r="E249" i="9"/>
  <c r="M249" i="9"/>
  <c r="Q249" i="9" s="1"/>
  <c r="I249" i="9"/>
  <c r="O249" i="9" s="1"/>
  <c r="G248" i="9"/>
  <c r="N248" i="9" s="1"/>
  <c r="K249" i="9"/>
  <c r="P249" i="9" s="1"/>
  <c r="D249" i="9"/>
  <c r="F250" i="9" s="1"/>
  <c r="P249" i="8"/>
  <c r="O249" i="8"/>
  <c r="E249" i="8"/>
  <c r="D249" i="8"/>
  <c r="G248" i="8"/>
  <c r="N248" i="8" s="1"/>
  <c r="H251" i="6"/>
  <c r="K251" i="6" s="1"/>
  <c r="E251" i="6"/>
  <c r="D251" i="6"/>
  <c r="G250" i="6"/>
  <c r="J250" i="6" s="1"/>
  <c r="F251" i="6"/>
  <c r="I251" i="6"/>
  <c r="L251" i="6" s="1"/>
  <c r="E252" i="7"/>
  <c r="D252" i="7"/>
  <c r="F253" i="7" s="1"/>
  <c r="I252" i="7"/>
  <c r="L252" i="7" s="1"/>
  <c r="G251" i="7"/>
  <c r="J251" i="7" s="1"/>
  <c r="H252" i="7"/>
  <c r="K252" i="7" s="1"/>
  <c r="F250" i="8" l="1"/>
  <c r="K250" i="8"/>
  <c r="I250" i="8"/>
  <c r="M250" i="8"/>
  <c r="Q250" i="8" s="1"/>
  <c r="I250" i="9"/>
  <c r="O250" i="9" s="1"/>
  <c r="G249" i="9"/>
  <c r="N249" i="9" s="1"/>
  <c r="D250" i="9"/>
  <c r="F251" i="9" s="1"/>
  <c r="K250" i="9"/>
  <c r="P250" i="9" s="1"/>
  <c r="M250" i="9"/>
  <c r="Q250" i="9" s="1"/>
  <c r="E250" i="9"/>
  <c r="G249" i="8"/>
  <c r="N249" i="8" s="1"/>
  <c r="P250" i="8"/>
  <c r="O250" i="8"/>
  <c r="E250" i="8"/>
  <c r="D250" i="8"/>
  <c r="G251" i="6"/>
  <c r="J251" i="6" s="1"/>
  <c r="I252" i="6"/>
  <c r="L252" i="6" s="1"/>
  <c r="F252" i="6"/>
  <c r="E252" i="6"/>
  <c r="H252" i="6"/>
  <c r="K252" i="6" s="1"/>
  <c r="D252" i="6"/>
  <c r="E253" i="7"/>
  <c r="D253" i="7"/>
  <c r="F254" i="7" s="1"/>
  <c r="G252" i="7"/>
  <c r="J252" i="7" s="1"/>
  <c r="F251" i="8" l="1"/>
  <c r="M251" i="8"/>
  <c r="Q251" i="8" s="1"/>
  <c r="K251" i="8"/>
  <c r="I251" i="8"/>
  <c r="K251" i="9"/>
  <c r="P251" i="9" s="1"/>
  <c r="I251" i="9"/>
  <c r="O251" i="9" s="1"/>
  <c r="G250" i="9"/>
  <c r="N250" i="9" s="1"/>
  <c r="E251" i="9"/>
  <c r="D251" i="9"/>
  <c r="F252" i="9" s="1"/>
  <c r="M251" i="9"/>
  <c r="Q251" i="9" s="1"/>
  <c r="P251" i="8"/>
  <c r="E251" i="8"/>
  <c r="D251" i="8"/>
  <c r="G250" i="8"/>
  <c r="N250" i="8" s="1"/>
  <c r="O251" i="8"/>
  <c r="F253" i="6"/>
  <c r="E253" i="6"/>
  <c r="G252" i="6"/>
  <c r="J252" i="6" s="1"/>
  <c r="I253" i="6"/>
  <c r="L253" i="6" s="1"/>
  <c r="H253" i="6"/>
  <c r="K253" i="6" s="1"/>
  <c r="D253" i="6"/>
  <c r="D254" i="7"/>
  <c r="F255" i="7" s="1"/>
  <c r="E254" i="7"/>
  <c r="H253" i="7"/>
  <c r="K253" i="7" s="1"/>
  <c r="I253" i="7"/>
  <c r="L253" i="7" s="1"/>
  <c r="G253" i="7"/>
  <c r="J253" i="7" s="1"/>
  <c r="F252" i="8" l="1"/>
  <c r="M252" i="8"/>
  <c r="Q252" i="8" s="1"/>
  <c r="K252" i="8"/>
  <c r="I252" i="8"/>
  <c r="M252" i="9"/>
  <c r="Q252" i="9" s="1"/>
  <c r="K252" i="9"/>
  <c r="P252" i="9" s="1"/>
  <c r="E252" i="9"/>
  <c r="D252" i="9"/>
  <c r="F253" i="9" s="1"/>
  <c r="G251" i="9"/>
  <c r="N251" i="9" s="1"/>
  <c r="I252" i="9"/>
  <c r="O252" i="9" s="1"/>
  <c r="G251" i="8"/>
  <c r="N251" i="8" s="1"/>
  <c r="P252" i="8"/>
  <c r="O252" i="8"/>
  <c r="E252" i="8"/>
  <c r="D252" i="8"/>
  <c r="I254" i="6"/>
  <c r="L254" i="6" s="1"/>
  <c r="E254" i="6"/>
  <c r="D254" i="6"/>
  <c r="H254" i="6"/>
  <c r="K254" i="6" s="1"/>
  <c r="F254" i="6"/>
  <c r="G253" i="6"/>
  <c r="J253" i="6" s="1"/>
  <c r="D255" i="7"/>
  <c r="F256" i="7" s="1"/>
  <c r="E255" i="7"/>
  <c r="H254" i="7"/>
  <c r="K254" i="7" s="1"/>
  <c r="I254" i="7"/>
  <c r="L254" i="7" s="1"/>
  <c r="G254" i="7"/>
  <c r="J254" i="7" s="1"/>
  <c r="F253" i="8" l="1"/>
  <c r="M253" i="8"/>
  <c r="I253" i="8"/>
  <c r="K253" i="8"/>
  <c r="Q253" i="8"/>
  <c r="M253" i="9"/>
  <c r="Q253" i="9" s="1"/>
  <c r="I253" i="9"/>
  <c r="O253" i="9" s="1"/>
  <c r="G252" i="9"/>
  <c r="N252" i="9" s="1"/>
  <c r="E253" i="9"/>
  <c r="D253" i="9"/>
  <c r="F254" i="9" s="1"/>
  <c r="K253" i="9"/>
  <c r="P253" i="9" s="1"/>
  <c r="E253" i="8"/>
  <c r="D253" i="8"/>
  <c r="G252" i="8"/>
  <c r="N252" i="8" s="1"/>
  <c r="P253" i="8"/>
  <c r="O253" i="8"/>
  <c r="E255" i="6"/>
  <c r="D255" i="6"/>
  <c r="G254" i="6"/>
  <c r="J254" i="6" s="1"/>
  <c r="I255" i="6"/>
  <c r="L255" i="6" s="1"/>
  <c r="H255" i="6"/>
  <c r="K255" i="6" s="1"/>
  <c r="F255" i="6"/>
  <c r="D256" i="7"/>
  <c r="F257" i="7" s="1"/>
  <c r="E256" i="7"/>
  <c r="H255" i="7"/>
  <c r="K255" i="7" s="1"/>
  <c r="I255" i="7"/>
  <c r="L255" i="7" s="1"/>
  <c r="G255" i="7"/>
  <c r="J255" i="7" s="1"/>
  <c r="F254" i="8" l="1"/>
  <c r="M254" i="8"/>
  <c r="Q254" i="8" s="1"/>
  <c r="K254" i="8"/>
  <c r="I254" i="8"/>
  <c r="K254" i="9"/>
  <c r="P254" i="9" s="1"/>
  <c r="I254" i="9"/>
  <c r="O254" i="9" s="1"/>
  <c r="G253" i="9"/>
  <c r="N253" i="9" s="1"/>
  <c r="M254" i="9"/>
  <c r="Q254" i="9" s="1"/>
  <c r="E254" i="9"/>
  <c r="D254" i="9"/>
  <c r="F255" i="9" s="1"/>
  <c r="G253" i="8"/>
  <c r="N253" i="8" s="1"/>
  <c r="P254" i="8"/>
  <c r="O254" i="8"/>
  <c r="E254" i="8"/>
  <c r="D254" i="8"/>
  <c r="H256" i="6"/>
  <c r="K256" i="6" s="1"/>
  <c r="E256" i="6"/>
  <c r="D256" i="6"/>
  <c r="I256" i="6"/>
  <c r="L256" i="6" s="1"/>
  <c r="F256" i="6"/>
  <c r="G255" i="6"/>
  <c r="J255" i="6" s="1"/>
  <c r="D257" i="7"/>
  <c r="F258" i="7" s="1"/>
  <c r="E257" i="7"/>
  <c r="I256" i="7"/>
  <c r="L256" i="7" s="1"/>
  <c r="H256" i="7"/>
  <c r="K256" i="7" s="1"/>
  <c r="I257" i="7"/>
  <c r="L257" i="7" s="1"/>
  <c r="H257" i="7"/>
  <c r="K257" i="7" s="1"/>
  <c r="G256" i="7"/>
  <c r="J256" i="7" s="1"/>
  <c r="F255" i="8" l="1"/>
  <c r="M255" i="8"/>
  <c r="I255" i="8"/>
  <c r="K255" i="8"/>
  <c r="Q255" i="8"/>
  <c r="M255" i="9"/>
  <c r="Q255" i="9" s="1"/>
  <c r="K255" i="9"/>
  <c r="P255" i="9" s="1"/>
  <c r="I255" i="9"/>
  <c r="O255" i="9" s="1"/>
  <c r="G254" i="9"/>
  <c r="N254" i="9" s="1"/>
  <c r="E255" i="9"/>
  <c r="D255" i="9"/>
  <c r="F256" i="9" s="1"/>
  <c r="E255" i="8"/>
  <c r="G254" i="8"/>
  <c r="N254" i="8" s="1"/>
  <c r="P255" i="8"/>
  <c r="O255" i="8"/>
  <c r="D255" i="8"/>
  <c r="G256" i="6"/>
  <c r="J256" i="6" s="1"/>
  <c r="I257" i="6"/>
  <c r="L257" i="6" s="1"/>
  <c r="H257" i="6"/>
  <c r="K257" i="6" s="1"/>
  <c r="F257" i="6"/>
  <c r="E257" i="6"/>
  <c r="D257" i="6"/>
  <c r="D258" i="7"/>
  <c r="F259" i="7" s="1"/>
  <c r="E258" i="7"/>
  <c r="G257" i="7"/>
  <c r="J257" i="7" s="1"/>
  <c r="F256" i="8" l="1"/>
  <c r="M256" i="8"/>
  <c r="K256" i="8"/>
  <c r="I256" i="8"/>
  <c r="Q256" i="8"/>
  <c r="E256" i="9"/>
  <c r="D256" i="9"/>
  <c r="F257" i="9" s="1"/>
  <c r="M256" i="9"/>
  <c r="Q256" i="9" s="1"/>
  <c r="K256" i="9"/>
  <c r="P256" i="9" s="1"/>
  <c r="I256" i="9"/>
  <c r="O256" i="9" s="1"/>
  <c r="G255" i="9"/>
  <c r="N255" i="9" s="1"/>
  <c r="P256" i="8"/>
  <c r="O256" i="8"/>
  <c r="E256" i="8"/>
  <c r="D256" i="8"/>
  <c r="G255" i="8"/>
  <c r="N255" i="8" s="1"/>
  <c r="I258" i="6"/>
  <c r="L258" i="6" s="1"/>
  <c r="H258" i="6"/>
  <c r="K258" i="6" s="1"/>
  <c r="F258" i="6"/>
  <c r="E258" i="6"/>
  <c r="D258" i="6"/>
  <c r="G257" i="6"/>
  <c r="J257" i="6" s="1"/>
  <c r="D259" i="7"/>
  <c r="F260" i="7" s="1"/>
  <c r="E259" i="7"/>
  <c r="H258" i="7"/>
  <c r="K258" i="7" s="1"/>
  <c r="I258" i="7"/>
  <c r="L258" i="7" s="1"/>
  <c r="G258" i="7"/>
  <c r="J258" i="7" s="1"/>
  <c r="F257" i="8" l="1"/>
  <c r="M257" i="8"/>
  <c r="K257" i="8"/>
  <c r="I257" i="8"/>
  <c r="Q257" i="8"/>
  <c r="E257" i="9"/>
  <c r="M257" i="9"/>
  <c r="Q257" i="9" s="1"/>
  <c r="I257" i="9"/>
  <c r="O257" i="9" s="1"/>
  <c r="G256" i="9"/>
  <c r="N256" i="9" s="1"/>
  <c r="K257" i="9"/>
  <c r="P257" i="9" s="1"/>
  <c r="D257" i="9"/>
  <c r="F258" i="9" s="1"/>
  <c r="G256" i="8"/>
  <c r="N256" i="8" s="1"/>
  <c r="O257" i="8"/>
  <c r="E257" i="8"/>
  <c r="D257" i="8"/>
  <c r="P257" i="8"/>
  <c r="I259" i="6"/>
  <c r="L259" i="6" s="1"/>
  <c r="H259" i="6"/>
  <c r="K259" i="6" s="1"/>
  <c r="F259" i="6"/>
  <c r="E259" i="6"/>
  <c r="D259" i="6"/>
  <c r="G258" i="6"/>
  <c r="J258" i="6" s="1"/>
  <c r="D260" i="7"/>
  <c r="F261" i="7" s="1"/>
  <c r="E260" i="7"/>
  <c r="I259" i="7"/>
  <c r="L259" i="7" s="1"/>
  <c r="H259" i="7"/>
  <c r="K259" i="7" s="1"/>
  <c r="I260" i="7"/>
  <c r="L260" i="7" s="1"/>
  <c r="G259" i="7"/>
  <c r="J259" i="7" s="1"/>
  <c r="F258" i="8" l="1"/>
  <c r="M258" i="8"/>
  <c r="K258" i="8"/>
  <c r="I258" i="8"/>
  <c r="Q258" i="8"/>
  <c r="I258" i="9"/>
  <c r="O258" i="9" s="1"/>
  <c r="G257" i="9"/>
  <c r="N257" i="9" s="1"/>
  <c r="D258" i="9"/>
  <c r="F259" i="9" s="1"/>
  <c r="K258" i="9"/>
  <c r="P258" i="9" s="1"/>
  <c r="E258" i="9"/>
  <c r="M258" i="9"/>
  <c r="Q258" i="9" s="1"/>
  <c r="O258" i="8"/>
  <c r="E258" i="8"/>
  <c r="D258" i="8"/>
  <c r="G257" i="8"/>
  <c r="N257" i="8" s="1"/>
  <c r="P258" i="8"/>
  <c r="H260" i="6"/>
  <c r="K260" i="6" s="1"/>
  <c r="F260" i="6"/>
  <c r="D260" i="6"/>
  <c r="G259" i="6"/>
  <c r="J259" i="6" s="1"/>
  <c r="I260" i="6"/>
  <c r="L260" i="6" s="1"/>
  <c r="E260" i="6"/>
  <c r="E261" i="7"/>
  <c r="D261" i="7"/>
  <c r="F262" i="7" s="1"/>
  <c r="H260" i="7"/>
  <c r="K260" i="7" s="1"/>
  <c r="H261" i="7"/>
  <c r="K261" i="7" s="1"/>
  <c r="G260" i="7"/>
  <c r="J260" i="7" s="1"/>
  <c r="F259" i="8" l="1"/>
  <c r="M259" i="8"/>
  <c r="Q259" i="8" s="1"/>
  <c r="K259" i="8"/>
  <c r="I259" i="8"/>
  <c r="K259" i="9"/>
  <c r="P259" i="9" s="1"/>
  <c r="I259" i="9"/>
  <c r="O259" i="9" s="1"/>
  <c r="G258" i="9"/>
  <c r="N258" i="9" s="1"/>
  <c r="E259" i="9"/>
  <c r="D259" i="9"/>
  <c r="F260" i="9" s="1"/>
  <c r="M259" i="9"/>
  <c r="Q259" i="9" s="1"/>
  <c r="G258" i="8"/>
  <c r="N258" i="8" s="1"/>
  <c r="P259" i="8"/>
  <c r="E259" i="8"/>
  <c r="O259" i="8"/>
  <c r="D259" i="8"/>
  <c r="G260" i="6"/>
  <c r="J260" i="6" s="1"/>
  <c r="H261" i="6"/>
  <c r="K261" i="6" s="1"/>
  <c r="F261" i="6"/>
  <c r="E261" i="6"/>
  <c r="D261" i="6"/>
  <c r="I261" i="6"/>
  <c r="L261" i="6" s="1"/>
  <c r="D262" i="7"/>
  <c r="F263" i="7" s="1"/>
  <c r="E262" i="7"/>
  <c r="I261" i="7"/>
  <c r="L261" i="7" s="1"/>
  <c r="H262" i="7"/>
  <c r="K262" i="7" s="1"/>
  <c r="I262" i="7"/>
  <c r="L262" i="7" s="1"/>
  <c r="G261" i="7"/>
  <c r="J261" i="7" s="1"/>
  <c r="F260" i="8" l="1"/>
  <c r="M260" i="8"/>
  <c r="Q260" i="8" s="1"/>
  <c r="K260" i="8"/>
  <c r="I260" i="8"/>
  <c r="M260" i="9"/>
  <c r="Q260" i="9" s="1"/>
  <c r="K260" i="9"/>
  <c r="P260" i="9" s="1"/>
  <c r="E260" i="9"/>
  <c r="D260" i="9"/>
  <c r="F261" i="9" s="1"/>
  <c r="I260" i="9"/>
  <c r="O260" i="9" s="1"/>
  <c r="G259" i="9"/>
  <c r="N259" i="9" s="1"/>
  <c r="O260" i="8"/>
  <c r="E260" i="8"/>
  <c r="D260" i="8"/>
  <c r="P260" i="8"/>
  <c r="G259" i="8"/>
  <c r="N259" i="8" s="1"/>
  <c r="F262" i="6"/>
  <c r="E262" i="6"/>
  <c r="D262" i="6"/>
  <c r="G261" i="6"/>
  <c r="J261" i="6" s="1"/>
  <c r="I262" i="6"/>
  <c r="L262" i="6" s="1"/>
  <c r="H262" i="6"/>
  <c r="K262" i="6" s="1"/>
  <c r="E263" i="7"/>
  <c r="D263" i="7"/>
  <c r="F264" i="7" s="1"/>
  <c r="G262" i="7"/>
  <c r="J262" i="7" s="1"/>
  <c r="F261" i="8" l="1"/>
  <c r="M261" i="8"/>
  <c r="Q261" i="8" s="1"/>
  <c r="I261" i="8"/>
  <c r="K261" i="8"/>
  <c r="M261" i="9"/>
  <c r="Q261" i="9" s="1"/>
  <c r="I261" i="9"/>
  <c r="O261" i="9" s="1"/>
  <c r="G260" i="9"/>
  <c r="N260" i="9" s="1"/>
  <c r="E261" i="9"/>
  <c r="D261" i="9"/>
  <c r="F262" i="9" s="1"/>
  <c r="K261" i="9"/>
  <c r="P261" i="9" s="1"/>
  <c r="P261" i="8"/>
  <c r="O261" i="8"/>
  <c r="D261" i="8"/>
  <c r="E261" i="8"/>
  <c r="G260" i="8"/>
  <c r="N260" i="8" s="1"/>
  <c r="I263" i="6"/>
  <c r="L263" i="6" s="1"/>
  <c r="H263" i="6"/>
  <c r="K263" i="6" s="1"/>
  <c r="F263" i="6"/>
  <c r="E263" i="6"/>
  <c r="D263" i="6"/>
  <c r="G262" i="6"/>
  <c r="J262" i="6" s="1"/>
  <c r="D264" i="7"/>
  <c r="F265" i="7" s="1"/>
  <c r="E264" i="7"/>
  <c r="I263" i="7"/>
  <c r="L263" i="7" s="1"/>
  <c r="H263" i="7"/>
  <c r="K263" i="7" s="1"/>
  <c r="H264" i="7"/>
  <c r="K264" i="7" s="1"/>
  <c r="I264" i="7"/>
  <c r="L264" i="7" s="1"/>
  <c r="G263" i="7"/>
  <c r="J263" i="7" s="1"/>
  <c r="F262" i="8" l="1"/>
  <c r="M262" i="8"/>
  <c r="K262" i="8"/>
  <c r="I262" i="8"/>
  <c r="Q262" i="8"/>
  <c r="K262" i="9"/>
  <c r="P262" i="9" s="1"/>
  <c r="I262" i="9"/>
  <c r="O262" i="9" s="1"/>
  <c r="G261" i="9"/>
  <c r="N261" i="9" s="1"/>
  <c r="E262" i="9"/>
  <c r="M262" i="9"/>
  <c r="Q262" i="9" s="1"/>
  <c r="D262" i="9"/>
  <c r="F263" i="9" s="1"/>
  <c r="D262" i="8"/>
  <c r="G261" i="8"/>
  <c r="N261" i="8" s="1"/>
  <c r="E262" i="8"/>
  <c r="P262" i="8"/>
  <c r="O262" i="8"/>
  <c r="D264" i="6"/>
  <c r="I264" i="6"/>
  <c r="L264" i="6" s="1"/>
  <c r="F264" i="6"/>
  <c r="E264" i="6"/>
  <c r="G263" i="6"/>
  <c r="J263" i="6" s="1"/>
  <c r="H264" i="6"/>
  <c r="K264" i="6" s="1"/>
  <c r="D265" i="7"/>
  <c r="F266" i="7" s="1"/>
  <c r="E265" i="7"/>
  <c r="H265" i="7"/>
  <c r="K265" i="7" s="1"/>
  <c r="I265" i="7"/>
  <c r="L265" i="7" s="1"/>
  <c r="G264" i="7"/>
  <c r="J264" i="7" s="1"/>
  <c r="F263" i="8" l="1"/>
  <c r="I263" i="8"/>
  <c r="M263" i="8"/>
  <c r="K263" i="8"/>
  <c r="Q263" i="8"/>
  <c r="M263" i="9"/>
  <c r="Q263" i="9" s="1"/>
  <c r="K263" i="9"/>
  <c r="P263" i="9" s="1"/>
  <c r="I263" i="9"/>
  <c r="O263" i="9" s="1"/>
  <c r="G262" i="9"/>
  <c r="N262" i="9" s="1"/>
  <c r="E263" i="9"/>
  <c r="D263" i="9"/>
  <c r="F264" i="9" s="1"/>
  <c r="P263" i="8"/>
  <c r="O263" i="8"/>
  <c r="E263" i="8"/>
  <c r="G262" i="8"/>
  <c r="N262" i="8" s="1"/>
  <c r="D263" i="8"/>
  <c r="I265" i="6"/>
  <c r="L265" i="6" s="1"/>
  <c r="F265" i="6"/>
  <c r="D265" i="6"/>
  <c r="G264" i="6"/>
  <c r="J264" i="6" s="1"/>
  <c r="H265" i="6"/>
  <c r="K265" i="6" s="1"/>
  <c r="E265" i="6"/>
  <c r="D266" i="7"/>
  <c r="F267" i="7" s="1"/>
  <c r="E266" i="7"/>
  <c r="I266" i="7"/>
  <c r="L266" i="7" s="1"/>
  <c r="H266" i="7"/>
  <c r="K266" i="7" s="1"/>
  <c r="G265" i="7"/>
  <c r="J265" i="7" s="1"/>
  <c r="F264" i="8" l="1"/>
  <c r="K264" i="8"/>
  <c r="M264" i="8"/>
  <c r="I264" i="8"/>
  <c r="Q264" i="8"/>
  <c r="M264" i="9"/>
  <c r="Q264" i="9" s="1"/>
  <c r="E264" i="9"/>
  <c r="D264" i="9"/>
  <c r="F265" i="9" s="1"/>
  <c r="K264" i="9"/>
  <c r="P264" i="9" s="1"/>
  <c r="I264" i="9"/>
  <c r="O264" i="9" s="1"/>
  <c r="G263" i="9"/>
  <c r="N263" i="9" s="1"/>
  <c r="D264" i="8"/>
  <c r="G263" i="8"/>
  <c r="N263" i="8" s="1"/>
  <c r="P264" i="8"/>
  <c r="O264" i="8"/>
  <c r="E264" i="8"/>
  <c r="G265" i="6"/>
  <c r="J265" i="6" s="1"/>
  <c r="I266" i="6"/>
  <c r="L266" i="6" s="1"/>
  <c r="H266" i="6"/>
  <c r="K266" i="6" s="1"/>
  <c r="F266" i="6"/>
  <c r="E266" i="6"/>
  <c r="D266" i="6"/>
  <c r="D267" i="7"/>
  <c r="F268" i="7" s="1"/>
  <c r="E267" i="7"/>
  <c r="I267" i="7"/>
  <c r="L267" i="7" s="1"/>
  <c r="G266" i="7"/>
  <c r="J266" i="7" s="1"/>
  <c r="H267" i="7"/>
  <c r="K267" i="7" s="1"/>
  <c r="F265" i="8" l="1"/>
  <c r="K265" i="8"/>
  <c r="I265" i="8"/>
  <c r="M265" i="8"/>
  <c r="Q265" i="8" s="1"/>
  <c r="I265" i="9"/>
  <c r="O265" i="9" s="1"/>
  <c r="E265" i="9"/>
  <c r="D265" i="9"/>
  <c r="F266" i="9" s="1"/>
  <c r="M265" i="9"/>
  <c r="Q265" i="9" s="1"/>
  <c r="K265" i="9"/>
  <c r="P265" i="9" s="1"/>
  <c r="G264" i="9"/>
  <c r="N264" i="9" s="1"/>
  <c r="P265" i="8"/>
  <c r="O265" i="8"/>
  <c r="E265" i="8"/>
  <c r="D265" i="8"/>
  <c r="G264" i="8"/>
  <c r="N264" i="8" s="1"/>
  <c r="I267" i="6"/>
  <c r="L267" i="6" s="1"/>
  <c r="H267" i="6"/>
  <c r="K267" i="6" s="1"/>
  <c r="E267" i="6"/>
  <c r="D267" i="6"/>
  <c r="G266" i="6"/>
  <c r="J266" i="6" s="1"/>
  <c r="F267" i="6"/>
  <c r="E268" i="7"/>
  <c r="D268" i="7"/>
  <c r="F269" i="7" s="1"/>
  <c r="I268" i="7"/>
  <c r="L268" i="7" s="1"/>
  <c r="G267" i="7"/>
  <c r="J267" i="7" s="1"/>
  <c r="H268" i="7"/>
  <c r="K268" i="7" s="1"/>
  <c r="F266" i="8" l="1"/>
  <c r="K266" i="8"/>
  <c r="M266" i="8"/>
  <c r="Q266" i="8" s="1"/>
  <c r="I266" i="8"/>
  <c r="M266" i="9"/>
  <c r="Q266" i="9" s="1"/>
  <c r="K266" i="9"/>
  <c r="P266" i="9" s="1"/>
  <c r="G265" i="9"/>
  <c r="N265" i="9" s="1"/>
  <c r="I266" i="9"/>
  <c r="O266" i="9" s="1"/>
  <c r="E266" i="9"/>
  <c r="D266" i="9"/>
  <c r="F267" i="9" s="1"/>
  <c r="G265" i="8"/>
  <c r="N265" i="8" s="1"/>
  <c r="P266" i="8"/>
  <c r="O266" i="8"/>
  <c r="E266" i="8"/>
  <c r="D266" i="8"/>
  <c r="G267" i="6"/>
  <c r="J267" i="6" s="1"/>
  <c r="I268" i="6"/>
  <c r="L268" i="6" s="1"/>
  <c r="H268" i="6"/>
  <c r="K268" i="6" s="1"/>
  <c r="F268" i="6"/>
  <c r="E268" i="6"/>
  <c r="D268" i="6"/>
  <c r="D269" i="7"/>
  <c r="F270" i="7" s="1"/>
  <c r="E269" i="7"/>
  <c r="I269" i="7"/>
  <c r="L269" i="7" s="1"/>
  <c r="H269" i="7"/>
  <c r="K269" i="7" s="1"/>
  <c r="G268" i="7"/>
  <c r="J268" i="7" s="1"/>
  <c r="F267" i="8" l="1"/>
  <c r="M267" i="8"/>
  <c r="K267" i="8"/>
  <c r="I267" i="8"/>
  <c r="Q267" i="8"/>
  <c r="D267" i="9"/>
  <c r="F268" i="9" s="1"/>
  <c r="M267" i="9"/>
  <c r="Q267" i="9" s="1"/>
  <c r="K267" i="9"/>
  <c r="P267" i="9" s="1"/>
  <c r="G266" i="9"/>
  <c r="N266" i="9" s="1"/>
  <c r="I267" i="9"/>
  <c r="O267" i="9" s="1"/>
  <c r="E267" i="9"/>
  <c r="P267" i="8"/>
  <c r="E267" i="8"/>
  <c r="D267" i="8"/>
  <c r="G266" i="8"/>
  <c r="N266" i="8" s="1"/>
  <c r="O267" i="8"/>
  <c r="F269" i="6"/>
  <c r="E269" i="6"/>
  <c r="G268" i="6"/>
  <c r="J268" i="6" s="1"/>
  <c r="H269" i="6"/>
  <c r="K269" i="6" s="1"/>
  <c r="I269" i="6"/>
  <c r="L269" i="6" s="1"/>
  <c r="D269" i="6"/>
  <c r="E270" i="7"/>
  <c r="D270" i="7"/>
  <c r="F271" i="7" s="1"/>
  <c r="G269" i="7"/>
  <c r="J269" i="7" s="1"/>
  <c r="F268" i="8" l="1"/>
  <c r="M268" i="8"/>
  <c r="K268" i="8"/>
  <c r="I268" i="8"/>
  <c r="Q268" i="8"/>
  <c r="E268" i="9"/>
  <c r="M268" i="9"/>
  <c r="Q268" i="9" s="1"/>
  <c r="K268" i="9"/>
  <c r="P268" i="9" s="1"/>
  <c r="G267" i="9"/>
  <c r="N267" i="9" s="1"/>
  <c r="I268" i="9"/>
  <c r="O268" i="9" s="1"/>
  <c r="D268" i="9"/>
  <c r="F269" i="9" s="1"/>
  <c r="G267" i="8"/>
  <c r="N267" i="8" s="1"/>
  <c r="P268" i="8"/>
  <c r="O268" i="8"/>
  <c r="E268" i="8"/>
  <c r="D268" i="8"/>
  <c r="G269" i="6"/>
  <c r="J269" i="6" s="1"/>
  <c r="I270" i="6"/>
  <c r="L270" i="6" s="1"/>
  <c r="F270" i="6"/>
  <c r="E270" i="6"/>
  <c r="D270" i="6"/>
  <c r="H270" i="6"/>
  <c r="K270" i="6" s="1"/>
  <c r="E271" i="7"/>
  <c r="D271" i="7"/>
  <c r="F272" i="7" s="1"/>
  <c r="I270" i="7"/>
  <c r="L270" i="7" s="1"/>
  <c r="H270" i="7"/>
  <c r="K270" i="7" s="1"/>
  <c r="G270" i="7"/>
  <c r="J270" i="7" s="1"/>
  <c r="I271" i="7"/>
  <c r="L271" i="7" s="1"/>
  <c r="H271" i="7"/>
  <c r="K271" i="7" s="1"/>
  <c r="F269" i="8" l="1"/>
  <c r="M269" i="8"/>
  <c r="K269" i="8"/>
  <c r="I269" i="8"/>
  <c r="Q269" i="8"/>
  <c r="I269" i="9"/>
  <c r="O269" i="9" s="1"/>
  <c r="E269" i="9"/>
  <c r="D269" i="9"/>
  <c r="F270" i="9" s="1"/>
  <c r="M269" i="9"/>
  <c r="Q269" i="9" s="1"/>
  <c r="G268" i="9"/>
  <c r="N268" i="9" s="1"/>
  <c r="K269" i="9"/>
  <c r="P269" i="9" s="1"/>
  <c r="E269" i="8"/>
  <c r="D269" i="8"/>
  <c r="P269" i="8"/>
  <c r="O269" i="8"/>
  <c r="G268" i="8"/>
  <c r="N268" i="8" s="1"/>
  <c r="E271" i="6"/>
  <c r="D271" i="6"/>
  <c r="G270" i="6"/>
  <c r="J270" i="6" s="1"/>
  <c r="F271" i="6"/>
  <c r="I271" i="6"/>
  <c r="L271" i="6" s="1"/>
  <c r="H271" i="6"/>
  <c r="K271" i="6" s="1"/>
  <c r="E272" i="7"/>
  <c r="D272" i="7"/>
  <c r="F273" i="7" s="1"/>
  <c r="I272" i="7"/>
  <c r="L272" i="7" s="1"/>
  <c r="G271" i="7"/>
  <c r="J271" i="7" s="1"/>
  <c r="H272" i="7"/>
  <c r="K272" i="7" s="1"/>
  <c r="F270" i="8" l="1"/>
  <c r="M270" i="8"/>
  <c r="K270" i="8"/>
  <c r="I270" i="8"/>
  <c r="Q270" i="8"/>
  <c r="I270" i="9"/>
  <c r="O270" i="9" s="1"/>
  <c r="G269" i="9"/>
  <c r="N269" i="9" s="1"/>
  <c r="D270" i="9"/>
  <c r="F271" i="9" s="1"/>
  <c r="M270" i="9"/>
  <c r="Q270" i="9" s="1"/>
  <c r="K270" i="9"/>
  <c r="P270" i="9" s="1"/>
  <c r="E270" i="9"/>
  <c r="G269" i="8"/>
  <c r="N269" i="8" s="1"/>
  <c r="P270" i="8"/>
  <c r="O270" i="8"/>
  <c r="E270" i="8"/>
  <c r="D270" i="8"/>
  <c r="I272" i="6"/>
  <c r="L272" i="6" s="1"/>
  <c r="H272" i="6"/>
  <c r="K272" i="6" s="1"/>
  <c r="F272" i="6"/>
  <c r="E272" i="6"/>
  <c r="D272" i="6"/>
  <c r="G271" i="6"/>
  <c r="J271" i="6" s="1"/>
  <c r="D273" i="7"/>
  <c r="F274" i="7" s="1"/>
  <c r="E273" i="7"/>
  <c r="I273" i="7"/>
  <c r="L273" i="7" s="1"/>
  <c r="H273" i="7"/>
  <c r="K273" i="7" s="1"/>
  <c r="G272" i="7"/>
  <c r="J272" i="7" s="1"/>
  <c r="F271" i="8" l="1"/>
  <c r="M271" i="8"/>
  <c r="K271" i="8"/>
  <c r="I271" i="8"/>
  <c r="Q271" i="8"/>
  <c r="K271" i="9"/>
  <c r="P271" i="9" s="1"/>
  <c r="G270" i="9"/>
  <c r="N270" i="9" s="1"/>
  <c r="M271" i="9"/>
  <c r="Q271" i="9" s="1"/>
  <c r="I271" i="9"/>
  <c r="O271" i="9" s="1"/>
  <c r="E271" i="9"/>
  <c r="D271" i="9"/>
  <c r="F272" i="9" s="1"/>
  <c r="E271" i="8"/>
  <c r="G270" i="8"/>
  <c r="N270" i="8" s="1"/>
  <c r="P271" i="8"/>
  <c r="O271" i="8"/>
  <c r="D271" i="8"/>
  <c r="G272" i="6"/>
  <c r="J272" i="6" s="1"/>
  <c r="I273" i="6"/>
  <c r="L273" i="6" s="1"/>
  <c r="H273" i="6"/>
  <c r="K273" i="6" s="1"/>
  <c r="D273" i="6"/>
  <c r="F273" i="6"/>
  <c r="E273" i="6"/>
  <c r="E274" i="7"/>
  <c r="D274" i="7"/>
  <c r="F275" i="7" s="1"/>
  <c r="G273" i="7"/>
  <c r="J273" i="7" s="1"/>
  <c r="I274" i="7"/>
  <c r="L274" i="7" s="1"/>
  <c r="H274" i="7"/>
  <c r="K274" i="7" s="1"/>
  <c r="F272" i="8" l="1"/>
  <c r="M272" i="8"/>
  <c r="K272" i="8"/>
  <c r="I272" i="8"/>
  <c r="Q272" i="8"/>
  <c r="M272" i="9"/>
  <c r="Q272" i="9" s="1"/>
  <c r="E272" i="9"/>
  <c r="D272" i="9"/>
  <c r="F273" i="9" s="1"/>
  <c r="G271" i="9"/>
  <c r="N271" i="9" s="1"/>
  <c r="K272" i="9"/>
  <c r="P272" i="9" s="1"/>
  <c r="I272" i="9"/>
  <c r="O272" i="9" s="1"/>
  <c r="P272" i="8"/>
  <c r="O272" i="8"/>
  <c r="E272" i="8"/>
  <c r="D272" i="8"/>
  <c r="G271" i="8"/>
  <c r="N271" i="8" s="1"/>
  <c r="I274" i="6"/>
  <c r="L274" i="6" s="1"/>
  <c r="H274" i="6"/>
  <c r="K274" i="6" s="1"/>
  <c r="F274" i="6"/>
  <c r="E274" i="6"/>
  <c r="D274" i="6"/>
  <c r="G273" i="6"/>
  <c r="J273" i="6" s="1"/>
  <c r="E275" i="7"/>
  <c r="D275" i="7"/>
  <c r="F276" i="7" s="1"/>
  <c r="H275" i="7"/>
  <c r="K275" i="7" s="1"/>
  <c r="I275" i="7"/>
  <c r="L275" i="7" s="1"/>
  <c r="G274" i="7"/>
  <c r="J274" i="7" s="1"/>
  <c r="F273" i="8" l="1"/>
  <c r="M273" i="8"/>
  <c r="Q273" i="8" s="1"/>
  <c r="K273" i="8"/>
  <c r="I273" i="8"/>
  <c r="K273" i="9"/>
  <c r="P273" i="9" s="1"/>
  <c r="I273" i="9"/>
  <c r="O273" i="9" s="1"/>
  <c r="E273" i="9"/>
  <c r="D273" i="9"/>
  <c r="F274" i="9" s="1"/>
  <c r="M273" i="9"/>
  <c r="Q273" i="9" s="1"/>
  <c r="G272" i="9"/>
  <c r="N272" i="9" s="1"/>
  <c r="G272" i="8"/>
  <c r="N272" i="8" s="1"/>
  <c r="O273" i="8"/>
  <c r="P273" i="8"/>
  <c r="E273" i="8"/>
  <c r="D273" i="8"/>
  <c r="G274" i="6"/>
  <c r="J274" i="6" s="1"/>
  <c r="I275" i="6"/>
  <c r="L275" i="6" s="1"/>
  <c r="H275" i="6"/>
  <c r="K275" i="6" s="1"/>
  <c r="F275" i="6"/>
  <c r="E275" i="6"/>
  <c r="D275" i="6"/>
  <c r="D276" i="7"/>
  <c r="F277" i="7" s="1"/>
  <c r="E276" i="7"/>
  <c r="I276" i="7"/>
  <c r="L276" i="7" s="1"/>
  <c r="H276" i="7"/>
  <c r="K276" i="7" s="1"/>
  <c r="G275" i="7"/>
  <c r="J275" i="7" s="1"/>
  <c r="F274" i="8" l="1"/>
  <c r="M274" i="8"/>
  <c r="K274" i="8"/>
  <c r="I274" i="8"/>
  <c r="Q274" i="8"/>
  <c r="M274" i="9"/>
  <c r="Q274" i="9" s="1"/>
  <c r="G273" i="9"/>
  <c r="N273" i="9" s="1"/>
  <c r="K274" i="9"/>
  <c r="P274" i="9" s="1"/>
  <c r="I274" i="9"/>
  <c r="O274" i="9" s="1"/>
  <c r="E274" i="9"/>
  <c r="D274" i="9"/>
  <c r="F275" i="9" s="1"/>
  <c r="P274" i="8"/>
  <c r="O274" i="8"/>
  <c r="E274" i="8"/>
  <c r="D274" i="8"/>
  <c r="G273" i="8"/>
  <c r="N273" i="8" s="1"/>
  <c r="H276" i="6"/>
  <c r="K276" i="6" s="1"/>
  <c r="F276" i="6"/>
  <c r="E276" i="6"/>
  <c r="D276" i="6"/>
  <c r="G275" i="6"/>
  <c r="J275" i="6" s="1"/>
  <c r="I276" i="6"/>
  <c r="L276" i="6" s="1"/>
  <c r="E277" i="7"/>
  <c r="D277" i="7"/>
  <c r="F278" i="7" s="1"/>
  <c r="H277" i="7"/>
  <c r="K277" i="7" s="1"/>
  <c r="I277" i="7"/>
  <c r="L277" i="7" s="1"/>
  <c r="G276" i="7"/>
  <c r="J276" i="7" s="1"/>
  <c r="F275" i="8" l="1"/>
  <c r="M275" i="8"/>
  <c r="Q275" i="8" s="1"/>
  <c r="K275" i="8"/>
  <c r="I275" i="8"/>
  <c r="D275" i="9"/>
  <c r="F276" i="9" s="1"/>
  <c r="E275" i="9"/>
  <c r="G274" i="9"/>
  <c r="N274" i="9" s="1"/>
  <c r="M275" i="9"/>
  <c r="Q275" i="9" s="1"/>
  <c r="K275" i="9"/>
  <c r="P275" i="9" s="1"/>
  <c r="I275" i="9"/>
  <c r="O275" i="9" s="1"/>
  <c r="G274" i="8"/>
  <c r="N274" i="8" s="1"/>
  <c r="P275" i="8"/>
  <c r="E275" i="8"/>
  <c r="O275" i="8"/>
  <c r="D275" i="8"/>
  <c r="G276" i="6"/>
  <c r="J276" i="6" s="1"/>
  <c r="I277" i="6"/>
  <c r="L277" i="6" s="1"/>
  <c r="H277" i="6"/>
  <c r="K277" i="6" s="1"/>
  <c r="F277" i="6"/>
  <c r="E277" i="6"/>
  <c r="D277" i="6"/>
  <c r="D278" i="7"/>
  <c r="F279" i="7" s="1"/>
  <c r="E278" i="7"/>
  <c r="H278" i="7"/>
  <c r="K278" i="7" s="1"/>
  <c r="I278" i="7"/>
  <c r="L278" i="7" s="1"/>
  <c r="G277" i="7"/>
  <c r="J277" i="7" s="1"/>
  <c r="F276" i="8" l="1"/>
  <c r="M276" i="8"/>
  <c r="Q276" i="8" s="1"/>
  <c r="K276" i="8"/>
  <c r="I276" i="8"/>
  <c r="E276" i="9"/>
  <c r="D276" i="9"/>
  <c r="F277" i="9" s="1"/>
  <c r="M276" i="9"/>
  <c r="Q276" i="9" s="1"/>
  <c r="K276" i="9"/>
  <c r="P276" i="9" s="1"/>
  <c r="I276" i="9"/>
  <c r="O276" i="9" s="1"/>
  <c r="G275" i="9"/>
  <c r="N275" i="9" s="1"/>
  <c r="O276" i="8"/>
  <c r="E276" i="8"/>
  <c r="D276" i="8"/>
  <c r="P276" i="8"/>
  <c r="G275" i="8"/>
  <c r="N275" i="8" s="1"/>
  <c r="F278" i="6"/>
  <c r="E278" i="6"/>
  <c r="D278" i="6"/>
  <c r="G277" i="6"/>
  <c r="J277" i="6" s="1"/>
  <c r="H278" i="6"/>
  <c r="K278" i="6" s="1"/>
  <c r="I278" i="6"/>
  <c r="L278" i="6" s="1"/>
  <c r="D279" i="7"/>
  <c r="F280" i="7" s="1"/>
  <c r="E279" i="7"/>
  <c r="I279" i="7"/>
  <c r="L279" i="7" s="1"/>
  <c r="G278" i="7"/>
  <c r="J278" i="7" s="1"/>
  <c r="H279" i="7"/>
  <c r="K279" i="7" s="1"/>
  <c r="F277" i="8" l="1"/>
  <c r="M277" i="8"/>
  <c r="K277" i="8"/>
  <c r="I277" i="8"/>
  <c r="Q277" i="8"/>
  <c r="G276" i="9"/>
  <c r="N276" i="9" s="1"/>
  <c r="M277" i="9"/>
  <c r="Q277" i="9" s="1"/>
  <c r="K277" i="9"/>
  <c r="P277" i="9" s="1"/>
  <c r="I277" i="9"/>
  <c r="O277" i="9" s="1"/>
  <c r="E277" i="9"/>
  <c r="D277" i="9"/>
  <c r="F278" i="9" s="1"/>
  <c r="G276" i="8"/>
  <c r="N276" i="8" s="1"/>
  <c r="P277" i="8"/>
  <c r="O277" i="8"/>
  <c r="D277" i="8"/>
  <c r="E277" i="8"/>
  <c r="I279" i="6"/>
  <c r="L279" i="6" s="1"/>
  <c r="H279" i="6"/>
  <c r="K279" i="6" s="1"/>
  <c r="F279" i="6"/>
  <c r="E279" i="6"/>
  <c r="D279" i="6"/>
  <c r="G278" i="6"/>
  <c r="J278" i="6" s="1"/>
  <c r="D280" i="7"/>
  <c r="F281" i="7" s="1"/>
  <c r="E280" i="7"/>
  <c r="I280" i="7"/>
  <c r="L280" i="7" s="1"/>
  <c r="H280" i="7"/>
  <c r="K280" i="7" s="1"/>
  <c r="G279" i="7"/>
  <c r="J279" i="7" s="1"/>
  <c r="F278" i="8" l="1"/>
  <c r="M278" i="8"/>
  <c r="Q278" i="8" s="1"/>
  <c r="K278" i="8"/>
  <c r="I278" i="8"/>
  <c r="I278" i="9"/>
  <c r="O278" i="9" s="1"/>
  <c r="G277" i="9"/>
  <c r="N277" i="9" s="1"/>
  <c r="E278" i="9"/>
  <c r="D278" i="9"/>
  <c r="F279" i="9" s="1"/>
  <c r="M278" i="9"/>
  <c r="Q278" i="9" s="1"/>
  <c r="K278" i="9"/>
  <c r="P278" i="9" s="1"/>
  <c r="E278" i="8"/>
  <c r="D278" i="8"/>
  <c r="G277" i="8"/>
  <c r="N277" i="8" s="1"/>
  <c r="P278" i="8"/>
  <c r="O278" i="8"/>
  <c r="D280" i="6"/>
  <c r="G279" i="6"/>
  <c r="J279" i="6" s="1"/>
  <c r="I280" i="6"/>
  <c r="L280" i="6" s="1"/>
  <c r="E280" i="6"/>
  <c r="H280" i="6"/>
  <c r="K280" i="6" s="1"/>
  <c r="F280" i="6"/>
  <c r="D281" i="7"/>
  <c r="F282" i="7" s="1"/>
  <c r="E281" i="7"/>
  <c r="I281" i="7"/>
  <c r="L281" i="7" s="1"/>
  <c r="H281" i="7"/>
  <c r="K281" i="7" s="1"/>
  <c r="G280" i="7"/>
  <c r="J280" i="7" s="1"/>
  <c r="F279" i="8" l="1"/>
  <c r="I279" i="8"/>
  <c r="M279" i="8"/>
  <c r="Q279" i="8" s="1"/>
  <c r="K279" i="8"/>
  <c r="K279" i="9"/>
  <c r="P279" i="9" s="1"/>
  <c r="E279" i="9"/>
  <c r="D279" i="9"/>
  <c r="F280" i="9" s="1"/>
  <c r="G278" i="9"/>
  <c r="N278" i="9" s="1"/>
  <c r="M279" i="9"/>
  <c r="Q279" i="9" s="1"/>
  <c r="I279" i="9"/>
  <c r="O279" i="9" s="1"/>
  <c r="P279" i="8"/>
  <c r="O279" i="8"/>
  <c r="E279" i="8"/>
  <c r="D279" i="8"/>
  <c r="G278" i="8"/>
  <c r="N278" i="8" s="1"/>
  <c r="I281" i="6"/>
  <c r="L281" i="6" s="1"/>
  <c r="H281" i="6"/>
  <c r="K281" i="6" s="1"/>
  <c r="F281" i="6"/>
  <c r="E281" i="6"/>
  <c r="D281" i="6"/>
  <c r="G280" i="6"/>
  <c r="J280" i="6" s="1"/>
  <c r="D282" i="7"/>
  <c r="F283" i="7" s="1"/>
  <c r="E282" i="7"/>
  <c r="I282" i="7"/>
  <c r="L282" i="7" s="1"/>
  <c r="H282" i="7"/>
  <c r="K282" i="7" s="1"/>
  <c r="G281" i="7"/>
  <c r="J281" i="7" s="1"/>
  <c r="F280" i="8" l="1"/>
  <c r="K280" i="8"/>
  <c r="M280" i="8"/>
  <c r="I280" i="8"/>
  <c r="Q280" i="8"/>
  <c r="M280" i="9"/>
  <c r="Q280" i="9" s="1"/>
  <c r="I280" i="9"/>
  <c r="O280" i="9" s="1"/>
  <c r="G279" i="9"/>
  <c r="N279" i="9" s="1"/>
  <c r="K280" i="9"/>
  <c r="P280" i="9" s="1"/>
  <c r="E280" i="9"/>
  <c r="D280" i="9"/>
  <c r="F281" i="9" s="1"/>
  <c r="D280" i="8"/>
  <c r="G279" i="8"/>
  <c r="N279" i="8" s="1"/>
  <c r="P280" i="8"/>
  <c r="O280" i="8"/>
  <c r="E280" i="8"/>
  <c r="G281" i="6"/>
  <c r="J281" i="6" s="1"/>
  <c r="I282" i="6"/>
  <c r="L282" i="6" s="1"/>
  <c r="H282" i="6"/>
  <c r="K282" i="6" s="1"/>
  <c r="F282" i="6"/>
  <c r="E282" i="6"/>
  <c r="D282" i="6"/>
  <c r="D283" i="7"/>
  <c r="F284" i="7" s="1"/>
  <c r="E283" i="7"/>
  <c r="I283" i="7"/>
  <c r="L283" i="7" s="1"/>
  <c r="G282" i="7"/>
  <c r="J282" i="7" s="1"/>
  <c r="H283" i="7"/>
  <c r="K283" i="7" s="1"/>
  <c r="F281" i="8" l="1"/>
  <c r="K281" i="8"/>
  <c r="I281" i="8"/>
  <c r="M281" i="8"/>
  <c r="Q281" i="8" s="1"/>
  <c r="K281" i="9"/>
  <c r="P281" i="9" s="1"/>
  <c r="I281" i="9"/>
  <c r="O281" i="9" s="1"/>
  <c r="G280" i="9"/>
  <c r="N280" i="9" s="1"/>
  <c r="M281" i="9"/>
  <c r="Q281" i="9" s="1"/>
  <c r="E281" i="9"/>
  <c r="D281" i="9"/>
  <c r="F282" i="9" s="1"/>
  <c r="P281" i="8"/>
  <c r="O281" i="8"/>
  <c r="E281" i="8"/>
  <c r="D281" i="8"/>
  <c r="G280" i="8"/>
  <c r="N280" i="8" s="1"/>
  <c r="I283" i="6"/>
  <c r="L283" i="6" s="1"/>
  <c r="H283" i="6"/>
  <c r="K283" i="6" s="1"/>
  <c r="F283" i="6"/>
  <c r="E283" i="6"/>
  <c r="D283" i="6"/>
  <c r="G282" i="6"/>
  <c r="J282" i="6" s="1"/>
  <c r="E284" i="7"/>
  <c r="D284" i="7"/>
  <c r="F285" i="7" s="1"/>
  <c r="I284" i="7"/>
  <c r="L284" i="7" s="1"/>
  <c r="G283" i="7"/>
  <c r="J283" i="7" s="1"/>
  <c r="H284" i="7"/>
  <c r="K284" i="7" s="1"/>
  <c r="F282" i="8" l="1"/>
  <c r="K282" i="8"/>
  <c r="M282" i="8"/>
  <c r="I282" i="8"/>
  <c r="Q282" i="8"/>
  <c r="M282" i="9"/>
  <c r="Q282" i="9" s="1"/>
  <c r="K282" i="9"/>
  <c r="P282" i="9" s="1"/>
  <c r="I282" i="9"/>
  <c r="O282" i="9" s="1"/>
  <c r="E282" i="9"/>
  <c r="D282" i="9"/>
  <c r="F283" i="9" s="1"/>
  <c r="G281" i="9"/>
  <c r="N281" i="9" s="1"/>
  <c r="G281" i="8"/>
  <c r="N281" i="8" s="1"/>
  <c r="O282" i="8"/>
  <c r="E282" i="8"/>
  <c r="D282" i="8"/>
  <c r="P282" i="8"/>
  <c r="G283" i="6"/>
  <c r="J283" i="6" s="1"/>
  <c r="I284" i="6"/>
  <c r="L284" i="6" s="1"/>
  <c r="H284" i="6"/>
  <c r="K284" i="6" s="1"/>
  <c r="F284" i="6"/>
  <c r="E284" i="6"/>
  <c r="D284" i="6"/>
  <c r="D285" i="7"/>
  <c r="F286" i="7" s="1"/>
  <c r="E285" i="7"/>
  <c r="I285" i="7"/>
  <c r="L285" i="7" s="1"/>
  <c r="H285" i="7"/>
  <c r="K285" i="7" s="1"/>
  <c r="G284" i="7"/>
  <c r="J284" i="7" s="1"/>
  <c r="F283" i="8" l="1"/>
  <c r="M283" i="8"/>
  <c r="K283" i="8"/>
  <c r="I283" i="8"/>
  <c r="Q283" i="8"/>
  <c r="D283" i="9"/>
  <c r="F284" i="9" s="1"/>
  <c r="M283" i="9"/>
  <c r="Q283" i="9" s="1"/>
  <c r="G282" i="9"/>
  <c r="N282" i="9" s="1"/>
  <c r="K283" i="9"/>
  <c r="P283" i="9" s="1"/>
  <c r="I283" i="9"/>
  <c r="O283" i="9" s="1"/>
  <c r="E283" i="9"/>
  <c r="P283" i="8"/>
  <c r="O283" i="8"/>
  <c r="E283" i="8"/>
  <c r="D283" i="8"/>
  <c r="G282" i="8"/>
  <c r="N282" i="8" s="1"/>
  <c r="F285" i="6"/>
  <c r="E285" i="6"/>
  <c r="D285" i="6"/>
  <c r="G284" i="6"/>
  <c r="J284" i="6" s="1"/>
  <c r="H285" i="6"/>
  <c r="K285" i="6" s="1"/>
  <c r="I285" i="6"/>
  <c r="L285" i="6" s="1"/>
  <c r="D286" i="7"/>
  <c r="F287" i="7" s="1"/>
  <c r="E286" i="7"/>
  <c r="I286" i="7"/>
  <c r="L286" i="7" s="1"/>
  <c r="H286" i="7"/>
  <c r="K286" i="7" s="1"/>
  <c r="G285" i="7"/>
  <c r="J285" i="7" s="1"/>
  <c r="F284" i="8" l="1"/>
  <c r="M284" i="8"/>
  <c r="Q284" i="8" s="1"/>
  <c r="K284" i="8"/>
  <c r="I284" i="8"/>
  <c r="E284" i="9"/>
  <c r="D284" i="9"/>
  <c r="F285" i="9" s="1"/>
  <c r="K284" i="9"/>
  <c r="P284" i="9" s="1"/>
  <c r="I284" i="9"/>
  <c r="O284" i="9" s="1"/>
  <c r="G283" i="9"/>
  <c r="N283" i="9" s="1"/>
  <c r="M284" i="9"/>
  <c r="Q284" i="9" s="1"/>
  <c r="G283" i="8"/>
  <c r="N283" i="8" s="1"/>
  <c r="P284" i="8"/>
  <c r="O284" i="8"/>
  <c r="E284" i="8"/>
  <c r="D284" i="8"/>
  <c r="G285" i="6"/>
  <c r="J285" i="6" s="1"/>
  <c r="I286" i="6"/>
  <c r="L286" i="6" s="1"/>
  <c r="H286" i="6"/>
  <c r="K286" i="6" s="1"/>
  <c r="F286" i="6"/>
  <c r="E286" i="6"/>
  <c r="D286" i="6"/>
  <c r="D287" i="7"/>
  <c r="F288" i="7" s="1"/>
  <c r="E287" i="7"/>
  <c r="I287" i="7"/>
  <c r="L287" i="7" s="1"/>
  <c r="G286" i="7"/>
  <c r="J286" i="7" s="1"/>
  <c r="H287" i="7"/>
  <c r="K287" i="7" s="1"/>
  <c r="F285" i="8" l="1"/>
  <c r="M285" i="8"/>
  <c r="I285" i="8"/>
  <c r="K285" i="8"/>
  <c r="Q285" i="8"/>
  <c r="G284" i="9"/>
  <c r="N284" i="9" s="1"/>
  <c r="M285" i="9"/>
  <c r="Q285" i="9" s="1"/>
  <c r="K285" i="9"/>
  <c r="P285" i="9" s="1"/>
  <c r="I285" i="9"/>
  <c r="O285" i="9" s="1"/>
  <c r="E285" i="9"/>
  <c r="D285" i="9"/>
  <c r="F286" i="9" s="1"/>
  <c r="E285" i="8"/>
  <c r="D285" i="8"/>
  <c r="P285" i="8"/>
  <c r="O285" i="8"/>
  <c r="G284" i="8"/>
  <c r="N284" i="8" s="1"/>
  <c r="E287" i="6"/>
  <c r="D287" i="6"/>
  <c r="G286" i="6"/>
  <c r="J286" i="6" s="1"/>
  <c r="F287" i="6"/>
  <c r="H287" i="6"/>
  <c r="K287" i="6" s="1"/>
  <c r="I287" i="6"/>
  <c r="L287" i="6" s="1"/>
  <c r="D288" i="7"/>
  <c r="F289" i="7" s="1"/>
  <c r="E288" i="7"/>
  <c r="I288" i="7"/>
  <c r="L288" i="7" s="1"/>
  <c r="G287" i="7"/>
  <c r="J287" i="7" s="1"/>
  <c r="H288" i="7"/>
  <c r="K288" i="7" s="1"/>
  <c r="F286" i="8" l="1"/>
  <c r="M286" i="8"/>
  <c r="Q286" i="8" s="1"/>
  <c r="K286" i="8"/>
  <c r="I286" i="8"/>
  <c r="I286" i="9"/>
  <c r="O286" i="9" s="1"/>
  <c r="G285" i="9"/>
  <c r="N285" i="9" s="1"/>
  <c r="E286" i="9"/>
  <c r="D286" i="9"/>
  <c r="F287" i="9" s="1"/>
  <c r="M286" i="9"/>
  <c r="Q286" i="9" s="1"/>
  <c r="K286" i="9"/>
  <c r="P286" i="9" s="1"/>
  <c r="G285" i="8"/>
  <c r="N285" i="8" s="1"/>
  <c r="P286" i="8"/>
  <c r="O286" i="8"/>
  <c r="E286" i="8"/>
  <c r="D286" i="8"/>
  <c r="I288" i="6"/>
  <c r="L288" i="6" s="1"/>
  <c r="H288" i="6"/>
  <c r="K288" i="6" s="1"/>
  <c r="F288" i="6"/>
  <c r="E288" i="6"/>
  <c r="D288" i="6"/>
  <c r="G287" i="6"/>
  <c r="J287" i="6" s="1"/>
  <c r="E289" i="7"/>
  <c r="D289" i="7"/>
  <c r="F290" i="7" s="1"/>
  <c r="I289" i="7"/>
  <c r="L289" i="7" s="1"/>
  <c r="H289" i="7"/>
  <c r="K289" i="7" s="1"/>
  <c r="G288" i="7"/>
  <c r="J288" i="7" s="1"/>
  <c r="F287" i="8" l="1"/>
  <c r="M287" i="8"/>
  <c r="I287" i="8"/>
  <c r="K287" i="8"/>
  <c r="Q287" i="8"/>
  <c r="K287" i="9"/>
  <c r="P287" i="9" s="1"/>
  <c r="E287" i="9"/>
  <c r="D287" i="9"/>
  <c r="F288" i="9" s="1"/>
  <c r="G286" i="9"/>
  <c r="N286" i="9" s="1"/>
  <c r="M287" i="9"/>
  <c r="Q287" i="9" s="1"/>
  <c r="I287" i="9"/>
  <c r="O287" i="9" s="1"/>
  <c r="E287" i="8"/>
  <c r="D287" i="8"/>
  <c r="G286" i="8"/>
  <c r="N286" i="8" s="1"/>
  <c r="P287" i="8"/>
  <c r="O287" i="8"/>
  <c r="G288" i="6"/>
  <c r="J288" i="6" s="1"/>
  <c r="I289" i="6"/>
  <c r="L289" i="6" s="1"/>
  <c r="H289" i="6"/>
  <c r="K289" i="6" s="1"/>
  <c r="D289" i="6"/>
  <c r="E289" i="6"/>
  <c r="F289" i="6"/>
  <c r="D290" i="7"/>
  <c r="F291" i="7" s="1"/>
  <c r="E290" i="7"/>
  <c r="G289" i="7"/>
  <c r="J289" i="7" s="1"/>
  <c r="I290" i="7"/>
  <c r="L290" i="7" s="1"/>
  <c r="F288" i="8" l="1"/>
  <c r="M288" i="8"/>
  <c r="K288" i="8"/>
  <c r="I288" i="8"/>
  <c r="Q288" i="8"/>
  <c r="M288" i="9"/>
  <c r="Q288" i="9" s="1"/>
  <c r="I288" i="9"/>
  <c r="O288" i="9" s="1"/>
  <c r="G287" i="9"/>
  <c r="N287" i="9" s="1"/>
  <c r="K288" i="9"/>
  <c r="P288" i="9" s="1"/>
  <c r="E288" i="9"/>
  <c r="D288" i="9"/>
  <c r="F289" i="9" s="1"/>
  <c r="P288" i="8"/>
  <c r="O288" i="8"/>
  <c r="E288" i="8"/>
  <c r="D288" i="8"/>
  <c r="G287" i="8"/>
  <c r="N287" i="8" s="1"/>
  <c r="I290" i="6"/>
  <c r="L290" i="6" s="1"/>
  <c r="H290" i="6"/>
  <c r="K290" i="6" s="1"/>
  <c r="F290" i="6"/>
  <c r="E290" i="6"/>
  <c r="D290" i="6"/>
  <c r="G289" i="6"/>
  <c r="J289" i="6" s="1"/>
  <c r="D291" i="7"/>
  <c r="F292" i="7" s="1"/>
  <c r="E291" i="7"/>
  <c r="H290" i="7"/>
  <c r="K290" i="7" s="1"/>
  <c r="G290" i="7"/>
  <c r="J290" i="7" s="1"/>
  <c r="F289" i="8" l="1"/>
  <c r="M289" i="8"/>
  <c r="Q289" i="8" s="1"/>
  <c r="K289" i="8"/>
  <c r="I289" i="8"/>
  <c r="K289" i="9"/>
  <c r="P289" i="9" s="1"/>
  <c r="I289" i="9"/>
  <c r="O289" i="9" s="1"/>
  <c r="G288" i="9"/>
  <c r="N288" i="9" s="1"/>
  <c r="M289" i="9"/>
  <c r="Q289" i="9" s="1"/>
  <c r="E289" i="9"/>
  <c r="D289" i="9"/>
  <c r="F290" i="9" s="1"/>
  <c r="G288" i="8"/>
  <c r="N288" i="8" s="1"/>
  <c r="O289" i="8"/>
  <c r="P289" i="8"/>
  <c r="E289" i="8"/>
  <c r="D289" i="8"/>
  <c r="G290" i="6"/>
  <c r="J290" i="6" s="1"/>
  <c r="I291" i="6"/>
  <c r="L291" i="6" s="1"/>
  <c r="H291" i="6"/>
  <c r="K291" i="6" s="1"/>
  <c r="F291" i="6"/>
  <c r="E291" i="6"/>
  <c r="D291" i="6"/>
  <c r="D292" i="7"/>
  <c r="F293" i="7" s="1"/>
  <c r="E292" i="7"/>
  <c r="H291" i="7"/>
  <c r="K291" i="7" s="1"/>
  <c r="I291" i="7"/>
  <c r="L291" i="7" s="1"/>
  <c r="I292" i="7"/>
  <c r="L292" i="7" s="1"/>
  <c r="H292" i="7"/>
  <c r="K292" i="7" s="1"/>
  <c r="G291" i="7"/>
  <c r="J291" i="7" s="1"/>
  <c r="F290" i="8" l="1"/>
  <c r="M290" i="8"/>
  <c r="K290" i="8"/>
  <c r="I290" i="8"/>
  <c r="Q290" i="8"/>
  <c r="M290" i="9"/>
  <c r="Q290" i="9" s="1"/>
  <c r="K290" i="9"/>
  <c r="P290" i="9" s="1"/>
  <c r="I290" i="9"/>
  <c r="O290" i="9" s="1"/>
  <c r="E290" i="9"/>
  <c r="D290" i="9"/>
  <c r="F291" i="9" s="1"/>
  <c r="G289" i="9"/>
  <c r="N289" i="9" s="1"/>
  <c r="P290" i="8"/>
  <c r="O290" i="8"/>
  <c r="E290" i="8"/>
  <c r="D290" i="8"/>
  <c r="G289" i="8"/>
  <c r="N289" i="8" s="1"/>
  <c r="H292" i="6"/>
  <c r="K292" i="6" s="1"/>
  <c r="F292" i="6"/>
  <c r="E292" i="6"/>
  <c r="D292" i="6"/>
  <c r="G291" i="6"/>
  <c r="J291" i="6" s="1"/>
  <c r="I292" i="6"/>
  <c r="L292" i="6" s="1"/>
  <c r="E293" i="7"/>
  <c r="D293" i="7"/>
  <c r="F294" i="7" s="1"/>
  <c r="H293" i="7"/>
  <c r="K293" i="7" s="1"/>
  <c r="I293" i="7"/>
  <c r="L293" i="7" s="1"/>
  <c r="G292" i="7"/>
  <c r="J292" i="7" s="1"/>
  <c r="F291" i="8" l="1"/>
  <c r="M291" i="8"/>
  <c r="Q291" i="8" s="1"/>
  <c r="K291" i="8"/>
  <c r="I291" i="8"/>
  <c r="D291" i="9"/>
  <c r="F292" i="9" s="1"/>
  <c r="M291" i="9"/>
  <c r="Q291" i="9" s="1"/>
  <c r="G290" i="9"/>
  <c r="N290" i="9" s="1"/>
  <c r="K291" i="9"/>
  <c r="P291" i="9" s="1"/>
  <c r="I291" i="9"/>
  <c r="O291" i="9" s="1"/>
  <c r="E291" i="9"/>
  <c r="G290" i="8"/>
  <c r="N290" i="8" s="1"/>
  <c r="P291" i="8"/>
  <c r="E291" i="8"/>
  <c r="D291" i="8"/>
  <c r="O291" i="8"/>
  <c r="G292" i="6"/>
  <c r="J292" i="6" s="1"/>
  <c r="I293" i="6"/>
  <c r="L293" i="6" s="1"/>
  <c r="H293" i="6"/>
  <c r="K293" i="6" s="1"/>
  <c r="F293" i="6"/>
  <c r="E293" i="6"/>
  <c r="D293" i="6"/>
  <c r="D294" i="7"/>
  <c r="F295" i="7" s="1"/>
  <c r="E294" i="7"/>
  <c r="H294" i="7"/>
  <c r="K294" i="7" s="1"/>
  <c r="I294" i="7"/>
  <c r="L294" i="7" s="1"/>
  <c r="G293" i="7"/>
  <c r="J293" i="7" s="1"/>
  <c r="F292" i="8" l="1"/>
  <c r="M292" i="8"/>
  <c r="Q292" i="8" s="1"/>
  <c r="K292" i="8"/>
  <c r="I292" i="8"/>
  <c r="E292" i="9"/>
  <c r="D292" i="9"/>
  <c r="F293" i="9" s="1"/>
  <c r="M292" i="9"/>
  <c r="Q292" i="9" s="1"/>
  <c r="K292" i="9"/>
  <c r="P292" i="9" s="1"/>
  <c r="I292" i="9"/>
  <c r="O292" i="9" s="1"/>
  <c r="G291" i="9"/>
  <c r="N291" i="9" s="1"/>
  <c r="O292" i="8"/>
  <c r="E292" i="8"/>
  <c r="D292" i="8"/>
  <c r="P292" i="8"/>
  <c r="G291" i="8"/>
  <c r="N291" i="8" s="1"/>
  <c r="F294" i="6"/>
  <c r="E294" i="6"/>
  <c r="D294" i="6"/>
  <c r="G293" i="6"/>
  <c r="J293" i="6" s="1"/>
  <c r="I294" i="6"/>
  <c r="L294" i="6" s="1"/>
  <c r="H294" i="6"/>
  <c r="K294" i="6" s="1"/>
  <c r="D295" i="7"/>
  <c r="F296" i="7" s="1"/>
  <c r="E295" i="7"/>
  <c r="I295" i="7"/>
  <c r="L295" i="7" s="1"/>
  <c r="H295" i="7"/>
  <c r="K295" i="7" s="1"/>
  <c r="G294" i="7"/>
  <c r="J294" i="7" s="1"/>
  <c r="F293" i="8" l="1"/>
  <c r="M293" i="8"/>
  <c r="Q293" i="8" s="1"/>
  <c r="K293" i="8"/>
  <c r="I293" i="8"/>
  <c r="G292" i="9"/>
  <c r="N292" i="9" s="1"/>
  <c r="M293" i="9"/>
  <c r="Q293" i="9" s="1"/>
  <c r="K293" i="9"/>
  <c r="P293" i="9" s="1"/>
  <c r="I293" i="9"/>
  <c r="O293" i="9" s="1"/>
  <c r="E293" i="9"/>
  <c r="D293" i="9"/>
  <c r="F294" i="9" s="1"/>
  <c r="G292" i="8"/>
  <c r="N292" i="8" s="1"/>
  <c r="P293" i="8"/>
  <c r="O293" i="8"/>
  <c r="D293" i="8"/>
  <c r="E293" i="8"/>
  <c r="I295" i="6"/>
  <c r="L295" i="6" s="1"/>
  <c r="H295" i="6"/>
  <c r="K295" i="6" s="1"/>
  <c r="F295" i="6"/>
  <c r="E295" i="6"/>
  <c r="D295" i="6"/>
  <c r="G294" i="6"/>
  <c r="J294" i="6" s="1"/>
  <c r="E296" i="7"/>
  <c r="D296" i="7"/>
  <c r="F297" i="7" s="1"/>
  <c r="H296" i="7"/>
  <c r="K296" i="7" s="1"/>
  <c r="I296" i="7"/>
  <c r="L296" i="7" s="1"/>
  <c r="G295" i="7"/>
  <c r="J295" i="7" s="1"/>
  <c r="F294" i="8" l="1"/>
  <c r="M294" i="8"/>
  <c r="K294" i="8"/>
  <c r="I294" i="8"/>
  <c r="Q294" i="8"/>
  <c r="I294" i="9"/>
  <c r="O294" i="9" s="1"/>
  <c r="G293" i="9"/>
  <c r="N293" i="9" s="1"/>
  <c r="E294" i="9"/>
  <c r="D294" i="9"/>
  <c r="F295" i="9" s="1"/>
  <c r="M294" i="9"/>
  <c r="Q294" i="9" s="1"/>
  <c r="K294" i="9"/>
  <c r="P294" i="9" s="1"/>
  <c r="E294" i="8"/>
  <c r="D294" i="8"/>
  <c r="G293" i="8"/>
  <c r="N293" i="8" s="1"/>
  <c r="P294" i="8"/>
  <c r="O294" i="8"/>
  <c r="D296" i="6"/>
  <c r="G295" i="6"/>
  <c r="J295" i="6" s="1"/>
  <c r="I296" i="6"/>
  <c r="L296" i="6" s="1"/>
  <c r="E296" i="6"/>
  <c r="H296" i="6"/>
  <c r="K296" i="6" s="1"/>
  <c r="F296" i="6"/>
  <c r="E297" i="7"/>
  <c r="D297" i="7"/>
  <c r="F298" i="7" s="1"/>
  <c r="H297" i="7"/>
  <c r="K297" i="7" s="1"/>
  <c r="I297" i="7"/>
  <c r="L297" i="7" s="1"/>
  <c r="G296" i="7"/>
  <c r="J296" i="7" s="1"/>
  <c r="F295" i="8" l="1"/>
  <c r="I295" i="8"/>
  <c r="M295" i="8"/>
  <c r="Q295" i="8" s="1"/>
  <c r="K295" i="8"/>
  <c r="K295" i="9"/>
  <c r="P295" i="9" s="1"/>
  <c r="E295" i="9"/>
  <c r="D295" i="9"/>
  <c r="F296" i="9" s="1"/>
  <c r="G294" i="9"/>
  <c r="N294" i="9" s="1"/>
  <c r="M295" i="9"/>
  <c r="Q295" i="9" s="1"/>
  <c r="I295" i="9"/>
  <c r="O295" i="9" s="1"/>
  <c r="P295" i="8"/>
  <c r="O295" i="8"/>
  <c r="E295" i="8"/>
  <c r="D295" i="8"/>
  <c r="G294" i="8"/>
  <c r="N294" i="8" s="1"/>
  <c r="I297" i="6"/>
  <c r="L297" i="6" s="1"/>
  <c r="H297" i="6"/>
  <c r="K297" i="6" s="1"/>
  <c r="F297" i="6"/>
  <c r="E297" i="6"/>
  <c r="D297" i="6"/>
  <c r="G296" i="6"/>
  <c r="J296" i="6" s="1"/>
  <c r="E298" i="7"/>
  <c r="D298" i="7"/>
  <c r="F299" i="7" s="1"/>
  <c r="H298" i="7"/>
  <c r="K298" i="7" s="1"/>
  <c r="I298" i="7"/>
  <c r="L298" i="7" s="1"/>
  <c r="G297" i="7"/>
  <c r="J297" i="7" s="1"/>
  <c r="F296" i="8" l="1"/>
  <c r="K296" i="8"/>
  <c r="M296" i="8"/>
  <c r="I296" i="8"/>
  <c r="Q296" i="8"/>
  <c r="M296" i="9"/>
  <c r="Q296" i="9" s="1"/>
  <c r="I296" i="9"/>
  <c r="O296" i="9" s="1"/>
  <c r="G295" i="9"/>
  <c r="N295" i="9" s="1"/>
  <c r="E296" i="9"/>
  <c r="K296" i="9"/>
  <c r="P296" i="9" s="1"/>
  <c r="D296" i="9"/>
  <c r="F297" i="9" s="1"/>
  <c r="D296" i="8"/>
  <c r="G295" i="8"/>
  <c r="N295" i="8" s="1"/>
  <c r="P296" i="8"/>
  <c r="O296" i="8"/>
  <c r="E296" i="8"/>
  <c r="G297" i="6"/>
  <c r="J297" i="6" s="1"/>
  <c r="I298" i="6"/>
  <c r="L298" i="6" s="1"/>
  <c r="H298" i="6"/>
  <c r="K298" i="6" s="1"/>
  <c r="F298" i="6"/>
  <c r="E298" i="6"/>
  <c r="D298" i="6"/>
  <c r="E299" i="7"/>
  <c r="D299" i="7"/>
  <c r="F300" i="7" s="1"/>
  <c r="G298" i="7"/>
  <c r="J298" i="7" s="1"/>
  <c r="H299" i="7"/>
  <c r="K299" i="7" s="1"/>
  <c r="I299" i="7"/>
  <c r="L299" i="7" s="1"/>
  <c r="F297" i="8" l="1"/>
  <c r="K297" i="8"/>
  <c r="I297" i="8"/>
  <c r="M297" i="8"/>
  <c r="Q297" i="8" s="1"/>
  <c r="K297" i="9"/>
  <c r="P297" i="9" s="1"/>
  <c r="I297" i="9"/>
  <c r="O297" i="9" s="1"/>
  <c r="G296" i="9"/>
  <c r="N296" i="9" s="1"/>
  <c r="E297" i="9"/>
  <c r="D297" i="9"/>
  <c r="F298" i="9" s="1"/>
  <c r="M297" i="9"/>
  <c r="Q297" i="9" s="1"/>
  <c r="P297" i="8"/>
  <c r="O297" i="8"/>
  <c r="E297" i="8"/>
  <c r="D297" i="8"/>
  <c r="G296" i="8"/>
  <c r="N296" i="8" s="1"/>
  <c r="I299" i="6"/>
  <c r="L299" i="6" s="1"/>
  <c r="H299" i="6"/>
  <c r="K299" i="6" s="1"/>
  <c r="F299" i="6"/>
  <c r="E299" i="6"/>
  <c r="D299" i="6"/>
  <c r="G298" i="6"/>
  <c r="J298" i="6" s="1"/>
  <c r="D300" i="7"/>
  <c r="F301" i="7" s="1"/>
  <c r="E300" i="7"/>
  <c r="I300" i="7"/>
  <c r="G299" i="7"/>
  <c r="J299" i="7" s="1"/>
  <c r="H300" i="7"/>
  <c r="K300" i="7" s="1"/>
  <c r="B18" i="7" s="1"/>
  <c r="F298" i="8" l="1"/>
  <c r="K298" i="8"/>
  <c r="M298" i="8"/>
  <c r="I298" i="8"/>
  <c r="Q298" i="8"/>
  <c r="M298" i="9"/>
  <c r="Q298" i="9" s="1"/>
  <c r="K298" i="9"/>
  <c r="P298" i="9" s="1"/>
  <c r="I298" i="9"/>
  <c r="O298" i="9" s="1"/>
  <c r="G297" i="9"/>
  <c r="N297" i="9" s="1"/>
  <c r="E298" i="9"/>
  <c r="D298" i="9"/>
  <c r="F299" i="9" s="1"/>
  <c r="G297" i="8"/>
  <c r="N297" i="8" s="1"/>
  <c r="E298" i="8"/>
  <c r="P298" i="8"/>
  <c r="O298" i="8"/>
  <c r="D298" i="8"/>
  <c r="G299" i="6"/>
  <c r="J299" i="6" s="1"/>
  <c r="I300" i="6"/>
  <c r="H300" i="6"/>
  <c r="K300" i="6" s="1"/>
  <c r="B18" i="6" s="1"/>
  <c r="F300" i="6"/>
  <c r="E300" i="6"/>
  <c r="D300" i="6"/>
  <c r="E301" i="7"/>
  <c r="D301" i="7"/>
  <c r="F302" i="7" s="1"/>
  <c r="L300" i="7"/>
  <c r="B12" i="7"/>
  <c r="H301" i="7"/>
  <c r="K301" i="7" s="1"/>
  <c r="I301" i="7"/>
  <c r="L301" i="7" s="1"/>
  <c r="G300" i="7"/>
  <c r="J300" i="7" s="1"/>
  <c r="B16" i="7" s="1"/>
  <c r="F299" i="8" l="1"/>
  <c r="M299" i="8"/>
  <c r="K299" i="8"/>
  <c r="I299" i="8"/>
  <c r="Q299" i="8"/>
  <c r="D299" i="9"/>
  <c r="F300" i="9" s="1"/>
  <c r="M299" i="9"/>
  <c r="Q299" i="9" s="1"/>
  <c r="K299" i="9"/>
  <c r="P299" i="9" s="1"/>
  <c r="I299" i="9"/>
  <c r="O299" i="9" s="1"/>
  <c r="E299" i="9"/>
  <c r="G298" i="9"/>
  <c r="N298" i="9" s="1"/>
  <c r="P299" i="8"/>
  <c r="O299" i="8"/>
  <c r="E299" i="8"/>
  <c r="D299" i="8"/>
  <c r="G298" i="8"/>
  <c r="N298" i="8" s="1"/>
  <c r="F301" i="6"/>
  <c r="E301" i="6"/>
  <c r="D301" i="6"/>
  <c r="G300" i="6"/>
  <c r="J300" i="6" s="1"/>
  <c r="B16" i="6" s="1"/>
  <c r="H301" i="6"/>
  <c r="K301" i="6" s="1"/>
  <c r="I301" i="6"/>
  <c r="L301" i="6" s="1"/>
  <c r="L300" i="6"/>
  <c r="B12" i="6"/>
  <c r="E302" i="7"/>
  <c r="D302" i="7"/>
  <c r="F303" i="7" s="1"/>
  <c r="G301" i="7"/>
  <c r="J301" i="7" s="1"/>
  <c r="F300" i="8" l="1"/>
  <c r="M300" i="8"/>
  <c r="B14" i="8" s="1"/>
  <c r="K300" i="8"/>
  <c r="B12" i="8" s="1"/>
  <c r="I300" i="8"/>
  <c r="E300" i="9"/>
  <c r="D300" i="9"/>
  <c r="F301" i="9" s="1"/>
  <c r="M300" i="9"/>
  <c r="G299" i="9"/>
  <c r="N299" i="9" s="1"/>
  <c r="K300" i="9"/>
  <c r="I300" i="9"/>
  <c r="O300" i="9" s="1"/>
  <c r="G299" i="8"/>
  <c r="N299" i="8" s="1"/>
  <c r="O300" i="8"/>
  <c r="E300" i="8"/>
  <c r="D300" i="8"/>
  <c r="G301" i="6"/>
  <c r="J301" i="6" s="1"/>
  <c r="I302" i="6"/>
  <c r="L302" i="6" s="1"/>
  <c r="H302" i="6"/>
  <c r="K302" i="6" s="1"/>
  <c r="F302" i="6"/>
  <c r="E302" i="6"/>
  <c r="D302" i="6"/>
  <c r="E303" i="7"/>
  <c r="D303" i="7"/>
  <c r="F304" i="7" s="1"/>
  <c r="I302" i="7"/>
  <c r="L302" i="7" s="1"/>
  <c r="H302" i="7"/>
  <c r="K302" i="7" s="1"/>
  <c r="I303" i="7"/>
  <c r="L303" i="7" s="1"/>
  <c r="G302" i="7"/>
  <c r="J302" i="7" s="1"/>
  <c r="H303" i="7"/>
  <c r="K303" i="7" s="1"/>
  <c r="F301" i="8" l="1"/>
  <c r="M301" i="8"/>
  <c r="K301" i="8"/>
  <c r="I301" i="8"/>
  <c r="Q301" i="8"/>
  <c r="Q300" i="8"/>
  <c r="B24" i="8" s="1"/>
  <c r="M301" i="9"/>
  <c r="Q301" i="9" s="1"/>
  <c r="K301" i="9"/>
  <c r="P301" i="9" s="1"/>
  <c r="I301" i="9"/>
  <c r="O301" i="9" s="1"/>
  <c r="E301" i="9"/>
  <c r="D301" i="9"/>
  <c r="F302" i="9" s="1"/>
  <c r="G300" i="9"/>
  <c r="N300" i="9" s="1"/>
  <c r="P300" i="9"/>
  <c r="B22" i="9" s="1"/>
  <c r="B12" i="9"/>
  <c r="Q300" i="9"/>
  <c r="B24" i="9" s="1"/>
  <c r="B14" i="9"/>
  <c r="E301" i="8"/>
  <c r="D301" i="8"/>
  <c r="P301" i="8"/>
  <c r="O301" i="8"/>
  <c r="G300" i="8"/>
  <c r="N300" i="8" s="1"/>
  <c r="P300" i="8"/>
  <c r="B22" i="8" s="1"/>
  <c r="E303" i="6"/>
  <c r="D303" i="6"/>
  <c r="G302" i="6"/>
  <c r="J302" i="6" s="1"/>
  <c r="F303" i="6"/>
  <c r="I303" i="6"/>
  <c r="L303" i="6" s="1"/>
  <c r="H303" i="6"/>
  <c r="K303" i="6" s="1"/>
  <c r="E304" i="7"/>
  <c r="D304" i="7"/>
  <c r="F305" i="7" s="1"/>
  <c r="I304" i="7"/>
  <c r="L304" i="7" s="1"/>
  <c r="G303" i="7"/>
  <c r="J303" i="7" s="1"/>
  <c r="H304" i="7"/>
  <c r="K304" i="7" s="1"/>
  <c r="F302" i="8" l="1"/>
  <c r="M302" i="8"/>
  <c r="K302" i="8"/>
  <c r="I302" i="8"/>
  <c r="Q302" i="8"/>
  <c r="I302" i="9"/>
  <c r="O302" i="9" s="1"/>
  <c r="G301" i="9"/>
  <c r="N301" i="9" s="1"/>
  <c r="E302" i="9"/>
  <c r="D302" i="9"/>
  <c r="F303" i="9" s="1"/>
  <c r="M302" i="9"/>
  <c r="Q302" i="9" s="1"/>
  <c r="K302" i="9"/>
  <c r="P302" i="9" s="1"/>
  <c r="G301" i="8"/>
  <c r="N301" i="8" s="1"/>
  <c r="P302" i="8"/>
  <c r="O302" i="8"/>
  <c r="E302" i="8"/>
  <c r="D302" i="8"/>
  <c r="I304" i="6"/>
  <c r="L304" i="6" s="1"/>
  <c r="H304" i="6"/>
  <c r="K304" i="6" s="1"/>
  <c r="F304" i="6"/>
  <c r="E304" i="6"/>
  <c r="D304" i="6"/>
  <c r="G303" i="6"/>
  <c r="J303" i="6" s="1"/>
  <c r="D305" i="7"/>
  <c r="F306" i="7" s="1"/>
  <c r="E305" i="7"/>
  <c r="G304" i="7"/>
  <c r="J304" i="7" s="1"/>
  <c r="F303" i="8" l="1"/>
  <c r="M303" i="8"/>
  <c r="Q303" i="8" s="1"/>
  <c r="I303" i="8"/>
  <c r="K303" i="8"/>
  <c r="K303" i="9"/>
  <c r="P303" i="9" s="1"/>
  <c r="E303" i="9"/>
  <c r="D303" i="9"/>
  <c r="F304" i="9" s="1"/>
  <c r="M303" i="9"/>
  <c r="Q303" i="9" s="1"/>
  <c r="I303" i="9"/>
  <c r="O303" i="9" s="1"/>
  <c r="G302" i="9"/>
  <c r="N302" i="9" s="1"/>
  <c r="E303" i="8"/>
  <c r="D303" i="8"/>
  <c r="G302" i="8"/>
  <c r="N302" i="8" s="1"/>
  <c r="P303" i="8"/>
  <c r="O303" i="8"/>
  <c r="G304" i="6"/>
  <c r="J304" i="6" s="1"/>
  <c r="I305" i="6"/>
  <c r="L305" i="6" s="1"/>
  <c r="H305" i="6"/>
  <c r="K305" i="6" s="1"/>
  <c r="D305" i="6"/>
  <c r="F305" i="6"/>
  <c r="E305" i="6"/>
  <c r="D306" i="7"/>
  <c r="F307" i="7" s="1"/>
  <c r="E306" i="7"/>
  <c r="I305" i="7"/>
  <c r="L305" i="7" s="1"/>
  <c r="H305" i="7"/>
  <c r="K305" i="7" s="1"/>
  <c r="I306" i="7"/>
  <c r="L306" i="7" s="1"/>
  <c r="G305" i="7"/>
  <c r="J305" i="7" s="1"/>
  <c r="H306" i="7"/>
  <c r="K306" i="7" s="1"/>
  <c r="F304" i="8" l="1"/>
  <c r="M304" i="8"/>
  <c r="Q304" i="8" s="1"/>
  <c r="K304" i="8"/>
  <c r="I304" i="8"/>
  <c r="M304" i="9"/>
  <c r="Q304" i="9" s="1"/>
  <c r="I304" i="9"/>
  <c r="O304" i="9" s="1"/>
  <c r="G303" i="9"/>
  <c r="N303" i="9" s="1"/>
  <c r="E304" i="9"/>
  <c r="D304" i="9"/>
  <c r="F305" i="9" s="1"/>
  <c r="K304" i="9"/>
  <c r="P304" i="9" s="1"/>
  <c r="P304" i="8"/>
  <c r="O304" i="8"/>
  <c r="E304" i="8"/>
  <c r="D304" i="8"/>
  <c r="G303" i="8"/>
  <c r="N303" i="8" s="1"/>
  <c r="I306" i="6"/>
  <c r="L306" i="6" s="1"/>
  <c r="H306" i="6"/>
  <c r="K306" i="6" s="1"/>
  <c r="F306" i="6"/>
  <c r="E306" i="6"/>
  <c r="D306" i="6"/>
  <c r="G305" i="6"/>
  <c r="J305" i="6" s="1"/>
  <c r="D307" i="7"/>
  <c r="F308" i="7" s="1"/>
  <c r="E307" i="7"/>
  <c r="G306" i="7"/>
  <c r="J306" i="7" s="1"/>
  <c r="F305" i="8" l="1"/>
  <c r="M305" i="8"/>
  <c r="Q305" i="8" s="1"/>
  <c r="K305" i="8"/>
  <c r="I305" i="8"/>
  <c r="K305" i="9"/>
  <c r="P305" i="9" s="1"/>
  <c r="I305" i="9"/>
  <c r="O305" i="9" s="1"/>
  <c r="G304" i="9"/>
  <c r="N304" i="9" s="1"/>
  <c r="E305" i="9"/>
  <c r="M305" i="9"/>
  <c r="Q305" i="9" s="1"/>
  <c r="D305" i="9"/>
  <c r="F306" i="9" s="1"/>
  <c r="G304" i="8"/>
  <c r="N304" i="8" s="1"/>
  <c r="O305" i="8"/>
  <c r="P305" i="8"/>
  <c r="E305" i="8"/>
  <c r="D305" i="8"/>
  <c r="G306" i="6"/>
  <c r="J306" i="6" s="1"/>
  <c r="I307" i="6"/>
  <c r="L307" i="6" s="1"/>
  <c r="H307" i="6"/>
  <c r="K307" i="6" s="1"/>
  <c r="F307" i="6"/>
  <c r="E307" i="6"/>
  <c r="D307" i="6"/>
  <c r="E308" i="7"/>
  <c r="D308" i="7"/>
  <c r="F309" i="7" s="1"/>
  <c r="H307" i="7"/>
  <c r="K307" i="7" s="1"/>
  <c r="I307" i="7"/>
  <c r="L307" i="7" s="1"/>
  <c r="I308" i="7"/>
  <c r="L308" i="7" s="1"/>
  <c r="H308" i="7"/>
  <c r="K308" i="7" s="1"/>
  <c r="G307" i="7"/>
  <c r="J307" i="7" s="1"/>
  <c r="F306" i="8" l="1"/>
  <c r="M306" i="8"/>
  <c r="K306" i="8"/>
  <c r="I306" i="8"/>
  <c r="Q306" i="8"/>
  <c r="M306" i="9"/>
  <c r="Q306" i="9" s="1"/>
  <c r="K306" i="9"/>
  <c r="P306" i="9" s="1"/>
  <c r="I306" i="9"/>
  <c r="O306" i="9" s="1"/>
  <c r="G305" i="9"/>
  <c r="N305" i="9" s="1"/>
  <c r="D306" i="9"/>
  <c r="F307" i="9" s="1"/>
  <c r="E306" i="9"/>
  <c r="P306" i="8"/>
  <c r="O306" i="8"/>
  <c r="E306" i="8"/>
  <c r="D306" i="8"/>
  <c r="G305" i="8"/>
  <c r="N305" i="8" s="1"/>
  <c r="H308" i="6"/>
  <c r="K308" i="6" s="1"/>
  <c r="F308" i="6"/>
  <c r="E308" i="6"/>
  <c r="D308" i="6"/>
  <c r="G307" i="6"/>
  <c r="J307" i="6" s="1"/>
  <c r="I308" i="6"/>
  <c r="L308" i="6" s="1"/>
  <c r="D309" i="7"/>
  <c r="F310" i="7" s="1"/>
  <c r="E309" i="7"/>
  <c r="H309" i="7"/>
  <c r="K309" i="7" s="1"/>
  <c r="I309" i="7"/>
  <c r="L309" i="7" s="1"/>
  <c r="G308" i="7"/>
  <c r="J308" i="7" s="1"/>
  <c r="F307" i="8" l="1"/>
  <c r="M307" i="8"/>
  <c r="K307" i="8"/>
  <c r="I307" i="8"/>
  <c r="Q307" i="8"/>
  <c r="D307" i="9"/>
  <c r="F308" i="9" s="1"/>
  <c r="M307" i="9"/>
  <c r="Q307" i="9" s="1"/>
  <c r="K307" i="9"/>
  <c r="P307" i="9" s="1"/>
  <c r="I307" i="9"/>
  <c r="O307" i="9" s="1"/>
  <c r="G306" i="9"/>
  <c r="N306" i="9" s="1"/>
  <c r="E307" i="9"/>
  <c r="G306" i="8"/>
  <c r="N306" i="8" s="1"/>
  <c r="P307" i="8"/>
  <c r="E307" i="8"/>
  <c r="D307" i="8"/>
  <c r="O307" i="8"/>
  <c r="G308" i="6"/>
  <c r="J308" i="6" s="1"/>
  <c r="I309" i="6"/>
  <c r="L309" i="6" s="1"/>
  <c r="H309" i="6"/>
  <c r="K309" i="6" s="1"/>
  <c r="F309" i="6"/>
  <c r="E309" i="6"/>
  <c r="D309" i="6"/>
  <c r="D310" i="7"/>
  <c r="F311" i="7" s="1"/>
  <c r="E310" i="7"/>
  <c r="H310" i="7"/>
  <c r="K310" i="7" s="1"/>
  <c r="I310" i="7"/>
  <c r="L310" i="7" s="1"/>
  <c r="G309" i="7"/>
  <c r="J309" i="7" s="1"/>
  <c r="F308" i="8" l="1"/>
  <c r="M308" i="8"/>
  <c r="K308" i="8"/>
  <c r="I308" i="8"/>
  <c r="Q308" i="8"/>
  <c r="E308" i="9"/>
  <c r="D308" i="9"/>
  <c r="F309" i="9" s="1"/>
  <c r="M308" i="9"/>
  <c r="Q308" i="9" s="1"/>
  <c r="K308" i="9"/>
  <c r="P308" i="9" s="1"/>
  <c r="G307" i="9"/>
  <c r="N307" i="9" s="1"/>
  <c r="I308" i="9"/>
  <c r="O308" i="9" s="1"/>
  <c r="O308" i="8"/>
  <c r="E308" i="8"/>
  <c r="D308" i="8"/>
  <c r="P308" i="8"/>
  <c r="G307" i="8"/>
  <c r="N307" i="8" s="1"/>
  <c r="F310" i="6"/>
  <c r="E310" i="6"/>
  <c r="D310" i="6"/>
  <c r="G309" i="6"/>
  <c r="J309" i="6" s="1"/>
  <c r="I310" i="6"/>
  <c r="L310" i="6" s="1"/>
  <c r="H310" i="6"/>
  <c r="K310" i="6" s="1"/>
  <c r="D311" i="7"/>
  <c r="F312" i="7" s="1"/>
  <c r="E311" i="7"/>
  <c r="I311" i="7"/>
  <c r="L311" i="7" s="1"/>
  <c r="G310" i="7"/>
  <c r="J310" i="7" s="1"/>
  <c r="H311" i="7"/>
  <c r="K311" i="7" s="1"/>
  <c r="F309" i="8" l="1"/>
  <c r="M309" i="8"/>
  <c r="Q309" i="8" s="1"/>
  <c r="I309" i="8"/>
  <c r="K309" i="8"/>
  <c r="M309" i="9"/>
  <c r="Q309" i="9" s="1"/>
  <c r="K309" i="9"/>
  <c r="P309" i="9" s="1"/>
  <c r="I309" i="9"/>
  <c r="O309" i="9" s="1"/>
  <c r="E309" i="9"/>
  <c r="D309" i="9"/>
  <c r="F310" i="9" s="1"/>
  <c r="G308" i="9"/>
  <c r="N308" i="9" s="1"/>
  <c r="G308" i="8"/>
  <c r="N308" i="8" s="1"/>
  <c r="P309" i="8"/>
  <c r="O309" i="8"/>
  <c r="D309" i="8"/>
  <c r="E309" i="8"/>
  <c r="I311" i="6"/>
  <c r="L311" i="6" s="1"/>
  <c r="H311" i="6"/>
  <c r="K311" i="6" s="1"/>
  <c r="F311" i="6"/>
  <c r="E311" i="6"/>
  <c r="D311" i="6"/>
  <c r="G310" i="6"/>
  <c r="J310" i="6" s="1"/>
  <c r="D312" i="7"/>
  <c r="F313" i="7" s="1"/>
  <c r="E312" i="7"/>
  <c r="G311" i="7"/>
  <c r="J311" i="7" s="1"/>
  <c r="F310" i="8" l="1"/>
  <c r="M310" i="8"/>
  <c r="K310" i="8"/>
  <c r="I310" i="8"/>
  <c r="Q310" i="8"/>
  <c r="I310" i="9"/>
  <c r="O310" i="9" s="1"/>
  <c r="G309" i="9"/>
  <c r="N309" i="9" s="1"/>
  <c r="E310" i="9"/>
  <c r="D310" i="9"/>
  <c r="F311" i="9" s="1"/>
  <c r="M310" i="9"/>
  <c r="Q310" i="9" s="1"/>
  <c r="K310" i="9"/>
  <c r="P310" i="9" s="1"/>
  <c r="E310" i="8"/>
  <c r="D310" i="8"/>
  <c r="G309" i="8"/>
  <c r="N309" i="8" s="1"/>
  <c r="P310" i="8"/>
  <c r="O310" i="8"/>
  <c r="D312" i="6"/>
  <c r="G311" i="6"/>
  <c r="J311" i="6" s="1"/>
  <c r="I312" i="6"/>
  <c r="L312" i="6" s="1"/>
  <c r="E312" i="6"/>
  <c r="H312" i="6"/>
  <c r="K312" i="6" s="1"/>
  <c r="F312" i="6"/>
  <c r="E313" i="7"/>
  <c r="D313" i="7"/>
  <c r="F314" i="7" s="1"/>
  <c r="H312" i="7"/>
  <c r="K312" i="7" s="1"/>
  <c r="I312" i="7"/>
  <c r="L312" i="7" s="1"/>
  <c r="H313" i="7"/>
  <c r="K313" i="7" s="1"/>
  <c r="I313" i="7"/>
  <c r="L313" i="7" s="1"/>
  <c r="G312" i="7"/>
  <c r="J312" i="7" s="1"/>
  <c r="F311" i="8" l="1"/>
  <c r="I311" i="8"/>
  <c r="M311" i="8"/>
  <c r="K311" i="8"/>
  <c r="Q311" i="8"/>
  <c r="K311" i="9"/>
  <c r="P311" i="9" s="1"/>
  <c r="E311" i="9"/>
  <c r="D311" i="9"/>
  <c r="F312" i="9" s="1"/>
  <c r="G310" i="9"/>
  <c r="N310" i="9" s="1"/>
  <c r="M311" i="9"/>
  <c r="Q311" i="9" s="1"/>
  <c r="I311" i="9"/>
  <c r="O311" i="9" s="1"/>
  <c r="P311" i="8"/>
  <c r="O311" i="8"/>
  <c r="E311" i="8"/>
  <c r="D311" i="8"/>
  <c r="G310" i="8"/>
  <c r="N310" i="8" s="1"/>
  <c r="I313" i="6"/>
  <c r="L313" i="6" s="1"/>
  <c r="H313" i="6"/>
  <c r="K313" i="6" s="1"/>
  <c r="F313" i="6"/>
  <c r="E313" i="6"/>
  <c r="D313" i="6"/>
  <c r="G312" i="6"/>
  <c r="J312" i="6" s="1"/>
  <c r="D314" i="7"/>
  <c r="F315" i="7" s="1"/>
  <c r="E314" i="7"/>
  <c r="H314" i="7"/>
  <c r="K314" i="7" s="1"/>
  <c r="I314" i="7"/>
  <c r="L314" i="7" s="1"/>
  <c r="G313" i="7"/>
  <c r="J313" i="7" s="1"/>
  <c r="F312" i="8" l="1"/>
  <c r="K312" i="8"/>
  <c r="M312" i="8"/>
  <c r="Q312" i="8" s="1"/>
  <c r="I312" i="8"/>
  <c r="M312" i="9"/>
  <c r="Q312" i="9" s="1"/>
  <c r="I312" i="9"/>
  <c r="O312" i="9" s="1"/>
  <c r="G311" i="9"/>
  <c r="N311" i="9" s="1"/>
  <c r="E312" i="9"/>
  <c r="D312" i="9"/>
  <c r="F313" i="9" s="1"/>
  <c r="K312" i="9"/>
  <c r="P312" i="9" s="1"/>
  <c r="D312" i="8"/>
  <c r="G311" i="8"/>
  <c r="N311" i="8" s="1"/>
  <c r="P312" i="8"/>
  <c r="O312" i="8"/>
  <c r="E312" i="8"/>
  <c r="G313" i="6"/>
  <c r="J313" i="6" s="1"/>
  <c r="I314" i="6"/>
  <c r="L314" i="6" s="1"/>
  <c r="H314" i="6"/>
  <c r="K314" i="6" s="1"/>
  <c r="F314" i="6"/>
  <c r="E314" i="6"/>
  <c r="D314" i="6"/>
  <c r="D315" i="7"/>
  <c r="F316" i="7" s="1"/>
  <c r="E315" i="7"/>
  <c r="G314" i="7"/>
  <c r="J314" i="7" s="1"/>
  <c r="H315" i="7"/>
  <c r="K315" i="7" s="1"/>
  <c r="I315" i="7"/>
  <c r="L315" i="7" s="1"/>
  <c r="F313" i="8" l="1"/>
  <c r="K313" i="8"/>
  <c r="I313" i="8"/>
  <c r="M313" i="8"/>
  <c r="Q313" i="8"/>
  <c r="K313" i="9"/>
  <c r="P313" i="9" s="1"/>
  <c r="I313" i="9"/>
  <c r="O313" i="9" s="1"/>
  <c r="G312" i="9"/>
  <c r="N312" i="9" s="1"/>
  <c r="E313" i="9"/>
  <c r="M313" i="9"/>
  <c r="Q313" i="9" s="1"/>
  <c r="D313" i="9"/>
  <c r="F314" i="9" s="1"/>
  <c r="P313" i="8"/>
  <c r="O313" i="8"/>
  <c r="E313" i="8"/>
  <c r="D313" i="8"/>
  <c r="G312" i="8"/>
  <c r="N312" i="8" s="1"/>
  <c r="I315" i="6"/>
  <c r="L315" i="6" s="1"/>
  <c r="H315" i="6"/>
  <c r="K315" i="6" s="1"/>
  <c r="F315" i="6"/>
  <c r="E315" i="6"/>
  <c r="D315" i="6"/>
  <c r="G314" i="6"/>
  <c r="J314" i="6" s="1"/>
  <c r="E316" i="7"/>
  <c r="D316" i="7"/>
  <c r="F317" i="7" s="1"/>
  <c r="I316" i="7"/>
  <c r="L316" i="7" s="1"/>
  <c r="G315" i="7"/>
  <c r="J315" i="7" s="1"/>
  <c r="H316" i="7"/>
  <c r="K316" i="7" s="1"/>
  <c r="F314" i="8" l="1"/>
  <c r="K314" i="8"/>
  <c r="M314" i="8"/>
  <c r="I314" i="8"/>
  <c r="Q314" i="8"/>
  <c r="M314" i="9"/>
  <c r="Q314" i="9" s="1"/>
  <c r="K314" i="9"/>
  <c r="P314" i="9" s="1"/>
  <c r="I314" i="9"/>
  <c r="O314" i="9" s="1"/>
  <c r="G313" i="9"/>
  <c r="N313" i="9" s="1"/>
  <c r="D314" i="9"/>
  <c r="F315" i="9" s="1"/>
  <c r="E314" i="9"/>
  <c r="G313" i="8"/>
  <c r="N313" i="8" s="1"/>
  <c r="E314" i="8"/>
  <c r="P314" i="8"/>
  <c r="O314" i="8"/>
  <c r="D314" i="8"/>
  <c r="G315" i="6"/>
  <c r="J315" i="6" s="1"/>
  <c r="I316" i="6"/>
  <c r="L316" i="6" s="1"/>
  <c r="H316" i="6"/>
  <c r="K316" i="6" s="1"/>
  <c r="F316" i="6"/>
  <c r="E316" i="6"/>
  <c r="D316" i="6"/>
  <c r="D317" i="7"/>
  <c r="F318" i="7" s="1"/>
  <c r="E317" i="7"/>
  <c r="H317" i="7"/>
  <c r="K317" i="7" s="1"/>
  <c r="I317" i="7"/>
  <c r="L317" i="7" s="1"/>
  <c r="G316" i="7"/>
  <c r="J316" i="7" s="1"/>
  <c r="F315" i="8" l="1"/>
  <c r="M315" i="8"/>
  <c r="K315" i="8"/>
  <c r="I315" i="8"/>
  <c r="Q315" i="8"/>
  <c r="D315" i="9"/>
  <c r="F316" i="9" s="1"/>
  <c r="M315" i="9"/>
  <c r="Q315" i="9" s="1"/>
  <c r="K315" i="9"/>
  <c r="P315" i="9" s="1"/>
  <c r="I315" i="9"/>
  <c r="O315" i="9" s="1"/>
  <c r="G314" i="9"/>
  <c r="N314" i="9" s="1"/>
  <c r="E315" i="9"/>
  <c r="E315" i="8"/>
  <c r="D315" i="8"/>
  <c r="P315" i="8"/>
  <c r="O315" i="8"/>
  <c r="G314" i="8"/>
  <c r="N314" i="8" s="1"/>
  <c r="F317" i="6"/>
  <c r="E317" i="6"/>
  <c r="D317" i="6"/>
  <c r="G316" i="6"/>
  <c r="J316" i="6" s="1"/>
  <c r="H317" i="6"/>
  <c r="K317" i="6" s="1"/>
  <c r="I317" i="6"/>
  <c r="L317" i="6" s="1"/>
  <c r="D318" i="7"/>
  <c r="F319" i="7" s="1"/>
  <c r="E318" i="7"/>
  <c r="G317" i="7"/>
  <c r="J317" i="7" s="1"/>
  <c r="F316" i="8" l="1"/>
  <c r="M316" i="8"/>
  <c r="K316" i="8"/>
  <c r="I316" i="8"/>
  <c r="Q316" i="8"/>
  <c r="E316" i="9"/>
  <c r="D316" i="9"/>
  <c r="F317" i="9" s="1"/>
  <c r="M316" i="9"/>
  <c r="Q316" i="9" s="1"/>
  <c r="K316" i="9"/>
  <c r="P316" i="9" s="1"/>
  <c r="I316" i="9"/>
  <c r="O316" i="9" s="1"/>
  <c r="G315" i="9"/>
  <c r="N315" i="9" s="1"/>
  <c r="P316" i="8"/>
  <c r="G315" i="8"/>
  <c r="N315" i="8" s="1"/>
  <c r="O316" i="8"/>
  <c r="E316" i="8"/>
  <c r="D316" i="8"/>
  <c r="G317" i="6"/>
  <c r="J317" i="6" s="1"/>
  <c r="I318" i="6"/>
  <c r="L318" i="6" s="1"/>
  <c r="H318" i="6"/>
  <c r="K318" i="6" s="1"/>
  <c r="F318" i="6"/>
  <c r="E318" i="6"/>
  <c r="D318" i="6"/>
  <c r="D319" i="7"/>
  <c r="F320" i="7" s="1"/>
  <c r="E319" i="7"/>
  <c r="H318" i="7"/>
  <c r="K318" i="7" s="1"/>
  <c r="I318" i="7"/>
  <c r="L318" i="7" s="1"/>
  <c r="G318" i="7"/>
  <c r="J318" i="7" s="1"/>
  <c r="I319" i="7"/>
  <c r="L319" i="7" s="1"/>
  <c r="H319" i="7"/>
  <c r="K319" i="7" s="1"/>
  <c r="F317" i="8" l="1"/>
  <c r="M317" i="8"/>
  <c r="I317" i="8"/>
  <c r="K317" i="8"/>
  <c r="Q317" i="8"/>
  <c r="M317" i="9"/>
  <c r="Q317" i="9" s="1"/>
  <c r="K317" i="9"/>
  <c r="P317" i="9" s="1"/>
  <c r="I317" i="9"/>
  <c r="O317" i="9" s="1"/>
  <c r="E317" i="9"/>
  <c r="D317" i="9"/>
  <c r="F318" i="9" s="1"/>
  <c r="G316" i="9"/>
  <c r="N316" i="9" s="1"/>
  <c r="P317" i="8"/>
  <c r="O317" i="8"/>
  <c r="E317" i="8"/>
  <c r="G316" i="8"/>
  <c r="N316" i="8" s="1"/>
  <c r="D317" i="8"/>
  <c r="E319" i="6"/>
  <c r="D319" i="6"/>
  <c r="G318" i="6"/>
  <c r="J318" i="6" s="1"/>
  <c r="F319" i="6"/>
  <c r="I319" i="6"/>
  <c r="L319" i="6" s="1"/>
  <c r="H319" i="6"/>
  <c r="K319" i="6" s="1"/>
  <c r="D320" i="7"/>
  <c r="F321" i="7" s="1"/>
  <c r="E320" i="7"/>
  <c r="I320" i="7"/>
  <c r="L320" i="7" s="1"/>
  <c r="G319" i="7"/>
  <c r="J319" i="7" s="1"/>
  <c r="H320" i="7"/>
  <c r="K320" i="7" s="1"/>
  <c r="F318" i="8" l="1"/>
  <c r="M318" i="8"/>
  <c r="K318" i="8"/>
  <c r="I318" i="8"/>
  <c r="Q318" i="8"/>
  <c r="I318" i="9"/>
  <c r="O318" i="9" s="1"/>
  <c r="G317" i="9"/>
  <c r="N317" i="9" s="1"/>
  <c r="E318" i="9"/>
  <c r="D318" i="9"/>
  <c r="F319" i="9" s="1"/>
  <c r="M318" i="9"/>
  <c r="Q318" i="9" s="1"/>
  <c r="K318" i="9"/>
  <c r="P318" i="9" s="1"/>
  <c r="P318" i="8"/>
  <c r="D318" i="8"/>
  <c r="G317" i="8"/>
  <c r="N317" i="8" s="1"/>
  <c r="O318" i="8"/>
  <c r="E318" i="8"/>
  <c r="I320" i="6"/>
  <c r="L320" i="6" s="1"/>
  <c r="H320" i="6"/>
  <c r="K320" i="6" s="1"/>
  <c r="F320" i="6"/>
  <c r="E320" i="6"/>
  <c r="D320" i="6"/>
  <c r="G319" i="6"/>
  <c r="J319" i="6" s="1"/>
  <c r="D321" i="7"/>
  <c r="F322" i="7" s="1"/>
  <c r="E321" i="7"/>
  <c r="I321" i="7"/>
  <c r="L321" i="7" s="1"/>
  <c r="H321" i="7"/>
  <c r="K321" i="7" s="1"/>
  <c r="G320" i="7"/>
  <c r="J320" i="7" s="1"/>
  <c r="F319" i="8" l="1"/>
  <c r="M319" i="8"/>
  <c r="Q319" i="8" s="1"/>
  <c r="I319" i="8"/>
  <c r="K319" i="8"/>
  <c r="K319" i="9"/>
  <c r="P319" i="9" s="1"/>
  <c r="E319" i="9"/>
  <c r="D319" i="9"/>
  <c r="F320" i="9" s="1"/>
  <c r="M319" i="9"/>
  <c r="Q319" i="9" s="1"/>
  <c r="I319" i="9"/>
  <c r="O319" i="9" s="1"/>
  <c r="G318" i="9"/>
  <c r="N318" i="9" s="1"/>
  <c r="G318" i="8"/>
  <c r="N318" i="8" s="1"/>
  <c r="P319" i="8"/>
  <c r="O319" i="8"/>
  <c r="E319" i="8"/>
  <c r="D319" i="8"/>
  <c r="G320" i="6"/>
  <c r="J320" i="6" s="1"/>
  <c r="I321" i="6"/>
  <c r="L321" i="6" s="1"/>
  <c r="H321" i="6"/>
  <c r="K321" i="6" s="1"/>
  <c r="D321" i="6"/>
  <c r="F321" i="6"/>
  <c r="E321" i="6"/>
  <c r="D322" i="7"/>
  <c r="F323" i="7" s="1"/>
  <c r="E322" i="7"/>
  <c r="G321" i="7"/>
  <c r="J321" i="7" s="1"/>
  <c r="I322" i="7"/>
  <c r="L322" i="7" s="1"/>
  <c r="H322" i="7"/>
  <c r="K322" i="7" s="1"/>
  <c r="F320" i="8" l="1"/>
  <c r="M320" i="8"/>
  <c r="K320" i="8"/>
  <c r="I320" i="8"/>
  <c r="Q320" i="8"/>
  <c r="M320" i="9"/>
  <c r="Q320" i="9" s="1"/>
  <c r="I320" i="9"/>
  <c r="O320" i="9" s="1"/>
  <c r="G319" i="9"/>
  <c r="N319" i="9" s="1"/>
  <c r="E320" i="9"/>
  <c r="D320" i="9"/>
  <c r="F321" i="9" s="1"/>
  <c r="K320" i="9"/>
  <c r="P320" i="9" s="1"/>
  <c r="O320" i="8"/>
  <c r="E320" i="8"/>
  <c r="D320" i="8"/>
  <c r="G319" i="8"/>
  <c r="N319" i="8" s="1"/>
  <c r="P320" i="8"/>
  <c r="I322" i="6"/>
  <c r="L322" i="6" s="1"/>
  <c r="H322" i="6"/>
  <c r="K322" i="6" s="1"/>
  <c r="F322" i="6"/>
  <c r="E322" i="6"/>
  <c r="D322" i="6"/>
  <c r="G321" i="6"/>
  <c r="J321" i="6" s="1"/>
  <c r="E323" i="7"/>
  <c r="D323" i="7"/>
  <c r="F324" i="7" s="1"/>
  <c r="H323" i="7"/>
  <c r="K323" i="7" s="1"/>
  <c r="I323" i="7"/>
  <c r="L323" i="7" s="1"/>
  <c r="G322" i="7"/>
  <c r="J322" i="7" s="1"/>
  <c r="F321" i="8" l="1"/>
  <c r="M321" i="8"/>
  <c r="Q321" i="8" s="1"/>
  <c r="K321" i="8"/>
  <c r="I321" i="8"/>
  <c r="K321" i="9"/>
  <c r="P321" i="9" s="1"/>
  <c r="I321" i="9"/>
  <c r="O321" i="9" s="1"/>
  <c r="G320" i="9"/>
  <c r="N320" i="9" s="1"/>
  <c r="E321" i="9"/>
  <c r="M321" i="9"/>
  <c r="Q321" i="9" s="1"/>
  <c r="D321" i="9"/>
  <c r="F322" i="9" s="1"/>
  <c r="G320" i="8"/>
  <c r="N320" i="8" s="1"/>
  <c r="P321" i="8"/>
  <c r="O321" i="8"/>
  <c r="D321" i="8"/>
  <c r="E321" i="8"/>
  <c r="G322" i="6"/>
  <c r="J322" i="6" s="1"/>
  <c r="I323" i="6"/>
  <c r="L323" i="6" s="1"/>
  <c r="H323" i="6"/>
  <c r="K323" i="6" s="1"/>
  <c r="F323" i="6"/>
  <c r="E323" i="6"/>
  <c r="D323" i="6"/>
  <c r="E324" i="7"/>
  <c r="D324" i="7"/>
  <c r="F325" i="7" s="1"/>
  <c r="I324" i="7"/>
  <c r="L324" i="7" s="1"/>
  <c r="H324" i="7"/>
  <c r="K324" i="7" s="1"/>
  <c r="G323" i="7"/>
  <c r="J323" i="7" s="1"/>
  <c r="F322" i="8" l="1"/>
  <c r="M322" i="8"/>
  <c r="Q322" i="8" s="1"/>
  <c r="K322" i="8"/>
  <c r="I322" i="8"/>
  <c r="M322" i="9"/>
  <c r="Q322" i="9" s="1"/>
  <c r="K322" i="9"/>
  <c r="P322" i="9" s="1"/>
  <c r="I322" i="9"/>
  <c r="O322" i="9" s="1"/>
  <c r="G321" i="9"/>
  <c r="N321" i="9" s="1"/>
  <c r="D322" i="9"/>
  <c r="F323" i="9" s="1"/>
  <c r="E322" i="9"/>
  <c r="E322" i="8"/>
  <c r="P322" i="8"/>
  <c r="O322" i="8"/>
  <c r="D322" i="8"/>
  <c r="G321" i="8"/>
  <c r="N321" i="8" s="1"/>
  <c r="H324" i="6"/>
  <c r="K324" i="6" s="1"/>
  <c r="F324" i="6"/>
  <c r="E324" i="6"/>
  <c r="D324" i="6"/>
  <c r="G323" i="6"/>
  <c r="J323" i="6" s="1"/>
  <c r="I324" i="6"/>
  <c r="L324" i="6" s="1"/>
  <c r="D325" i="7"/>
  <c r="F326" i="7" s="1"/>
  <c r="E325" i="7"/>
  <c r="I325" i="7"/>
  <c r="L325" i="7" s="1"/>
  <c r="H325" i="7"/>
  <c r="K325" i="7" s="1"/>
  <c r="G324" i="7"/>
  <c r="J324" i="7" s="1"/>
  <c r="F323" i="8" l="1"/>
  <c r="M323" i="8"/>
  <c r="Q323" i="8" s="1"/>
  <c r="K323" i="8"/>
  <c r="I323" i="8"/>
  <c r="D323" i="9"/>
  <c r="F324" i="9" s="1"/>
  <c r="M323" i="9"/>
  <c r="Q323" i="9" s="1"/>
  <c r="K323" i="9"/>
  <c r="P323" i="9" s="1"/>
  <c r="I323" i="9"/>
  <c r="O323" i="9" s="1"/>
  <c r="G322" i="9"/>
  <c r="N322" i="9" s="1"/>
  <c r="E323" i="9"/>
  <c r="G322" i="8"/>
  <c r="N322" i="8" s="1"/>
  <c r="P323" i="8"/>
  <c r="O323" i="8"/>
  <c r="E323" i="8"/>
  <c r="D323" i="8"/>
  <c r="G324" i="6"/>
  <c r="J324" i="6" s="1"/>
  <c r="I325" i="6"/>
  <c r="L325" i="6" s="1"/>
  <c r="H325" i="6"/>
  <c r="K325" i="6" s="1"/>
  <c r="F325" i="6"/>
  <c r="E325" i="6"/>
  <c r="D325" i="6"/>
  <c r="E326" i="7"/>
  <c r="D326" i="7"/>
  <c r="F327" i="7" s="1"/>
  <c r="I326" i="7"/>
  <c r="L326" i="7" s="1"/>
  <c r="H326" i="7"/>
  <c r="K326" i="7" s="1"/>
  <c r="G325" i="7"/>
  <c r="J325" i="7" s="1"/>
  <c r="F324" i="8" l="1"/>
  <c r="M324" i="8"/>
  <c r="K324" i="8"/>
  <c r="I324" i="8"/>
  <c r="Q324" i="8"/>
  <c r="E324" i="9"/>
  <c r="D324" i="9"/>
  <c r="F325" i="9" s="1"/>
  <c r="M324" i="9"/>
  <c r="Q324" i="9" s="1"/>
  <c r="K324" i="9"/>
  <c r="P324" i="9" s="1"/>
  <c r="I324" i="9"/>
  <c r="O324" i="9" s="1"/>
  <c r="G323" i="9"/>
  <c r="N323" i="9" s="1"/>
  <c r="D324" i="8"/>
  <c r="P324" i="8"/>
  <c r="O324" i="8"/>
  <c r="E324" i="8"/>
  <c r="G323" i="8"/>
  <c r="N323" i="8" s="1"/>
  <c r="F326" i="6"/>
  <c r="E326" i="6"/>
  <c r="D326" i="6"/>
  <c r="G325" i="6"/>
  <c r="J325" i="6" s="1"/>
  <c r="H326" i="6"/>
  <c r="K326" i="6" s="1"/>
  <c r="I326" i="6"/>
  <c r="L326" i="6" s="1"/>
  <c r="E327" i="7"/>
  <c r="D327" i="7"/>
  <c r="F328" i="7" s="1"/>
  <c r="I327" i="7"/>
  <c r="L327" i="7" s="1"/>
  <c r="H327" i="7"/>
  <c r="K327" i="7" s="1"/>
  <c r="G326" i="7"/>
  <c r="J326" i="7" s="1"/>
  <c r="F325" i="8" l="1"/>
  <c r="M325" i="8"/>
  <c r="I325" i="8"/>
  <c r="K325" i="8"/>
  <c r="Q325" i="8"/>
  <c r="M325" i="9"/>
  <c r="Q325" i="9" s="1"/>
  <c r="I325" i="9"/>
  <c r="O325" i="9" s="1"/>
  <c r="E325" i="9"/>
  <c r="D325" i="9"/>
  <c r="F326" i="9" s="1"/>
  <c r="G324" i="9"/>
  <c r="N324" i="9" s="1"/>
  <c r="K325" i="9"/>
  <c r="P325" i="9" s="1"/>
  <c r="O325" i="8"/>
  <c r="G324" i="8"/>
  <c r="N324" i="8" s="1"/>
  <c r="E325" i="8"/>
  <c r="D325" i="8"/>
  <c r="P325" i="8"/>
  <c r="I327" i="6"/>
  <c r="L327" i="6" s="1"/>
  <c r="H327" i="6"/>
  <c r="K327" i="6" s="1"/>
  <c r="F327" i="6"/>
  <c r="E327" i="6"/>
  <c r="D327" i="6"/>
  <c r="G326" i="6"/>
  <c r="J326" i="6" s="1"/>
  <c r="E328" i="7"/>
  <c r="D328" i="7"/>
  <c r="F329" i="7" s="1"/>
  <c r="I328" i="7"/>
  <c r="L328" i="7" s="1"/>
  <c r="H328" i="7"/>
  <c r="K328" i="7" s="1"/>
  <c r="G327" i="7"/>
  <c r="J327" i="7" s="1"/>
  <c r="F326" i="8" l="1"/>
  <c r="M326" i="8"/>
  <c r="K326" i="8"/>
  <c r="I326" i="8"/>
  <c r="Q326" i="8"/>
  <c r="I326" i="9"/>
  <c r="O326" i="9" s="1"/>
  <c r="G325" i="9"/>
  <c r="N325" i="9" s="1"/>
  <c r="E326" i="9"/>
  <c r="D326" i="9"/>
  <c r="F327" i="9" s="1"/>
  <c r="M326" i="9"/>
  <c r="Q326" i="9" s="1"/>
  <c r="K326" i="9"/>
  <c r="P326" i="9" s="1"/>
  <c r="P326" i="8"/>
  <c r="O326" i="8"/>
  <c r="E326" i="8"/>
  <c r="D326" i="8"/>
  <c r="G325" i="8"/>
  <c r="N325" i="8" s="1"/>
  <c r="D328" i="6"/>
  <c r="G327" i="6"/>
  <c r="J327" i="6" s="1"/>
  <c r="I328" i="6"/>
  <c r="L328" i="6" s="1"/>
  <c r="E328" i="6"/>
  <c r="H328" i="6"/>
  <c r="K328" i="6" s="1"/>
  <c r="F328" i="6"/>
  <c r="D329" i="7"/>
  <c r="F330" i="7" s="1"/>
  <c r="E329" i="7"/>
  <c r="H329" i="7"/>
  <c r="K329" i="7" s="1"/>
  <c r="G328" i="7"/>
  <c r="J328" i="7" s="1"/>
  <c r="F327" i="8" l="1"/>
  <c r="M327" i="8"/>
  <c r="K327" i="8"/>
  <c r="I327" i="8"/>
  <c r="Q327" i="8"/>
  <c r="K327" i="9"/>
  <c r="P327" i="9" s="1"/>
  <c r="E327" i="9"/>
  <c r="D327" i="9"/>
  <c r="F328" i="9" s="1"/>
  <c r="M327" i="9"/>
  <c r="Q327" i="9" s="1"/>
  <c r="I327" i="9"/>
  <c r="O327" i="9" s="1"/>
  <c r="G326" i="9"/>
  <c r="N326" i="9" s="1"/>
  <c r="P327" i="8"/>
  <c r="O327" i="8"/>
  <c r="G326" i="8"/>
  <c r="N326" i="8" s="1"/>
  <c r="E327" i="8"/>
  <c r="D327" i="8"/>
  <c r="I329" i="6"/>
  <c r="L329" i="6" s="1"/>
  <c r="H329" i="6"/>
  <c r="K329" i="6" s="1"/>
  <c r="F329" i="6"/>
  <c r="E329" i="6"/>
  <c r="D329" i="6"/>
  <c r="G328" i="6"/>
  <c r="J328" i="6" s="1"/>
  <c r="D330" i="7"/>
  <c r="F331" i="7" s="1"/>
  <c r="E330" i="7"/>
  <c r="I329" i="7"/>
  <c r="L329" i="7" s="1"/>
  <c r="I330" i="7"/>
  <c r="L330" i="7" s="1"/>
  <c r="G329" i="7"/>
  <c r="J329" i="7" s="1"/>
  <c r="H330" i="7"/>
  <c r="K330" i="7" s="1"/>
  <c r="F328" i="8" l="1"/>
  <c r="K328" i="8"/>
  <c r="M328" i="8"/>
  <c r="I328" i="8"/>
  <c r="O328" i="8" s="1"/>
  <c r="Q328" i="8"/>
  <c r="M328" i="9"/>
  <c r="Q328" i="9" s="1"/>
  <c r="I328" i="9"/>
  <c r="O328" i="9" s="1"/>
  <c r="G327" i="9"/>
  <c r="N327" i="9" s="1"/>
  <c r="E328" i="9"/>
  <c r="D328" i="9"/>
  <c r="F329" i="9" s="1"/>
  <c r="K328" i="9"/>
  <c r="P328" i="9" s="1"/>
  <c r="P328" i="8"/>
  <c r="E328" i="8"/>
  <c r="D328" i="8"/>
  <c r="G327" i="8"/>
  <c r="N327" i="8" s="1"/>
  <c r="G329" i="6"/>
  <c r="J329" i="6" s="1"/>
  <c r="I330" i="6"/>
  <c r="L330" i="6" s="1"/>
  <c r="H330" i="6"/>
  <c r="K330" i="6" s="1"/>
  <c r="F330" i="6"/>
  <c r="E330" i="6"/>
  <c r="D330" i="6"/>
  <c r="D331" i="7"/>
  <c r="F332" i="7" s="1"/>
  <c r="E331" i="7"/>
  <c r="G330" i="7"/>
  <c r="J330" i="7" s="1"/>
  <c r="I331" i="7"/>
  <c r="L331" i="7" s="1"/>
  <c r="H331" i="7"/>
  <c r="K331" i="7" s="1"/>
  <c r="F329" i="8" l="1"/>
  <c r="K329" i="8"/>
  <c r="I329" i="8"/>
  <c r="M329" i="8"/>
  <c r="Q329" i="8" s="1"/>
  <c r="K329" i="9"/>
  <c r="P329" i="9" s="1"/>
  <c r="I329" i="9"/>
  <c r="O329" i="9" s="1"/>
  <c r="G328" i="9"/>
  <c r="N328" i="9" s="1"/>
  <c r="E329" i="9"/>
  <c r="M329" i="9"/>
  <c r="Q329" i="9" s="1"/>
  <c r="D329" i="9"/>
  <c r="F330" i="9" s="1"/>
  <c r="D329" i="8"/>
  <c r="G328" i="8"/>
  <c r="N328" i="8" s="1"/>
  <c r="P329" i="8"/>
  <c r="O329" i="8"/>
  <c r="E329" i="8"/>
  <c r="I331" i="6"/>
  <c r="L331" i="6" s="1"/>
  <c r="H331" i="6"/>
  <c r="K331" i="6" s="1"/>
  <c r="F331" i="6"/>
  <c r="E331" i="6"/>
  <c r="D331" i="6"/>
  <c r="G330" i="6"/>
  <c r="J330" i="6" s="1"/>
  <c r="E332" i="7"/>
  <c r="D332" i="7"/>
  <c r="F333" i="7" s="1"/>
  <c r="I332" i="7"/>
  <c r="L332" i="7" s="1"/>
  <c r="G331" i="7"/>
  <c r="J331" i="7" s="1"/>
  <c r="H332" i="7"/>
  <c r="K332" i="7" s="1"/>
  <c r="F330" i="8" l="1"/>
  <c r="K330" i="8"/>
  <c r="M330" i="8"/>
  <c r="Q330" i="8" s="1"/>
  <c r="I330" i="8"/>
  <c r="M330" i="9"/>
  <c r="Q330" i="9" s="1"/>
  <c r="K330" i="9"/>
  <c r="P330" i="9" s="1"/>
  <c r="I330" i="9"/>
  <c r="O330" i="9" s="1"/>
  <c r="G329" i="9"/>
  <c r="N329" i="9" s="1"/>
  <c r="D330" i="9"/>
  <c r="F331" i="9" s="1"/>
  <c r="E330" i="9"/>
  <c r="G329" i="8"/>
  <c r="N329" i="8" s="1"/>
  <c r="P330" i="8"/>
  <c r="O330" i="8"/>
  <c r="E330" i="8"/>
  <c r="D330" i="8"/>
  <c r="G331" i="6"/>
  <c r="J331" i="6" s="1"/>
  <c r="I332" i="6"/>
  <c r="L332" i="6" s="1"/>
  <c r="H332" i="6"/>
  <c r="K332" i="6" s="1"/>
  <c r="F332" i="6"/>
  <c r="E332" i="6"/>
  <c r="D332" i="6"/>
  <c r="D333" i="7"/>
  <c r="F334" i="7" s="1"/>
  <c r="E333" i="7"/>
  <c r="I333" i="7"/>
  <c r="L333" i="7" s="1"/>
  <c r="H333" i="7"/>
  <c r="K333" i="7" s="1"/>
  <c r="G332" i="7"/>
  <c r="J332" i="7" s="1"/>
  <c r="F331" i="8" l="1"/>
  <c r="M331" i="8"/>
  <c r="K331" i="8"/>
  <c r="I331" i="8"/>
  <c r="Q331" i="8"/>
  <c r="D331" i="9"/>
  <c r="F332" i="9" s="1"/>
  <c r="M331" i="9"/>
  <c r="Q331" i="9" s="1"/>
  <c r="K331" i="9"/>
  <c r="P331" i="9" s="1"/>
  <c r="I331" i="9"/>
  <c r="O331" i="9" s="1"/>
  <c r="G330" i="9"/>
  <c r="N330" i="9" s="1"/>
  <c r="E331" i="9"/>
  <c r="E331" i="8"/>
  <c r="D331" i="8"/>
  <c r="G330" i="8"/>
  <c r="N330" i="8" s="1"/>
  <c r="P331" i="8"/>
  <c r="O331" i="8"/>
  <c r="F333" i="6"/>
  <c r="E333" i="6"/>
  <c r="D333" i="6"/>
  <c r="G332" i="6"/>
  <c r="J332" i="6" s="1"/>
  <c r="H333" i="6"/>
  <c r="K333" i="6" s="1"/>
  <c r="I333" i="6"/>
  <c r="L333" i="6" s="1"/>
  <c r="E334" i="7"/>
  <c r="D334" i="7"/>
  <c r="F335" i="7" s="1"/>
  <c r="G333" i="7"/>
  <c r="J333" i="7" s="1"/>
  <c r="F332" i="8" l="1"/>
  <c r="M332" i="8"/>
  <c r="K332" i="8"/>
  <c r="I332" i="8"/>
  <c r="Q332" i="8"/>
  <c r="E332" i="9"/>
  <c r="D332" i="9"/>
  <c r="F333" i="9" s="1"/>
  <c r="M332" i="9"/>
  <c r="Q332" i="9" s="1"/>
  <c r="K332" i="9"/>
  <c r="P332" i="9" s="1"/>
  <c r="I332" i="9"/>
  <c r="O332" i="9" s="1"/>
  <c r="G331" i="9"/>
  <c r="N331" i="9" s="1"/>
  <c r="P332" i="8"/>
  <c r="G331" i="8"/>
  <c r="N331" i="8" s="1"/>
  <c r="O332" i="8"/>
  <c r="E332" i="8"/>
  <c r="D332" i="8"/>
  <c r="G333" i="6"/>
  <c r="J333" i="6" s="1"/>
  <c r="I334" i="6"/>
  <c r="L334" i="6" s="1"/>
  <c r="H334" i="6"/>
  <c r="K334" i="6" s="1"/>
  <c r="F334" i="6"/>
  <c r="E334" i="6"/>
  <c r="D334" i="6"/>
  <c r="E335" i="7"/>
  <c r="D335" i="7"/>
  <c r="F336" i="7" s="1"/>
  <c r="I334" i="7"/>
  <c r="L334" i="7" s="1"/>
  <c r="H334" i="7"/>
  <c r="K334" i="7" s="1"/>
  <c r="G334" i="7"/>
  <c r="J334" i="7" s="1"/>
  <c r="I335" i="7"/>
  <c r="L335" i="7" s="1"/>
  <c r="H335" i="7"/>
  <c r="K335" i="7" s="1"/>
  <c r="F333" i="8" l="1"/>
  <c r="M333" i="8"/>
  <c r="K333" i="8"/>
  <c r="I333" i="8"/>
  <c r="Q333" i="8"/>
  <c r="D333" i="9"/>
  <c r="F334" i="9" s="1"/>
  <c r="M333" i="9"/>
  <c r="Q333" i="9" s="1"/>
  <c r="K333" i="9"/>
  <c r="P333" i="9" s="1"/>
  <c r="I333" i="9"/>
  <c r="O333" i="9" s="1"/>
  <c r="E333" i="9"/>
  <c r="G332" i="9"/>
  <c r="N332" i="9" s="1"/>
  <c r="G332" i="8"/>
  <c r="N332" i="8" s="1"/>
  <c r="P333" i="8"/>
  <c r="O333" i="8"/>
  <c r="E333" i="8"/>
  <c r="D333" i="8"/>
  <c r="E335" i="6"/>
  <c r="D335" i="6"/>
  <c r="G334" i="6"/>
  <c r="J334" i="6" s="1"/>
  <c r="F335" i="6"/>
  <c r="I335" i="6"/>
  <c r="L335" i="6" s="1"/>
  <c r="H335" i="6"/>
  <c r="K335" i="6" s="1"/>
  <c r="D336" i="7"/>
  <c r="F337" i="7" s="1"/>
  <c r="E336" i="7"/>
  <c r="I336" i="7"/>
  <c r="L336" i="7" s="1"/>
  <c r="G335" i="7"/>
  <c r="J335" i="7" s="1"/>
  <c r="H336" i="7"/>
  <c r="K336" i="7" s="1"/>
  <c r="F334" i="8" l="1"/>
  <c r="M334" i="8"/>
  <c r="Q334" i="8" s="1"/>
  <c r="K334" i="8"/>
  <c r="I334" i="8"/>
  <c r="I334" i="9"/>
  <c r="O334" i="9" s="1"/>
  <c r="G333" i="9"/>
  <c r="N333" i="9" s="1"/>
  <c r="E334" i="9"/>
  <c r="D334" i="9"/>
  <c r="F335" i="9" s="1"/>
  <c r="M334" i="9"/>
  <c r="Q334" i="9" s="1"/>
  <c r="K334" i="9"/>
  <c r="P334" i="9" s="1"/>
  <c r="P334" i="8"/>
  <c r="E334" i="8"/>
  <c r="G333" i="8"/>
  <c r="N333" i="8" s="1"/>
  <c r="D334" i="8"/>
  <c r="O334" i="8"/>
  <c r="I336" i="6"/>
  <c r="L336" i="6" s="1"/>
  <c r="H336" i="6"/>
  <c r="K336" i="6" s="1"/>
  <c r="F336" i="6"/>
  <c r="E336" i="6"/>
  <c r="D336" i="6"/>
  <c r="G335" i="6"/>
  <c r="J335" i="6" s="1"/>
  <c r="D337" i="7"/>
  <c r="F338" i="7" s="1"/>
  <c r="E337" i="7"/>
  <c r="I337" i="7"/>
  <c r="L337" i="7" s="1"/>
  <c r="H337" i="7"/>
  <c r="K337" i="7" s="1"/>
  <c r="G336" i="7"/>
  <c r="J336" i="7" s="1"/>
  <c r="F335" i="8" l="1"/>
  <c r="M335" i="8"/>
  <c r="Q335" i="8" s="1"/>
  <c r="K335" i="8"/>
  <c r="I335" i="8"/>
  <c r="K335" i="9"/>
  <c r="P335" i="9" s="1"/>
  <c r="I335" i="9"/>
  <c r="O335" i="9" s="1"/>
  <c r="G334" i="9"/>
  <c r="N334" i="9" s="1"/>
  <c r="E335" i="9"/>
  <c r="D335" i="9"/>
  <c r="F336" i="9" s="1"/>
  <c r="M335" i="9"/>
  <c r="Q335" i="9" s="1"/>
  <c r="G334" i="8"/>
  <c r="N334" i="8" s="1"/>
  <c r="P335" i="8"/>
  <c r="O335" i="8"/>
  <c r="E335" i="8"/>
  <c r="D335" i="8"/>
  <c r="G336" i="6"/>
  <c r="J336" i="6" s="1"/>
  <c r="I337" i="6"/>
  <c r="L337" i="6" s="1"/>
  <c r="H337" i="6"/>
  <c r="K337" i="6" s="1"/>
  <c r="D337" i="6"/>
  <c r="F337" i="6"/>
  <c r="E337" i="6"/>
  <c r="E338" i="7"/>
  <c r="D338" i="7"/>
  <c r="F339" i="7" s="1"/>
  <c r="G337" i="7"/>
  <c r="J337" i="7" s="1"/>
  <c r="I338" i="7"/>
  <c r="L338" i="7" s="1"/>
  <c r="H338" i="7"/>
  <c r="K338" i="7" s="1"/>
  <c r="F336" i="8" l="1"/>
  <c r="M336" i="8"/>
  <c r="Q336" i="8" s="1"/>
  <c r="K336" i="8"/>
  <c r="I336" i="8"/>
  <c r="M336" i="9"/>
  <c r="Q336" i="9" s="1"/>
  <c r="K336" i="9"/>
  <c r="P336" i="9" s="1"/>
  <c r="G335" i="9"/>
  <c r="N335" i="9" s="1"/>
  <c r="I336" i="9"/>
  <c r="O336" i="9" s="1"/>
  <c r="E336" i="9"/>
  <c r="D336" i="9"/>
  <c r="F337" i="9" s="1"/>
  <c r="O336" i="8"/>
  <c r="E336" i="8"/>
  <c r="G335" i="8"/>
  <c r="N335" i="8" s="1"/>
  <c r="P336" i="8"/>
  <c r="D336" i="8"/>
  <c r="I338" i="6"/>
  <c r="L338" i="6" s="1"/>
  <c r="H338" i="6"/>
  <c r="K338" i="6" s="1"/>
  <c r="F338" i="6"/>
  <c r="E338" i="6"/>
  <c r="D338" i="6"/>
  <c r="G337" i="6"/>
  <c r="J337" i="6" s="1"/>
  <c r="D339" i="7"/>
  <c r="F340" i="7" s="1"/>
  <c r="E339" i="7"/>
  <c r="H339" i="7"/>
  <c r="K339" i="7" s="1"/>
  <c r="I339" i="7"/>
  <c r="L339" i="7" s="1"/>
  <c r="G338" i="7"/>
  <c r="J338" i="7" s="1"/>
  <c r="F337" i="8" l="1"/>
  <c r="M337" i="8"/>
  <c r="K337" i="8"/>
  <c r="I337" i="8"/>
  <c r="Q337" i="8"/>
  <c r="D337" i="9"/>
  <c r="F338" i="9" s="1"/>
  <c r="M337" i="9"/>
  <c r="Q337" i="9" s="1"/>
  <c r="K337" i="9"/>
  <c r="P337" i="9" s="1"/>
  <c r="G336" i="9"/>
  <c r="N336" i="9" s="1"/>
  <c r="I337" i="9"/>
  <c r="O337" i="9" s="1"/>
  <c r="E337" i="9"/>
  <c r="G336" i="8"/>
  <c r="N336" i="8" s="1"/>
  <c r="P337" i="8"/>
  <c r="O337" i="8"/>
  <c r="E337" i="8"/>
  <c r="D337" i="8"/>
  <c r="G338" i="6"/>
  <c r="J338" i="6" s="1"/>
  <c r="I339" i="6"/>
  <c r="L339" i="6" s="1"/>
  <c r="H339" i="6"/>
  <c r="K339" i="6" s="1"/>
  <c r="F339" i="6"/>
  <c r="E339" i="6"/>
  <c r="D339" i="6"/>
  <c r="D340" i="7"/>
  <c r="F341" i="7" s="1"/>
  <c r="E340" i="7"/>
  <c r="G339" i="7"/>
  <c r="J339" i="7" s="1"/>
  <c r="F338" i="8" l="1"/>
  <c r="M338" i="8"/>
  <c r="Q338" i="8" s="1"/>
  <c r="K338" i="8"/>
  <c r="I338" i="8"/>
  <c r="E338" i="9"/>
  <c r="D338" i="9"/>
  <c r="F339" i="9" s="1"/>
  <c r="I338" i="9"/>
  <c r="O338" i="9" s="1"/>
  <c r="M338" i="9"/>
  <c r="Q338" i="9" s="1"/>
  <c r="G337" i="9"/>
  <c r="N337" i="9" s="1"/>
  <c r="K338" i="9"/>
  <c r="P338" i="9" s="1"/>
  <c r="E338" i="8"/>
  <c r="O338" i="8"/>
  <c r="D338" i="8"/>
  <c r="G337" i="8"/>
  <c r="N337" i="8" s="1"/>
  <c r="P338" i="8"/>
  <c r="H340" i="6"/>
  <c r="K340" i="6" s="1"/>
  <c r="F340" i="6"/>
  <c r="E340" i="6"/>
  <c r="D340" i="6"/>
  <c r="G339" i="6"/>
  <c r="J339" i="6" s="1"/>
  <c r="I340" i="6"/>
  <c r="L340" i="6" s="1"/>
  <c r="D341" i="7"/>
  <c r="F342" i="7" s="1"/>
  <c r="E341" i="7"/>
  <c r="H340" i="7"/>
  <c r="K340" i="7" s="1"/>
  <c r="I340" i="7"/>
  <c r="L340" i="7" s="1"/>
  <c r="H341" i="7"/>
  <c r="K341" i="7" s="1"/>
  <c r="I341" i="7"/>
  <c r="L341" i="7" s="1"/>
  <c r="G340" i="7"/>
  <c r="J340" i="7" s="1"/>
  <c r="F339" i="8" l="1"/>
  <c r="M339" i="8"/>
  <c r="K339" i="8"/>
  <c r="I339" i="8"/>
  <c r="Q339" i="8"/>
  <c r="M339" i="9"/>
  <c r="Q339" i="9" s="1"/>
  <c r="G338" i="9"/>
  <c r="N338" i="9" s="1"/>
  <c r="K339" i="9"/>
  <c r="P339" i="9" s="1"/>
  <c r="I339" i="9"/>
  <c r="O339" i="9" s="1"/>
  <c r="E339" i="9"/>
  <c r="D339" i="9"/>
  <c r="F340" i="9" s="1"/>
  <c r="O339" i="8"/>
  <c r="G338" i="8"/>
  <c r="N338" i="8" s="1"/>
  <c r="P339" i="8"/>
  <c r="D339" i="8"/>
  <c r="E339" i="8"/>
  <c r="G340" i="6"/>
  <c r="J340" i="6" s="1"/>
  <c r="I341" i="6"/>
  <c r="L341" i="6" s="1"/>
  <c r="H341" i="6"/>
  <c r="K341" i="6" s="1"/>
  <c r="F341" i="6"/>
  <c r="E341" i="6"/>
  <c r="D341" i="6"/>
  <c r="D342" i="7"/>
  <c r="F343" i="7" s="1"/>
  <c r="E342" i="7"/>
  <c r="G341" i="7"/>
  <c r="J341" i="7" s="1"/>
  <c r="F340" i="8" l="1"/>
  <c r="M340" i="8"/>
  <c r="K340" i="8"/>
  <c r="I340" i="8"/>
  <c r="Q340" i="8"/>
  <c r="I340" i="9"/>
  <c r="O340" i="9" s="1"/>
  <c r="G339" i="9"/>
  <c r="N339" i="9" s="1"/>
  <c r="D340" i="9"/>
  <c r="F341" i="9" s="1"/>
  <c r="M340" i="9"/>
  <c r="Q340" i="9" s="1"/>
  <c r="K340" i="9"/>
  <c r="P340" i="9" s="1"/>
  <c r="E340" i="9"/>
  <c r="D340" i="8"/>
  <c r="P340" i="8"/>
  <c r="O340" i="8"/>
  <c r="E340" i="8"/>
  <c r="G339" i="8"/>
  <c r="N339" i="8" s="1"/>
  <c r="F342" i="6"/>
  <c r="E342" i="6"/>
  <c r="D342" i="6"/>
  <c r="G341" i="6"/>
  <c r="J341" i="6" s="1"/>
  <c r="I342" i="6"/>
  <c r="L342" i="6" s="1"/>
  <c r="H342" i="6"/>
  <c r="K342" i="6" s="1"/>
  <c r="D343" i="7"/>
  <c r="F344" i="7" s="1"/>
  <c r="E343" i="7"/>
  <c r="I342" i="7"/>
  <c r="L342" i="7" s="1"/>
  <c r="H342" i="7"/>
  <c r="K342" i="7" s="1"/>
  <c r="I343" i="7"/>
  <c r="L343" i="7" s="1"/>
  <c r="G342" i="7"/>
  <c r="J342" i="7" s="1"/>
  <c r="H343" i="7"/>
  <c r="K343" i="7" s="1"/>
  <c r="F341" i="8" l="1"/>
  <c r="M341" i="8"/>
  <c r="I341" i="8"/>
  <c r="K341" i="8"/>
  <c r="Q341" i="8"/>
  <c r="K341" i="9"/>
  <c r="P341" i="9" s="1"/>
  <c r="D341" i="9"/>
  <c r="F342" i="9" s="1"/>
  <c r="I341" i="9"/>
  <c r="O341" i="9" s="1"/>
  <c r="E341" i="9"/>
  <c r="G340" i="9"/>
  <c r="N340" i="9" s="1"/>
  <c r="M341" i="9"/>
  <c r="Q341" i="9" s="1"/>
  <c r="O341" i="8"/>
  <c r="D341" i="8"/>
  <c r="G340" i="8"/>
  <c r="N340" i="8" s="1"/>
  <c r="P341" i="8"/>
  <c r="E341" i="8"/>
  <c r="I343" i="6"/>
  <c r="L343" i="6" s="1"/>
  <c r="H343" i="6"/>
  <c r="K343" i="6" s="1"/>
  <c r="F343" i="6"/>
  <c r="E343" i="6"/>
  <c r="D343" i="6"/>
  <c r="G342" i="6"/>
  <c r="J342" i="6" s="1"/>
  <c r="E344" i="7"/>
  <c r="D344" i="7"/>
  <c r="F345" i="7" s="1"/>
  <c r="H344" i="7"/>
  <c r="K344" i="7" s="1"/>
  <c r="I344" i="7"/>
  <c r="L344" i="7" s="1"/>
  <c r="G343" i="7"/>
  <c r="J343" i="7" s="1"/>
  <c r="F342" i="8" l="1"/>
  <c r="M342" i="8"/>
  <c r="K342" i="8"/>
  <c r="I342" i="8"/>
  <c r="Q342" i="8"/>
  <c r="M342" i="9"/>
  <c r="Q342" i="9" s="1"/>
  <c r="G341" i="9"/>
  <c r="N341" i="9" s="1"/>
  <c r="K342" i="9"/>
  <c r="P342" i="9" s="1"/>
  <c r="I342" i="9"/>
  <c r="O342" i="9" s="1"/>
  <c r="E342" i="9"/>
  <c r="D342" i="9"/>
  <c r="F343" i="9" s="1"/>
  <c r="P342" i="8"/>
  <c r="O342" i="8"/>
  <c r="G341" i="8"/>
  <c r="N341" i="8" s="1"/>
  <c r="E342" i="8"/>
  <c r="D342" i="8"/>
  <c r="D344" i="6"/>
  <c r="G343" i="6"/>
  <c r="J343" i="6" s="1"/>
  <c r="I344" i="6"/>
  <c r="L344" i="6" s="1"/>
  <c r="E344" i="6"/>
  <c r="F344" i="6"/>
  <c r="H344" i="6"/>
  <c r="K344" i="6" s="1"/>
  <c r="D345" i="7"/>
  <c r="F346" i="7" s="1"/>
  <c r="E345" i="7"/>
  <c r="H345" i="7"/>
  <c r="K345" i="7" s="1"/>
  <c r="G344" i="7"/>
  <c r="J344" i="7" s="1"/>
  <c r="F343" i="8" l="1"/>
  <c r="M343" i="8"/>
  <c r="I343" i="8"/>
  <c r="K343" i="8"/>
  <c r="Q343" i="8"/>
  <c r="E343" i="9"/>
  <c r="D343" i="9"/>
  <c r="F344" i="9" s="1"/>
  <c r="G342" i="9"/>
  <c r="N342" i="9" s="1"/>
  <c r="M343" i="9"/>
  <c r="Q343" i="9" s="1"/>
  <c r="K343" i="9"/>
  <c r="P343" i="9" s="1"/>
  <c r="I343" i="9"/>
  <c r="O343" i="9" s="1"/>
  <c r="P343" i="8"/>
  <c r="O343" i="8"/>
  <c r="D343" i="8"/>
  <c r="E343" i="8"/>
  <c r="G342" i="8"/>
  <c r="N342" i="8" s="1"/>
  <c r="I345" i="6"/>
  <c r="L345" i="6" s="1"/>
  <c r="H345" i="6"/>
  <c r="K345" i="6" s="1"/>
  <c r="F345" i="6"/>
  <c r="E345" i="6"/>
  <c r="D345" i="6"/>
  <c r="G344" i="6"/>
  <c r="J344" i="6" s="1"/>
  <c r="D346" i="7"/>
  <c r="F347" i="7" s="1"/>
  <c r="E346" i="7"/>
  <c r="I346" i="7"/>
  <c r="L346" i="7" s="1"/>
  <c r="H346" i="7"/>
  <c r="K346" i="7" s="1"/>
  <c r="G345" i="7"/>
  <c r="J345" i="7" s="1"/>
  <c r="I345" i="7"/>
  <c r="L345" i="7" s="1"/>
  <c r="F344" i="8" l="1"/>
  <c r="K344" i="8"/>
  <c r="M344" i="8"/>
  <c r="I344" i="8"/>
  <c r="Q344" i="8"/>
  <c r="M344" i="9"/>
  <c r="Q344" i="9" s="1"/>
  <c r="K344" i="9"/>
  <c r="P344" i="9" s="1"/>
  <c r="I344" i="9"/>
  <c r="O344" i="9" s="1"/>
  <c r="E344" i="9"/>
  <c r="D344" i="9"/>
  <c r="F345" i="9" s="1"/>
  <c r="G343" i="9"/>
  <c r="N343" i="9" s="1"/>
  <c r="P344" i="8"/>
  <c r="G343" i="8"/>
  <c r="N343" i="8" s="1"/>
  <c r="E344" i="8"/>
  <c r="D344" i="8"/>
  <c r="O344" i="8"/>
  <c r="G345" i="6"/>
  <c r="J345" i="6" s="1"/>
  <c r="I346" i="6"/>
  <c r="L346" i="6" s="1"/>
  <c r="H346" i="6"/>
  <c r="K346" i="6" s="1"/>
  <c r="F346" i="6"/>
  <c r="E346" i="6"/>
  <c r="D346" i="6"/>
  <c r="D347" i="7"/>
  <c r="F348" i="7" s="1"/>
  <c r="E347" i="7"/>
  <c r="G346" i="7"/>
  <c r="J346" i="7" s="1"/>
  <c r="F345" i="8" l="1"/>
  <c r="K345" i="8"/>
  <c r="I345" i="8"/>
  <c r="M345" i="8"/>
  <c r="Q345" i="8" s="1"/>
  <c r="D345" i="9"/>
  <c r="F346" i="9" s="1"/>
  <c r="G344" i="9"/>
  <c r="N344" i="9" s="1"/>
  <c r="M345" i="9"/>
  <c r="Q345" i="9" s="1"/>
  <c r="K345" i="9"/>
  <c r="P345" i="9" s="1"/>
  <c r="I345" i="9"/>
  <c r="O345" i="9" s="1"/>
  <c r="E345" i="9"/>
  <c r="D345" i="8"/>
  <c r="P345" i="8"/>
  <c r="O345" i="8"/>
  <c r="E345" i="8"/>
  <c r="G344" i="8"/>
  <c r="N344" i="8" s="1"/>
  <c r="I347" i="6"/>
  <c r="L347" i="6" s="1"/>
  <c r="H347" i="6"/>
  <c r="K347" i="6" s="1"/>
  <c r="F347" i="6"/>
  <c r="E347" i="6"/>
  <c r="D347" i="6"/>
  <c r="G346" i="6"/>
  <c r="J346" i="6" s="1"/>
  <c r="E348" i="7"/>
  <c r="D348" i="7"/>
  <c r="F349" i="7" s="1"/>
  <c r="H347" i="7"/>
  <c r="K347" i="7" s="1"/>
  <c r="I347" i="7"/>
  <c r="L347" i="7" s="1"/>
  <c r="I348" i="7"/>
  <c r="L348" i="7" s="1"/>
  <c r="G347" i="7"/>
  <c r="J347" i="7" s="1"/>
  <c r="H348" i="7"/>
  <c r="K348" i="7" s="1"/>
  <c r="F346" i="8" l="1"/>
  <c r="K346" i="8"/>
  <c r="I346" i="8"/>
  <c r="M346" i="8"/>
  <c r="Q346" i="8" s="1"/>
  <c r="E346" i="9"/>
  <c r="D346" i="9"/>
  <c r="F347" i="9" s="1"/>
  <c r="I346" i="9"/>
  <c r="O346" i="9" s="1"/>
  <c r="G345" i="9"/>
  <c r="N345" i="9" s="1"/>
  <c r="M346" i="9"/>
  <c r="Q346" i="9" s="1"/>
  <c r="K346" i="9"/>
  <c r="P346" i="9" s="1"/>
  <c r="G345" i="8"/>
  <c r="N345" i="8" s="1"/>
  <c r="P346" i="8"/>
  <c r="D346" i="8"/>
  <c r="O346" i="8"/>
  <c r="E346" i="8"/>
  <c r="G347" i="6"/>
  <c r="J347" i="6" s="1"/>
  <c r="I348" i="6"/>
  <c r="L348" i="6" s="1"/>
  <c r="H348" i="6"/>
  <c r="K348" i="6" s="1"/>
  <c r="F348" i="6"/>
  <c r="E348" i="6"/>
  <c r="D348" i="6"/>
  <c r="D349" i="7"/>
  <c r="F350" i="7" s="1"/>
  <c r="E349" i="7"/>
  <c r="I349" i="7"/>
  <c r="L349" i="7" s="1"/>
  <c r="H349" i="7"/>
  <c r="K349" i="7" s="1"/>
  <c r="G348" i="7"/>
  <c r="J348" i="7" s="1"/>
  <c r="F347" i="8" l="1"/>
  <c r="M347" i="8"/>
  <c r="K347" i="8"/>
  <c r="I347" i="8"/>
  <c r="Q347" i="8"/>
  <c r="G346" i="9"/>
  <c r="N346" i="9" s="1"/>
  <c r="M347" i="9"/>
  <c r="Q347" i="9" s="1"/>
  <c r="K347" i="9"/>
  <c r="P347" i="9" s="1"/>
  <c r="I347" i="9"/>
  <c r="O347" i="9" s="1"/>
  <c r="E347" i="9"/>
  <c r="D347" i="9"/>
  <c r="F348" i="9" s="1"/>
  <c r="E347" i="8"/>
  <c r="D347" i="8"/>
  <c r="G346" i="8"/>
  <c r="N346" i="8" s="1"/>
  <c r="P347" i="8"/>
  <c r="O347" i="8"/>
  <c r="F349" i="6"/>
  <c r="E349" i="6"/>
  <c r="D349" i="6"/>
  <c r="G348" i="6"/>
  <c r="J348" i="6" s="1"/>
  <c r="H349" i="6"/>
  <c r="K349" i="6" s="1"/>
  <c r="I349" i="6"/>
  <c r="L349" i="6" s="1"/>
  <c r="D350" i="7"/>
  <c r="F351" i="7" s="1"/>
  <c r="E350" i="7"/>
  <c r="G349" i="7"/>
  <c r="J349" i="7" s="1"/>
  <c r="F348" i="8" l="1"/>
  <c r="M348" i="8"/>
  <c r="K348" i="8"/>
  <c r="I348" i="8"/>
  <c r="Q348" i="8"/>
  <c r="I348" i="9"/>
  <c r="O348" i="9" s="1"/>
  <c r="G347" i="9"/>
  <c r="N347" i="9" s="1"/>
  <c r="D348" i="9"/>
  <c r="F349" i="9" s="1"/>
  <c r="E348" i="9"/>
  <c r="M348" i="9"/>
  <c r="Q348" i="9" s="1"/>
  <c r="K348" i="9"/>
  <c r="P348" i="9" s="1"/>
  <c r="P348" i="8"/>
  <c r="E348" i="8"/>
  <c r="O348" i="8"/>
  <c r="D348" i="8"/>
  <c r="G347" i="8"/>
  <c r="N347" i="8" s="1"/>
  <c r="G349" i="6"/>
  <c r="J349" i="6" s="1"/>
  <c r="I350" i="6"/>
  <c r="L350" i="6" s="1"/>
  <c r="H350" i="6"/>
  <c r="K350" i="6" s="1"/>
  <c r="F350" i="6"/>
  <c r="E350" i="6"/>
  <c r="D350" i="6"/>
  <c r="D351" i="7"/>
  <c r="F352" i="7" s="1"/>
  <c r="E351" i="7"/>
  <c r="I350" i="7"/>
  <c r="L350" i="7" s="1"/>
  <c r="H350" i="7"/>
  <c r="K350" i="7" s="1"/>
  <c r="I351" i="7"/>
  <c r="L351" i="7" s="1"/>
  <c r="G350" i="7"/>
  <c r="J350" i="7" s="1"/>
  <c r="H351" i="7"/>
  <c r="K351" i="7" s="1"/>
  <c r="F349" i="8" l="1"/>
  <c r="M349" i="8"/>
  <c r="Q349" i="8" s="1"/>
  <c r="K349" i="8"/>
  <c r="I349" i="8"/>
  <c r="K349" i="9"/>
  <c r="P349" i="9" s="1"/>
  <c r="D349" i="9"/>
  <c r="F350" i="9" s="1"/>
  <c r="M349" i="9"/>
  <c r="Q349" i="9" s="1"/>
  <c r="I349" i="9"/>
  <c r="O349" i="9" s="1"/>
  <c r="E349" i="9"/>
  <c r="G348" i="9"/>
  <c r="N348" i="9" s="1"/>
  <c r="G348" i="8"/>
  <c r="N348" i="8" s="1"/>
  <c r="O349" i="8"/>
  <c r="P349" i="8"/>
  <c r="E349" i="8"/>
  <c r="D349" i="8"/>
  <c r="I351" i="6"/>
  <c r="L351" i="6" s="1"/>
  <c r="E351" i="6"/>
  <c r="D351" i="6"/>
  <c r="G350" i="6"/>
  <c r="J350" i="6" s="1"/>
  <c r="F351" i="6"/>
  <c r="H351" i="6"/>
  <c r="K351" i="6" s="1"/>
  <c r="D352" i="7"/>
  <c r="F353" i="7" s="1"/>
  <c r="E352" i="7"/>
  <c r="I352" i="7"/>
  <c r="L352" i="7" s="1"/>
  <c r="G351" i="7"/>
  <c r="J351" i="7" s="1"/>
  <c r="H352" i="7"/>
  <c r="K352" i="7" s="1"/>
  <c r="F350" i="8" l="1"/>
  <c r="M350" i="8"/>
  <c r="K350" i="8"/>
  <c r="I350" i="8"/>
  <c r="Q350" i="8"/>
  <c r="M350" i="9"/>
  <c r="Q350" i="9" s="1"/>
  <c r="G349" i="9"/>
  <c r="N349" i="9" s="1"/>
  <c r="K350" i="9"/>
  <c r="P350" i="9" s="1"/>
  <c r="I350" i="9"/>
  <c r="O350" i="9" s="1"/>
  <c r="E350" i="9"/>
  <c r="D350" i="9"/>
  <c r="F351" i="9" s="1"/>
  <c r="P350" i="8"/>
  <c r="E350" i="8"/>
  <c r="O350" i="8"/>
  <c r="D350" i="8"/>
  <c r="G349" i="8"/>
  <c r="N349" i="8" s="1"/>
  <c r="I352" i="6"/>
  <c r="L352" i="6" s="1"/>
  <c r="H352" i="6"/>
  <c r="K352" i="6" s="1"/>
  <c r="F352" i="6"/>
  <c r="E352" i="6"/>
  <c r="D352" i="6"/>
  <c r="G351" i="6"/>
  <c r="J351" i="6" s="1"/>
  <c r="D353" i="7"/>
  <c r="F354" i="7" s="1"/>
  <c r="E353" i="7"/>
  <c r="I353" i="7"/>
  <c r="L353" i="7" s="1"/>
  <c r="H353" i="7"/>
  <c r="K353" i="7" s="1"/>
  <c r="G352" i="7"/>
  <c r="J352" i="7" s="1"/>
  <c r="F351" i="8" l="1"/>
  <c r="M351" i="8"/>
  <c r="K351" i="8"/>
  <c r="I351" i="8"/>
  <c r="Q351" i="8"/>
  <c r="I351" i="9"/>
  <c r="O351" i="9" s="1"/>
  <c r="E351" i="9"/>
  <c r="D351" i="9"/>
  <c r="F352" i="9" s="1"/>
  <c r="G350" i="9"/>
  <c r="N350" i="9" s="1"/>
  <c r="M351" i="9"/>
  <c r="Q351" i="9" s="1"/>
  <c r="K351" i="9"/>
  <c r="P351" i="9" s="1"/>
  <c r="P351" i="8"/>
  <c r="G350" i="8"/>
  <c r="N350" i="8" s="1"/>
  <c r="E351" i="8"/>
  <c r="D351" i="8"/>
  <c r="O351" i="8"/>
  <c r="G352" i="6"/>
  <c r="J352" i="6" s="1"/>
  <c r="I353" i="6"/>
  <c r="L353" i="6" s="1"/>
  <c r="E353" i="6"/>
  <c r="H353" i="6"/>
  <c r="K353" i="6" s="1"/>
  <c r="F353" i="6"/>
  <c r="D353" i="6"/>
  <c r="D354" i="7"/>
  <c r="F355" i="7" s="1"/>
  <c r="E354" i="7"/>
  <c r="I354" i="7"/>
  <c r="L354" i="7" s="1"/>
  <c r="G353" i="7"/>
  <c r="J353" i="7" s="1"/>
  <c r="H354" i="7"/>
  <c r="K354" i="7" s="1"/>
  <c r="F352" i="8" l="1"/>
  <c r="M352" i="8"/>
  <c r="Q352" i="8" s="1"/>
  <c r="K352" i="8"/>
  <c r="I352" i="8"/>
  <c r="I352" i="9"/>
  <c r="O352" i="9" s="1"/>
  <c r="G351" i="9"/>
  <c r="N351" i="9" s="1"/>
  <c r="M352" i="9"/>
  <c r="Q352" i="9" s="1"/>
  <c r="K352" i="9"/>
  <c r="P352" i="9" s="1"/>
  <c r="E352" i="9"/>
  <c r="D352" i="9"/>
  <c r="F353" i="9" s="1"/>
  <c r="P352" i="8"/>
  <c r="E352" i="8"/>
  <c r="G351" i="8"/>
  <c r="N351" i="8" s="1"/>
  <c r="O352" i="8"/>
  <c r="D352" i="8"/>
  <c r="F354" i="6"/>
  <c r="E354" i="6"/>
  <c r="D354" i="6"/>
  <c r="G353" i="6"/>
  <c r="J353" i="6" s="1"/>
  <c r="I354" i="6"/>
  <c r="L354" i="6" s="1"/>
  <c r="H354" i="6"/>
  <c r="K354" i="6" s="1"/>
  <c r="D355" i="7"/>
  <c r="F356" i="7" s="1"/>
  <c r="E355" i="7"/>
  <c r="H355" i="7"/>
  <c r="K355" i="7" s="1"/>
  <c r="I355" i="7"/>
  <c r="L355" i="7" s="1"/>
  <c r="G354" i="7"/>
  <c r="J354" i="7" s="1"/>
  <c r="F353" i="8" l="1"/>
  <c r="M353" i="8"/>
  <c r="K353" i="8"/>
  <c r="I353" i="8"/>
  <c r="Q353" i="8"/>
  <c r="D353" i="9"/>
  <c r="F354" i="9" s="1"/>
  <c r="K353" i="9"/>
  <c r="P353" i="9" s="1"/>
  <c r="E353" i="9"/>
  <c r="G352" i="9"/>
  <c r="N352" i="9" s="1"/>
  <c r="M353" i="9"/>
  <c r="Q353" i="9" s="1"/>
  <c r="I353" i="9"/>
  <c r="O353" i="9" s="1"/>
  <c r="D353" i="8"/>
  <c r="G352" i="8"/>
  <c r="N352" i="8" s="1"/>
  <c r="O353" i="8"/>
  <c r="P353" i="8"/>
  <c r="E353" i="8"/>
  <c r="G354" i="6"/>
  <c r="J354" i="6" s="1"/>
  <c r="I355" i="6"/>
  <c r="L355" i="6" s="1"/>
  <c r="H355" i="6"/>
  <c r="K355" i="6" s="1"/>
  <c r="E355" i="6"/>
  <c r="D355" i="6"/>
  <c r="F355" i="6"/>
  <c r="D356" i="7"/>
  <c r="F357" i="7" s="1"/>
  <c r="E356" i="7"/>
  <c r="I356" i="7"/>
  <c r="L356" i="7" s="1"/>
  <c r="H356" i="7"/>
  <c r="K356" i="7" s="1"/>
  <c r="G355" i="7"/>
  <c r="J355" i="7" s="1"/>
  <c r="F354" i="8" l="1"/>
  <c r="M354" i="8"/>
  <c r="Q354" i="8" s="1"/>
  <c r="K354" i="8"/>
  <c r="I354" i="8"/>
  <c r="E354" i="9"/>
  <c r="D354" i="9"/>
  <c r="F355" i="9" s="1"/>
  <c r="M354" i="9"/>
  <c r="Q354" i="9" s="1"/>
  <c r="G353" i="9"/>
  <c r="N353" i="9" s="1"/>
  <c r="K354" i="9"/>
  <c r="P354" i="9" s="1"/>
  <c r="I354" i="9"/>
  <c r="O354" i="9" s="1"/>
  <c r="G353" i="8"/>
  <c r="N353" i="8" s="1"/>
  <c r="P354" i="8"/>
  <c r="E354" i="8"/>
  <c r="O354" i="8"/>
  <c r="D354" i="8"/>
  <c r="E356" i="6"/>
  <c r="D356" i="6"/>
  <c r="G355" i="6"/>
  <c r="J355" i="6" s="1"/>
  <c r="I356" i="6"/>
  <c r="L356" i="6" s="1"/>
  <c r="H356" i="6"/>
  <c r="K356" i="6" s="1"/>
  <c r="F356" i="6"/>
  <c r="D357" i="7"/>
  <c r="F358" i="7" s="1"/>
  <c r="E357" i="7"/>
  <c r="H357" i="7"/>
  <c r="K357" i="7" s="1"/>
  <c r="I357" i="7"/>
  <c r="L357" i="7" s="1"/>
  <c r="G356" i="7"/>
  <c r="J356" i="7" s="1"/>
  <c r="F355" i="8" l="1"/>
  <c r="M355" i="8"/>
  <c r="K355" i="8"/>
  <c r="I355" i="8"/>
  <c r="Q355" i="8"/>
  <c r="D355" i="9"/>
  <c r="F356" i="9" s="1"/>
  <c r="G354" i="9"/>
  <c r="N354" i="9" s="1"/>
  <c r="M355" i="9"/>
  <c r="Q355" i="9" s="1"/>
  <c r="K355" i="9"/>
  <c r="P355" i="9" s="1"/>
  <c r="I355" i="9"/>
  <c r="O355" i="9" s="1"/>
  <c r="E355" i="9"/>
  <c r="E355" i="8"/>
  <c r="G354" i="8"/>
  <c r="N354" i="8" s="1"/>
  <c r="O355" i="8"/>
  <c r="D355" i="8"/>
  <c r="P355" i="8"/>
  <c r="I357" i="6"/>
  <c r="L357" i="6" s="1"/>
  <c r="H357" i="6"/>
  <c r="K357" i="6" s="1"/>
  <c r="F357" i="6"/>
  <c r="E357" i="6"/>
  <c r="D357" i="6"/>
  <c r="G356" i="6"/>
  <c r="J356" i="6" s="1"/>
  <c r="D358" i="7"/>
  <c r="F359" i="7" s="1"/>
  <c r="E358" i="7"/>
  <c r="H358" i="7"/>
  <c r="K358" i="7" s="1"/>
  <c r="G357" i="7"/>
  <c r="J357" i="7" s="1"/>
  <c r="F356" i="8" l="1"/>
  <c r="M356" i="8"/>
  <c r="K356" i="8"/>
  <c r="I356" i="8"/>
  <c r="Q356" i="8"/>
  <c r="I356" i="9"/>
  <c r="O356" i="9" s="1"/>
  <c r="G355" i="9"/>
  <c r="N355" i="9" s="1"/>
  <c r="D356" i="9"/>
  <c r="F357" i="9" s="1"/>
  <c r="M356" i="9"/>
  <c r="Q356" i="9" s="1"/>
  <c r="K356" i="9"/>
  <c r="P356" i="9" s="1"/>
  <c r="E356" i="9"/>
  <c r="P356" i="8"/>
  <c r="E356" i="8"/>
  <c r="O356" i="8"/>
  <c r="D356" i="8"/>
  <c r="G355" i="8"/>
  <c r="N355" i="8" s="1"/>
  <c r="G357" i="6"/>
  <c r="J357" i="6" s="1"/>
  <c r="H358" i="6"/>
  <c r="K358" i="6" s="1"/>
  <c r="I358" i="6"/>
  <c r="L358" i="6" s="1"/>
  <c r="F358" i="6"/>
  <c r="E358" i="6"/>
  <c r="D358" i="6"/>
  <c r="E359" i="7"/>
  <c r="D359" i="7"/>
  <c r="F360" i="7" s="1"/>
  <c r="I358" i="7"/>
  <c r="L358" i="7" s="1"/>
  <c r="I359" i="7"/>
  <c r="L359" i="7" s="1"/>
  <c r="G358" i="7"/>
  <c r="J358" i="7" s="1"/>
  <c r="H359" i="7"/>
  <c r="K359" i="7" s="1"/>
  <c r="F357" i="8" l="1"/>
  <c r="M357" i="8"/>
  <c r="K357" i="8"/>
  <c r="I357" i="8"/>
  <c r="Q357" i="8"/>
  <c r="K357" i="9"/>
  <c r="P357" i="9" s="1"/>
  <c r="D357" i="9"/>
  <c r="F358" i="9" s="1"/>
  <c r="G356" i="9"/>
  <c r="N356" i="9" s="1"/>
  <c r="M357" i="9"/>
  <c r="Q357" i="9" s="1"/>
  <c r="I357" i="9"/>
  <c r="O357" i="9" s="1"/>
  <c r="E357" i="9"/>
  <c r="G356" i="8"/>
  <c r="N356" i="8" s="1"/>
  <c r="O357" i="8"/>
  <c r="P357" i="8"/>
  <c r="D357" i="8"/>
  <c r="E357" i="8"/>
  <c r="I359" i="6"/>
  <c r="L359" i="6" s="1"/>
  <c r="H359" i="6"/>
  <c r="K359" i="6" s="1"/>
  <c r="F359" i="6"/>
  <c r="E359" i="6"/>
  <c r="D359" i="6"/>
  <c r="G358" i="6"/>
  <c r="J358" i="6" s="1"/>
  <c r="D360" i="7"/>
  <c r="F361" i="7" s="1"/>
  <c r="E360" i="7"/>
  <c r="H360" i="7"/>
  <c r="K360" i="7" s="1"/>
  <c r="I360" i="7"/>
  <c r="L360" i="7" s="1"/>
  <c r="G359" i="7"/>
  <c r="J359" i="7" s="1"/>
  <c r="F358" i="8" l="1"/>
  <c r="M358" i="8"/>
  <c r="K358" i="8"/>
  <c r="I358" i="8"/>
  <c r="Q358" i="8"/>
  <c r="M358" i="9"/>
  <c r="Q358" i="9" s="1"/>
  <c r="E358" i="9"/>
  <c r="K358" i="9"/>
  <c r="P358" i="9" s="1"/>
  <c r="I358" i="9"/>
  <c r="O358" i="9" s="1"/>
  <c r="D358" i="9"/>
  <c r="F359" i="9" s="1"/>
  <c r="G357" i="9"/>
  <c r="N357" i="9" s="1"/>
  <c r="O358" i="8"/>
  <c r="E358" i="8"/>
  <c r="P358" i="8"/>
  <c r="D358" i="8"/>
  <c r="G357" i="8"/>
  <c r="N357" i="8" s="1"/>
  <c r="G359" i="6"/>
  <c r="J359" i="6" s="1"/>
  <c r="H360" i="6"/>
  <c r="K360" i="6" s="1"/>
  <c r="F360" i="6"/>
  <c r="D360" i="6"/>
  <c r="I360" i="6"/>
  <c r="L360" i="6" s="1"/>
  <c r="E360" i="6"/>
  <c r="D361" i="7"/>
  <c r="F362" i="7" s="1"/>
  <c r="E361" i="7"/>
  <c r="H361" i="7"/>
  <c r="K361" i="7" s="1"/>
  <c r="I361" i="7"/>
  <c r="L361" i="7" s="1"/>
  <c r="G360" i="7"/>
  <c r="J360" i="7" s="1"/>
  <c r="F359" i="8" l="1"/>
  <c r="M359" i="8"/>
  <c r="I359" i="8"/>
  <c r="K359" i="8"/>
  <c r="Q359" i="8"/>
  <c r="G358" i="9"/>
  <c r="N358" i="9" s="1"/>
  <c r="M359" i="9"/>
  <c r="Q359" i="9" s="1"/>
  <c r="K359" i="9"/>
  <c r="P359" i="9" s="1"/>
  <c r="I359" i="9"/>
  <c r="O359" i="9" s="1"/>
  <c r="E359" i="9"/>
  <c r="D359" i="9"/>
  <c r="F360" i="9" s="1"/>
  <c r="G358" i="8"/>
  <c r="N358" i="8" s="1"/>
  <c r="O359" i="8"/>
  <c r="P359" i="8"/>
  <c r="E359" i="8"/>
  <c r="D359" i="8"/>
  <c r="H361" i="6"/>
  <c r="K361" i="6" s="1"/>
  <c r="F361" i="6"/>
  <c r="E361" i="6"/>
  <c r="D361" i="6"/>
  <c r="I361" i="6"/>
  <c r="L361" i="6" s="1"/>
  <c r="G360" i="6"/>
  <c r="J360" i="6" s="1"/>
  <c r="D362" i="7"/>
  <c r="F363" i="7" s="1"/>
  <c r="E362" i="7"/>
  <c r="I362" i="7"/>
  <c r="L362" i="7" s="1"/>
  <c r="G361" i="7"/>
  <c r="J361" i="7" s="1"/>
  <c r="F360" i="8" l="1"/>
  <c r="K360" i="8"/>
  <c r="M360" i="8"/>
  <c r="I360" i="8"/>
  <c r="Q360" i="8"/>
  <c r="I360" i="9"/>
  <c r="O360" i="9" s="1"/>
  <c r="G359" i="9"/>
  <c r="N359" i="9" s="1"/>
  <c r="K360" i="9"/>
  <c r="P360" i="9" s="1"/>
  <c r="E360" i="9"/>
  <c r="D360" i="9"/>
  <c r="F361" i="9" s="1"/>
  <c r="M360" i="9"/>
  <c r="Q360" i="9" s="1"/>
  <c r="O360" i="8"/>
  <c r="E360" i="8"/>
  <c r="P360" i="8"/>
  <c r="G359" i="8"/>
  <c r="N359" i="8" s="1"/>
  <c r="D360" i="8"/>
  <c r="G361" i="6"/>
  <c r="J361" i="6" s="1"/>
  <c r="I362" i="6"/>
  <c r="L362" i="6" s="1"/>
  <c r="H362" i="6"/>
  <c r="K362" i="6" s="1"/>
  <c r="F362" i="6"/>
  <c r="D362" i="6"/>
  <c r="E362" i="6"/>
  <c r="D363" i="7"/>
  <c r="F364" i="7" s="1"/>
  <c r="E363" i="7"/>
  <c r="H362" i="7"/>
  <c r="K362" i="7" s="1"/>
  <c r="G362" i="7"/>
  <c r="J362" i="7" s="1"/>
  <c r="H363" i="7"/>
  <c r="K363" i="7" s="1"/>
  <c r="I363" i="7"/>
  <c r="L363" i="7" s="1"/>
  <c r="F361" i="8" l="1"/>
  <c r="K361" i="8"/>
  <c r="M361" i="8"/>
  <c r="I361" i="8"/>
  <c r="Q361" i="8"/>
  <c r="D361" i="9"/>
  <c r="F362" i="9" s="1"/>
  <c r="K361" i="9"/>
  <c r="P361" i="9" s="1"/>
  <c r="G360" i="9"/>
  <c r="N360" i="9" s="1"/>
  <c r="M361" i="9"/>
  <c r="Q361" i="9" s="1"/>
  <c r="I361" i="9"/>
  <c r="O361" i="9" s="1"/>
  <c r="E361" i="9"/>
  <c r="G360" i="8"/>
  <c r="N360" i="8" s="1"/>
  <c r="O361" i="8"/>
  <c r="E361" i="8"/>
  <c r="D361" i="8"/>
  <c r="P361" i="8"/>
  <c r="F363" i="6"/>
  <c r="E363" i="6"/>
  <c r="D363" i="6"/>
  <c r="I363" i="6"/>
  <c r="L363" i="6" s="1"/>
  <c r="H363" i="6"/>
  <c r="K363" i="6" s="1"/>
  <c r="G362" i="6"/>
  <c r="J362" i="6" s="1"/>
  <c r="E364" i="7"/>
  <c r="D364" i="7"/>
  <c r="F365" i="7" s="1"/>
  <c r="I364" i="7"/>
  <c r="L364" i="7" s="1"/>
  <c r="G363" i="7"/>
  <c r="J363" i="7" s="1"/>
  <c r="H364" i="7"/>
  <c r="K364" i="7" s="1"/>
  <c r="F362" i="8" l="1"/>
  <c r="K362" i="8"/>
  <c r="I362" i="8"/>
  <c r="M362" i="8"/>
  <c r="Q362" i="8" s="1"/>
  <c r="E362" i="9"/>
  <c r="D362" i="9"/>
  <c r="F363" i="9" s="1"/>
  <c r="M362" i="9"/>
  <c r="Q362" i="9" s="1"/>
  <c r="K362" i="9"/>
  <c r="P362" i="9" s="1"/>
  <c r="I362" i="9"/>
  <c r="O362" i="9" s="1"/>
  <c r="G361" i="9"/>
  <c r="N361" i="9" s="1"/>
  <c r="P362" i="8"/>
  <c r="O362" i="8"/>
  <c r="D362" i="8"/>
  <c r="E362" i="8"/>
  <c r="G361" i="8"/>
  <c r="N361" i="8" s="1"/>
  <c r="I364" i="6"/>
  <c r="L364" i="6" s="1"/>
  <c r="H364" i="6"/>
  <c r="K364" i="6" s="1"/>
  <c r="F364" i="6"/>
  <c r="D364" i="6"/>
  <c r="E364" i="6"/>
  <c r="G363" i="6"/>
  <c r="J363" i="6" s="1"/>
  <c r="D365" i="7"/>
  <c r="F366" i="7" s="1"/>
  <c r="E365" i="7"/>
  <c r="H365" i="7"/>
  <c r="K365" i="7" s="1"/>
  <c r="I365" i="7"/>
  <c r="L365" i="7" s="1"/>
  <c r="G364" i="7"/>
  <c r="J364" i="7" s="1"/>
  <c r="F363" i="8" l="1"/>
  <c r="M363" i="8"/>
  <c r="Q363" i="8" s="1"/>
  <c r="K363" i="8"/>
  <c r="I363" i="8"/>
  <c r="E363" i="9"/>
  <c r="G362" i="9"/>
  <c r="N362" i="9" s="1"/>
  <c r="M363" i="9"/>
  <c r="Q363" i="9" s="1"/>
  <c r="K363" i="9"/>
  <c r="P363" i="9" s="1"/>
  <c r="I363" i="9"/>
  <c r="O363" i="9" s="1"/>
  <c r="D363" i="9"/>
  <c r="F364" i="9" s="1"/>
  <c r="G362" i="8"/>
  <c r="N362" i="8" s="1"/>
  <c r="O363" i="8"/>
  <c r="P363" i="8"/>
  <c r="E363" i="8"/>
  <c r="D363" i="8"/>
  <c r="D365" i="6"/>
  <c r="G364" i="6"/>
  <c r="J364" i="6" s="1"/>
  <c r="I365" i="6"/>
  <c r="L365" i="6" s="1"/>
  <c r="E365" i="6"/>
  <c r="H365" i="6"/>
  <c r="K365" i="6" s="1"/>
  <c r="F365" i="6"/>
  <c r="D366" i="7"/>
  <c r="F367" i="7" s="1"/>
  <c r="E366" i="7"/>
  <c r="G365" i="7"/>
  <c r="J365" i="7" s="1"/>
  <c r="F364" i="8" l="1"/>
  <c r="M364" i="8"/>
  <c r="Q364" i="8" s="1"/>
  <c r="K364" i="8"/>
  <c r="I364" i="8"/>
  <c r="I364" i="9"/>
  <c r="O364" i="9" s="1"/>
  <c r="G363" i="9"/>
  <c r="N363" i="9" s="1"/>
  <c r="D364" i="9"/>
  <c r="F365" i="9" s="1"/>
  <c r="M364" i="9"/>
  <c r="Q364" i="9" s="1"/>
  <c r="K364" i="9"/>
  <c r="P364" i="9" s="1"/>
  <c r="E364" i="9"/>
  <c r="D364" i="8"/>
  <c r="P364" i="8"/>
  <c r="O364" i="8"/>
  <c r="E364" i="8"/>
  <c r="G363" i="8"/>
  <c r="N363" i="8" s="1"/>
  <c r="I366" i="6"/>
  <c r="L366" i="6" s="1"/>
  <c r="H366" i="6"/>
  <c r="K366" i="6" s="1"/>
  <c r="F366" i="6"/>
  <c r="E366" i="6"/>
  <c r="D366" i="6"/>
  <c r="G365" i="6"/>
  <c r="J365" i="6" s="1"/>
  <c r="D367" i="7"/>
  <c r="F368" i="7" s="1"/>
  <c r="E367" i="7"/>
  <c r="I366" i="7"/>
  <c r="L366" i="7" s="1"/>
  <c r="H366" i="7"/>
  <c r="K366" i="7" s="1"/>
  <c r="I367" i="7"/>
  <c r="L367" i="7" s="1"/>
  <c r="G366" i="7"/>
  <c r="J366" i="7" s="1"/>
  <c r="H367" i="7"/>
  <c r="K367" i="7" s="1"/>
  <c r="F365" i="8" l="1"/>
  <c r="M365" i="8"/>
  <c r="I365" i="8"/>
  <c r="K365" i="8"/>
  <c r="Q365" i="8"/>
  <c r="K365" i="9"/>
  <c r="P365" i="9" s="1"/>
  <c r="I365" i="9"/>
  <c r="O365" i="9" s="1"/>
  <c r="G364" i="9"/>
  <c r="N364" i="9" s="1"/>
  <c r="E365" i="9"/>
  <c r="D365" i="9"/>
  <c r="F366" i="9" s="1"/>
  <c r="M365" i="9"/>
  <c r="Q365" i="9" s="1"/>
  <c r="O365" i="8"/>
  <c r="G364" i="8"/>
  <c r="N364" i="8" s="1"/>
  <c r="P365" i="8"/>
  <c r="E365" i="8"/>
  <c r="D365" i="8"/>
  <c r="G366" i="6"/>
  <c r="J366" i="6" s="1"/>
  <c r="I367" i="6"/>
  <c r="L367" i="6" s="1"/>
  <c r="H367" i="6"/>
  <c r="K367" i="6" s="1"/>
  <c r="F367" i="6"/>
  <c r="E367" i="6"/>
  <c r="D367" i="6"/>
  <c r="E368" i="7"/>
  <c r="D368" i="7"/>
  <c r="F369" i="7" s="1"/>
  <c r="I368" i="7"/>
  <c r="L368" i="7" s="1"/>
  <c r="G367" i="7"/>
  <c r="J367" i="7" s="1"/>
  <c r="F366" i="8" l="1"/>
  <c r="M366" i="8"/>
  <c r="K366" i="8"/>
  <c r="I366" i="8"/>
  <c r="Q366" i="8"/>
  <c r="M366" i="9"/>
  <c r="Q366" i="9" s="1"/>
  <c r="K366" i="9"/>
  <c r="P366" i="9" s="1"/>
  <c r="E366" i="9"/>
  <c r="I366" i="9"/>
  <c r="O366" i="9" s="1"/>
  <c r="D366" i="9"/>
  <c r="F367" i="9" s="1"/>
  <c r="G365" i="9"/>
  <c r="N365" i="9" s="1"/>
  <c r="P366" i="8"/>
  <c r="O366" i="8"/>
  <c r="E366" i="8"/>
  <c r="D366" i="8"/>
  <c r="G365" i="8"/>
  <c r="N365" i="8" s="1"/>
  <c r="I368" i="6"/>
  <c r="L368" i="6" s="1"/>
  <c r="H368" i="6"/>
  <c r="K368" i="6" s="1"/>
  <c r="F368" i="6"/>
  <c r="E368" i="6"/>
  <c r="D368" i="6"/>
  <c r="G367" i="6"/>
  <c r="J367" i="6" s="1"/>
  <c r="E369" i="7"/>
  <c r="D369" i="7"/>
  <c r="F370" i="7" s="1"/>
  <c r="H368" i="7"/>
  <c r="K368" i="7" s="1"/>
  <c r="H369" i="7"/>
  <c r="K369" i="7" s="1"/>
  <c r="G368" i="7"/>
  <c r="J368" i="7" s="1"/>
  <c r="F367" i="8" l="1"/>
  <c r="M367" i="8"/>
  <c r="I367" i="8"/>
  <c r="K367" i="8"/>
  <c r="Q367" i="8"/>
  <c r="M367" i="9"/>
  <c r="Q367" i="9" s="1"/>
  <c r="I367" i="9"/>
  <c r="O367" i="9" s="1"/>
  <c r="G366" i="9"/>
  <c r="N366" i="9" s="1"/>
  <c r="E367" i="9"/>
  <c r="D367" i="9"/>
  <c r="F368" i="9" s="1"/>
  <c r="K367" i="9"/>
  <c r="P367" i="9" s="1"/>
  <c r="P367" i="8"/>
  <c r="G366" i="8"/>
  <c r="N366" i="8" s="1"/>
  <c r="O367" i="8"/>
  <c r="E367" i="8"/>
  <c r="D367" i="8"/>
  <c r="G368" i="6"/>
  <c r="J368" i="6" s="1"/>
  <c r="I369" i="6"/>
  <c r="L369" i="6" s="1"/>
  <c r="H369" i="6"/>
  <c r="K369" i="6" s="1"/>
  <c r="F369" i="6"/>
  <c r="E369" i="6"/>
  <c r="D369" i="6"/>
  <c r="E370" i="7"/>
  <c r="D370" i="7"/>
  <c r="F371" i="7" s="1"/>
  <c r="I369" i="7"/>
  <c r="L369" i="7" s="1"/>
  <c r="I370" i="7"/>
  <c r="L370" i="7" s="1"/>
  <c r="G369" i="7"/>
  <c r="J369" i="7" s="1"/>
  <c r="H370" i="7"/>
  <c r="K370" i="7" s="1"/>
  <c r="F368" i="8" l="1"/>
  <c r="M368" i="8"/>
  <c r="K368" i="8"/>
  <c r="I368" i="8"/>
  <c r="Q368" i="8"/>
  <c r="K368" i="9"/>
  <c r="P368" i="9" s="1"/>
  <c r="I368" i="9"/>
  <c r="O368" i="9" s="1"/>
  <c r="G367" i="9"/>
  <c r="N367" i="9" s="1"/>
  <c r="M368" i="9"/>
  <c r="Q368" i="9" s="1"/>
  <c r="E368" i="9"/>
  <c r="D368" i="9"/>
  <c r="F369" i="9" s="1"/>
  <c r="P368" i="8"/>
  <c r="O368" i="8"/>
  <c r="E368" i="8"/>
  <c r="D368" i="8"/>
  <c r="G367" i="8"/>
  <c r="N367" i="8" s="1"/>
  <c r="F370" i="6"/>
  <c r="E370" i="6"/>
  <c r="D370" i="6"/>
  <c r="G369" i="6"/>
  <c r="J369" i="6" s="1"/>
  <c r="H370" i="6"/>
  <c r="K370" i="6" s="1"/>
  <c r="I370" i="6"/>
  <c r="L370" i="6" s="1"/>
  <c r="D371" i="7"/>
  <c r="F372" i="7" s="1"/>
  <c r="E371" i="7"/>
  <c r="H371" i="7"/>
  <c r="K371" i="7" s="1"/>
  <c r="I371" i="7"/>
  <c r="L371" i="7" s="1"/>
  <c r="G370" i="7"/>
  <c r="J370" i="7" s="1"/>
  <c r="F369" i="8" l="1"/>
  <c r="M369" i="8"/>
  <c r="K369" i="8"/>
  <c r="I369" i="8"/>
  <c r="Q369" i="8"/>
  <c r="D369" i="9"/>
  <c r="F370" i="9" s="1"/>
  <c r="M369" i="9"/>
  <c r="Q369" i="9" s="1"/>
  <c r="K369" i="9"/>
  <c r="P369" i="9" s="1"/>
  <c r="I369" i="9"/>
  <c r="O369" i="9" s="1"/>
  <c r="E369" i="9"/>
  <c r="G368" i="9"/>
  <c r="N368" i="9" s="1"/>
  <c r="D369" i="8"/>
  <c r="G368" i="8"/>
  <c r="N368" i="8" s="1"/>
  <c r="E369" i="8"/>
  <c r="P369" i="8"/>
  <c r="O369" i="8"/>
  <c r="G370" i="6"/>
  <c r="J370" i="6" s="1"/>
  <c r="I371" i="6"/>
  <c r="L371" i="6" s="1"/>
  <c r="H371" i="6"/>
  <c r="K371" i="6" s="1"/>
  <c r="F371" i="6"/>
  <c r="E371" i="6"/>
  <c r="D371" i="6"/>
  <c r="D372" i="7"/>
  <c r="F373" i="7" s="1"/>
  <c r="E372" i="7"/>
  <c r="I372" i="7"/>
  <c r="L372" i="7" s="1"/>
  <c r="H372" i="7"/>
  <c r="K372" i="7" s="1"/>
  <c r="G371" i="7"/>
  <c r="J371" i="7" s="1"/>
  <c r="F370" i="8" l="1"/>
  <c r="M370" i="8"/>
  <c r="K370" i="8"/>
  <c r="I370" i="8"/>
  <c r="Q370" i="8"/>
  <c r="E370" i="9"/>
  <c r="D370" i="9"/>
  <c r="F371" i="9" s="1"/>
  <c r="M370" i="9"/>
  <c r="Q370" i="9" s="1"/>
  <c r="G369" i="9"/>
  <c r="N369" i="9" s="1"/>
  <c r="K370" i="9"/>
  <c r="P370" i="9" s="1"/>
  <c r="I370" i="9"/>
  <c r="O370" i="9" s="1"/>
  <c r="G369" i="8"/>
  <c r="N369" i="8" s="1"/>
  <c r="P370" i="8"/>
  <c r="O370" i="8"/>
  <c r="E370" i="8"/>
  <c r="D370" i="8"/>
  <c r="E372" i="6"/>
  <c r="D372" i="6"/>
  <c r="G371" i="6"/>
  <c r="J371" i="6" s="1"/>
  <c r="I372" i="6"/>
  <c r="L372" i="6" s="1"/>
  <c r="H372" i="6"/>
  <c r="K372" i="6" s="1"/>
  <c r="F372" i="6"/>
  <c r="D373" i="7"/>
  <c r="F374" i="7" s="1"/>
  <c r="E373" i="7"/>
  <c r="H373" i="7"/>
  <c r="K373" i="7" s="1"/>
  <c r="I373" i="7"/>
  <c r="L373" i="7" s="1"/>
  <c r="G372" i="7"/>
  <c r="J372" i="7" s="1"/>
  <c r="F371" i="8" l="1"/>
  <c r="M371" i="8"/>
  <c r="K371" i="8"/>
  <c r="I371" i="8"/>
  <c r="Q371" i="8"/>
  <c r="E371" i="9"/>
  <c r="M371" i="9"/>
  <c r="Q371" i="9" s="1"/>
  <c r="K371" i="9"/>
  <c r="P371" i="9" s="1"/>
  <c r="I371" i="9"/>
  <c r="O371" i="9" s="1"/>
  <c r="D371" i="9"/>
  <c r="F372" i="9" s="1"/>
  <c r="G370" i="9"/>
  <c r="N370" i="9" s="1"/>
  <c r="E371" i="8"/>
  <c r="D371" i="8"/>
  <c r="G370" i="8"/>
  <c r="N370" i="8" s="1"/>
  <c r="P371" i="8"/>
  <c r="O371" i="8"/>
  <c r="I373" i="6"/>
  <c r="L373" i="6" s="1"/>
  <c r="H373" i="6"/>
  <c r="K373" i="6" s="1"/>
  <c r="F373" i="6"/>
  <c r="E373" i="6"/>
  <c r="D373" i="6"/>
  <c r="G372" i="6"/>
  <c r="J372" i="6" s="1"/>
  <c r="E374" i="7"/>
  <c r="D374" i="7"/>
  <c r="F375" i="7" s="1"/>
  <c r="H374" i="7"/>
  <c r="K374" i="7" s="1"/>
  <c r="I374" i="7"/>
  <c r="L374" i="7" s="1"/>
  <c r="G373" i="7"/>
  <c r="J373" i="7" s="1"/>
  <c r="F372" i="8" l="1"/>
  <c r="M372" i="8"/>
  <c r="K372" i="8"/>
  <c r="I372" i="8"/>
  <c r="Q372" i="8"/>
  <c r="I372" i="9"/>
  <c r="O372" i="9" s="1"/>
  <c r="G371" i="9"/>
  <c r="N371" i="9" s="1"/>
  <c r="D372" i="9"/>
  <c r="F373" i="9" s="1"/>
  <c r="M372" i="9"/>
  <c r="Q372" i="9" s="1"/>
  <c r="K372" i="9"/>
  <c r="P372" i="9" s="1"/>
  <c r="E372" i="9"/>
  <c r="P372" i="8"/>
  <c r="O372" i="8"/>
  <c r="E372" i="8"/>
  <c r="D372" i="8"/>
  <c r="G371" i="8"/>
  <c r="N371" i="8" s="1"/>
  <c r="G373" i="6"/>
  <c r="J373" i="6" s="1"/>
  <c r="I374" i="6"/>
  <c r="L374" i="6" s="1"/>
  <c r="H374" i="6"/>
  <c r="K374" i="6" s="1"/>
  <c r="F374" i="6"/>
  <c r="E374" i="6"/>
  <c r="D374" i="6"/>
  <c r="E375" i="7"/>
  <c r="D375" i="7"/>
  <c r="F376" i="7" s="1"/>
  <c r="I375" i="7"/>
  <c r="L375" i="7" s="1"/>
  <c r="H375" i="7"/>
  <c r="K375" i="7" s="1"/>
  <c r="G374" i="7"/>
  <c r="J374" i="7" s="1"/>
  <c r="F373" i="8" l="1"/>
  <c r="M373" i="8"/>
  <c r="K373" i="8"/>
  <c r="I373" i="8"/>
  <c r="Q373" i="8"/>
  <c r="K373" i="9"/>
  <c r="P373" i="9" s="1"/>
  <c r="I373" i="9"/>
  <c r="O373" i="9" s="1"/>
  <c r="G372" i="9"/>
  <c r="N372" i="9" s="1"/>
  <c r="E373" i="9"/>
  <c r="D373" i="9"/>
  <c r="F374" i="9" s="1"/>
  <c r="M373" i="9"/>
  <c r="Q373" i="9" s="1"/>
  <c r="E373" i="8"/>
  <c r="D373" i="8"/>
  <c r="G372" i="8"/>
  <c r="N372" i="8" s="1"/>
  <c r="P373" i="8"/>
  <c r="O373" i="8"/>
  <c r="I375" i="6"/>
  <c r="L375" i="6" s="1"/>
  <c r="H375" i="6"/>
  <c r="K375" i="6" s="1"/>
  <c r="F375" i="6"/>
  <c r="E375" i="6"/>
  <c r="D375" i="6"/>
  <c r="G374" i="6"/>
  <c r="J374" i="6" s="1"/>
  <c r="E376" i="7"/>
  <c r="D376" i="7"/>
  <c r="F377" i="7" s="1"/>
  <c r="G375" i="7"/>
  <c r="J375" i="7" s="1"/>
  <c r="F374" i="8" l="1"/>
  <c r="M374" i="8"/>
  <c r="Q374" i="8" s="1"/>
  <c r="I374" i="8"/>
  <c r="K374" i="8"/>
  <c r="M374" i="9"/>
  <c r="Q374" i="9" s="1"/>
  <c r="K374" i="9"/>
  <c r="P374" i="9" s="1"/>
  <c r="E374" i="9"/>
  <c r="G373" i="9"/>
  <c r="N373" i="9" s="1"/>
  <c r="I374" i="9"/>
  <c r="O374" i="9" s="1"/>
  <c r="D374" i="9"/>
  <c r="F375" i="9" s="1"/>
  <c r="P374" i="8"/>
  <c r="O374" i="8"/>
  <c r="E374" i="8"/>
  <c r="D374" i="8"/>
  <c r="G373" i="8"/>
  <c r="N373" i="8" s="1"/>
  <c r="G375" i="6"/>
  <c r="J375" i="6" s="1"/>
  <c r="I376" i="6"/>
  <c r="L376" i="6" s="1"/>
  <c r="H376" i="6"/>
  <c r="K376" i="6" s="1"/>
  <c r="F376" i="6"/>
  <c r="E376" i="6"/>
  <c r="D376" i="6"/>
  <c r="E377" i="7"/>
  <c r="D377" i="7"/>
  <c r="F378" i="7" s="1"/>
  <c r="I376" i="7"/>
  <c r="L376" i="7" s="1"/>
  <c r="H376" i="7"/>
  <c r="K376" i="7" s="1"/>
  <c r="I377" i="7"/>
  <c r="L377" i="7" s="1"/>
  <c r="G376" i="7"/>
  <c r="J376" i="7" s="1"/>
  <c r="F375" i="8" l="1"/>
  <c r="M375" i="8"/>
  <c r="Q375" i="8" s="1"/>
  <c r="I375" i="8"/>
  <c r="K375" i="8"/>
  <c r="M375" i="9"/>
  <c r="Q375" i="9" s="1"/>
  <c r="I375" i="9"/>
  <c r="O375" i="9" s="1"/>
  <c r="G374" i="9"/>
  <c r="N374" i="9" s="1"/>
  <c r="K375" i="9"/>
  <c r="P375" i="9" s="1"/>
  <c r="E375" i="9"/>
  <c r="D375" i="9"/>
  <c r="F376" i="9" s="1"/>
  <c r="G374" i="8"/>
  <c r="N374" i="8" s="1"/>
  <c r="E375" i="8"/>
  <c r="D375" i="8"/>
  <c r="P375" i="8"/>
  <c r="O375" i="8"/>
  <c r="H377" i="6"/>
  <c r="K377" i="6" s="1"/>
  <c r="F377" i="6"/>
  <c r="E377" i="6"/>
  <c r="D377" i="6"/>
  <c r="G376" i="6"/>
  <c r="J376" i="6" s="1"/>
  <c r="I377" i="6"/>
  <c r="L377" i="6" s="1"/>
  <c r="D378" i="7"/>
  <c r="F379" i="7" s="1"/>
  <c r="E378" i="7"/>
  <c r="H377" i="7"/>
  <c r="K377" i="7" s="1"/>
  <c r="I378" i="7"/>
  <c r="L378" i="7" s="1"/>
  <c r="G377" i="7"/>
  <c r="J377" i="7" s="1"/>
  <c r="H378" i="7"/>
  <c r="K378" i="7" s="1"/>
  <c r="F376" i="8" l="1"/>
  <c r="K376" i="8"/>
  <c r="M376" i="8"/>
  <c r="Q376" i="8" s="1"/>
  <c r="I376" i="8"/>
  <c r="K376" i="9"/>
  <c r="P376" i="9" s="1"/>
  <c r="I376" i="9"/>
  <c r="O376" i="9" s="1"/>
  <c r="G375" i="9"/>
  <c r="N375" i="9" s="1"/>
  <c r="E376" i="9"/>
  <c r="D376" i="9"/>
  <c r="F377" i="9" s="1"/>
  <c r="M376" i="9"/>
  <c r="Q376" i="9" s="1"/>
  <c r="O376" i="8"/>
  <c r="E376" i="8"/>
  <c r="P376" i="8"/>
  <c r="D376" i="8"/>
  <c r="G375" i="8"/>
  <c r="N375" i="8" s="1"/>
  <c r="G377" i="6"/>
  <c r="J377" i="6" s="1"/>
  <c r="I378" i="6"/>
  <c r="L378" i="6" s="1"/>
  <c r="H378" i="6"/>
  <c r="K378" i="6" s="1"/>
  <c r="F378" i="6"/>
  <c r="E378" i="6"/>
  <c r="D378" i="6"/>
  <c r="E379" i="7"/>
  <c r="D379" i="7"/>
  <c r="F380" i="7" s="1"/>
  <c r="I379" i="7"/>
  <c r="L379" i="7" s="1"/>
  <c r="G378" i="7"/>
  <c r="J378" i="7" s="1"/>
  <c r="F377" i="8" l="1"/>
  <c r="K377" i="8"/>
  <c r="M377" i="8"/>
  <c r="I377" i="8"/>
  <c r="Q377" i="8"/>
  <c r="D377" i="9"/>
  <c r="F378" i="9" s="1"/>
  <c r="M377" i="9"/>
  <c r="Q377" i="9" s="1"/>
  <c r="K377" i="9"/>
  <c r="P377" i="9" s="1"/>
  <c r="I377" i="9"/>
  <c r="O377" i="9" s="1"/>
  <c r="G376" i="9"/>
  <c r="N376" i="9" s="1"/>
  <c r="E377" i="9"/>
  <c r="G376" i="8"/>
  <c r="N376" i="8" s="1"/>
  <c r="E377" i="8"/>
  <c r="D377" i="8"/>
  <c r="P377" i="8"/>
  <c r="O377" i="8"/>
  <c r="F379" i="6"/>
  <c r="E379" i="6"/>
  <c r="D379" i="6"/>
  <c r="G378" i="6"/>
  <c r="J378" i="6" s="1"/>
  <c r="I379" i="6"/>
  <c r="L379" i="6" s="1"/>
  <c r="H379" i="6"/>
  <c r="K379" i="6" s="1"/>
  <c r="E380" i="7"/>
  <c r="D380" i="7"/>
  <c r="F381" i="7" s="1"/>
  <c r="H379" i="7"/>
  <c r="K379" i="7" s="1"/>
  <c r="I380" i="7"/>
  <c r="L380" i="7" s="1"/>
  <c r="G379" i="7"/>
  <c r="J379" i="7" s="1"/>
  <c r="H380" i="7"/>
  <c r="K380" i="7" s="1"/>
  <c r="F378" i="8" l="1"/>
  <c r="K378" i="8"/>
  <c r="I378" i="8"/>
  <c r="M378" i="8"/>
  <c r="Q378" i="8"/>
  <c r="E378" i="9"/>
  <c r="D378" i="9"/>
  <c r="F379" i="9" s="1"/>
  <c r="M378" i="9"/>
  <c r="Q378" i="9" s="1"/>
  <c r="K378" i="9"/>
  <c r="P378" i="9" s="1"/>
  <c r="I378" i="9"/>
  <c r="O378" i="9" s="1"/>
  <c r="G377" i="9"/>
  <c r="N377" i="9" s="1"/>
  <c r="E378" i="8"/>
  <c r="G377" i="8"/>
  <c r="N377" i="8" s="1"/>
  <c r="P378" i="8"/>
  <c r="O378" i="8"/>
  <c r="D378" i="8"/>
  <c r="I380" i="6"/>
  <c r="L380" i="6" s="1"/>
  <c r="H380" i="6"/>
  <c r="K380" i="6" s="1"/>
  <c r="F380" i="6"/>
  <c r="E380" i="6"/>
  <c r="D380" i="6"/>
  <c r="G379" i="6"/>
  <c r="J379" i="6" s="1"/>
  <c r="E381" i="7"/>
  <c r="D381" i="7"/>
  <c r="F382" i="7" s="1"/>
  <c r="G380" i="7"/>
  <c r="J380" i="7" s="1"/>
  <c r="F379" i="8" l="1"/>
  <c r="M379" i="8"/>
  <c r="Q379" i="8" s="1"/>
  <c r="K379" i="8"/>
  <c r="I379" i="8"/>
  <c r="E379" i="9"/>
  <c r="M379" i="9"/>
  <c r="Q379" i="9" s="1"/>
  <c r="D379" i="9"/>
  <c r="F380" i="9" s="1"/>
  <c r="G378" i="9"/>
  <c r="N378" i="9" s="1"/>
  <c r="K379" i="9"/>
  <c r="P379" i="9" s="1"/>
  <c r="I379" i="9"/>
  <c r="O379" i="9" s="1"/>
  <c r="O379" i="8"/>
  <c r="E379" i="8"/>
  <c r="D379" i="8"/>
  <c r="P379" i="8"/>
  <c r="G378" i="8"/>
  <c r="N378" i="8" s="1"/>
  <c r="D381" i="6"/>
  <c r="G380" i="6"/>
  <c r="J380" i="6" s="1"/>
  <c r="I381" i="6"/>
  <c r="L381" i="6" s="1"/>
  <c r="H381" i="6"/>
  <c r="K381" i="6" s="1"/>
  <c r="F381" i="6"/>
  <c r="E381" i="6"/>
  <c r="D382" i="7"/>
  <c r="F383" i="7" s="1"/>
  <c r="E382" i="7"/>
  <c r="H381" i="7"/>
  <c r="K381" i="7" s="1"/>
  <c r="I381" i="7"/>
  <c r="L381" i="7" s="1"/>
  <c r="G381" i="7"/>
  <c r="J381" i="7" s="1"/>
  <c r="F380" i="8" l="1"/>
  <c r="M380" i="8"/>
  <c r="Q380" i="8" s="1"/>
  <c r="K380" i="8"/>
  <c r="I380" i="8"/>
  <c r="I380" i="9"/>
  <c r="O380" i="9" s="1"/>
  <c r="G379" i="9"/>
  <c r="N379" i="9" s="1"/>
  <c r="D380" i="9"/>
  <c r="F381" i="9" s="1"/>
  <c r="M380" i="9"/>
  <c r="Q380" i="9" s="1"/>
  <c r="K380" i="9"/>
  <c r="P380" i="9" s="1"/>
  <c r="E380" i="9"/>
  <c r="D380" i="8"/>
  <c r="G379" i="8"/>
  <c r="N379" i="8" s="1"/>
  <c r="P380" i="8"/>
  <c r="E380" i="8"/>
  <c r="O380" i="8"/>
  <c r="I382" i="6"/>
  <c r="L382" i="6" s="1"/>
  <c r="H382" i="6"/>
  <c r="K382" i="6" s="1"/>
  <c r="F382" i="6"/>
  <c r="E382" i="6"/>
  <c r="D382" i="6"/>
  <c r="G381" i="6"/>
  <c r="J381" i="6" s="1"/>
  <c r="D383" i="7"/>
  <c r="F384" i="7" s="1"/>
  <c r="E383" i="7"/>
  <c r="H382" i="7"/>
  <c r="K382" i="7" s="1"/>
  <c r="I382" i="7"/>
  <c r="L382" i="7" s="1"/>
  <c r="I383" i="7"/>
  <c r="L383" i="7" s="1"/>
  <c r="H383" i="7"/>
  <c r="K383" i="7" s="1"/>
  <c r="G382" i="7"/>
  <c r="J382" i="7" s="1"/>
  <c r="F381" i="8" l="1"/>
  <c r="M381" i="8"/>
  <c r="Q381" i="8" s="1"/>
  <c r="I381" i="8"/>
  <c r="K381" i="8"/>
  <c r="K381" i="9"/>
  <c r="P381" i="9" s="1"/>
  <c r="I381" i="9"/>
  <c r="O381" i="9" s="1"/>
  <c r="G380" i="9"/>
  <c r="N380" i="9" s="1"/>
  <c r="E381" i="9"/>
  <c r="D381" i="9"/>
  <c r="F382" i="9" s="1"/>
  <c r="M381" i="9"/>
  <c r="Q381" i="9" s="1"/>
  <c r="O381" i="8"/>
  <c r="P381" i="8"/>
  <c r="E381" i="8"/>
  <c r="D381" i="8"/>
  <c r="G380" i="8"/>
  <c r="N380" i="8" s="1"/>
  <c r="G382" i="6"/>
  <c r="J382" i="6" s="1"/>
  <c r="I383" i="6"/>
  <c r="L383" i="6" s="1"/>
  <c r="H383" i="6"/>
  <c r="K383" i="6" s="1"/>
  <c r="F383" i="6"/>
  <c r="E383" i="6"/>
  <c r="D383" i="6"/>
  <c r="D384" i="7"/>
  <c r="F385" i="7" s="1"/>
  <c r="E384" i="7"/>
  <c r="I384" i="7"/>
  <c r="L384" i="7" s="1"/>
  <c r="G383" i="7"/>
  <c r="J383" i="7" s="1"/>
  <c r="H384" i="7"/>
  <c r="K384" i="7" s="1"/>
  <c r="F382" i="8" l="1"/>
  <c r="M382" i="8"/>
  <c r="K382" i="8"/>
  <c r="I382" i="8"/>
  <c r="Q382" i="8"/>
  <c r="M382" i="9"/>
  <c r="Q382" i="9" s="1"/>
  <c r="K382" i="9"/>
  <c r="P382" i="9" s="1"/>
  <c r="E382" i="9"/>
  <c r="D382" i="9"/>
  <c r="F383" i="9" s="1"/>
  <c r="G381" i="9"/>
  <c r="N381" i="9" s="1"/>
  <c r="I382" i="9"/>
  <c r="O382" i="9" s="1"/>
  <c r="G381" i="8"/>
  <c r="N381" i="8" s="1"/>
  <c r="O382" i="8"/>
  <c r="P382" i="8"/>
  <c r="E382" i="8"/>
  <c r="D382" i="8"/>
  <c r="I384" i="6"/>
  <c r="L384" i="6" s="1"/>
  <c r="H384" i="6"/>
  <c r="K384" i="6" s="1"/>
  <c r="F384" i="6"/>
  <c r="E384" i="6"/>
  <c r="D384" i="6"/>
  <c r="G383" i="6"/>
  <c r="J383" i="6" s="1"/>
  <c r="D385" i="7"/>
  <c r="F386" i="7" s="1"/>
  <c r="E385" i="7"/>
  <c r="I385" i="7"/>
  <c r="L385" i="7" s="1"/>
  <c r="H385" i="7"/>
  <c r="K385" i="7" s="1"/>
  <c r="G384" i="7"/>
  <c r="J384" i="7" s="1"/>
  <c r="F383" i="8" l="1"/>
  <c r="M383" i="8"/>
  <c r="I383" i="8"/>
  <c r="K383" i="8"/>
  <c r="Q383" i="8"/>
  <c r="M383" i="9"/>
  <c r="Q383" i="9" s="1"/>
  <c r="I383" i="9"/>
  <c r="O383" i="9" s="1"/>
  <c r="G382" i="9"/>
  <c r="N382" i="9" s="1"/>
  <c r="E383" i="9"/>
  <c r="K383" i="9"/>
  <c r="P383" i="9" s="1"/>
  <c r="D383" i="9"/>
  <c r="F384" i="9" s="1"/>
  <c r="P383" i="8"/>
  <c r="O383" i="8"/>
  <c r="E383" i="8"/>
  <c r="D383" i="8"/>
  <c r="G382" i="8"/>
  <c r="N382" i="8" s="1"/>
  <c r="G384" i="6"/>
  <c r="J384" i="6" s="1"/>
  <c r="I385" i="6"/>
  <c r="L385" i="6" s="1"/>
  <c r="H385" i="6"/>
  <c r="K385" i="6" s="1"/>
  <c r="F385" i="6"/>
  <c r="E385" i="6"/>
  <c r="D385" i="6"/>
  <c r="D386" i="7"/>
  <c r="F387" i="7" s="1"/>
  <c r="E386" i="7"/>
  <c r="I386" i="7"/>
  <c r="L386" i="7" s="1"/>
  <c r="H386" i="7"/>
  <c r="K386" i="7" s="1"/>
  <c r="G385" i="7"/>
  <c r="J385" i="7" s="1"/>
  <c r="F384" i="8" l="1"/>
  <c r="M384" i="8"/>
  <c r="Q384" i="8" s="1"/>
  <c r="K384" i="8"/>
  <c r="I384" i="8"/>
  <c r="K384" i="9"/>
  <c r="P384" i="9" s="1"/>
  <c r="I384" i="9"/>
  <c r="O384" i="9" s="1"/>
  <c r="G383" i="9"/>
  <c r="N383" i="9" s="1"/>
  <c r="M384" i="9"/>
  <c r="Q384" i="9" s="1"/>
  <c r="E384" i="9"/>
  <c r="D384" i="9"/>
  <c r="F385" i="9" s="1"/>
  <c r="D384" i="8"/>
  <c r="G383" i="8"/>
  <c r="N383" i="8" s="1"/>
  <c r="P384" i="8"/>
  <c r="O384" i="8"/>
  <c r="E384" i="8"/>
  <c r="F386" i="6"/>
  <c r="E386" i="6"/>
  <c r="D386" i="6"/>
  <c r="G385" i="6"/>
  <c r="J385" i="6" s="1"/>
  <c r="I386" i="6"/>
  <c r="L386" i="6" s="1"/>
  <c r="H386" i="6"/>
  <c r="K386" i="6" s="1"/>
  <c r="D387" i="7"/>
  <c r="F388" i="7" s="1"/>
  <c r="E387" i="7"/>
  <c r="H387" i="7"/>
  <c r="K387" i="7" s="1"/>
  <c r="I387" i="7"/>
  <c r="L387" i="7" s="1"/>
  <c r="G386" i="7"/>
  <c r="J386" i="7" s="1"/>
  <c r="F385" i="8" l="1"/>
  <c r="M385" i="8"/>
  <c r="Q385" i="8" s="1"/>
  <c r="K385" i="8"/>
  <c r="I385" i="8"/>
  <c r="D385" i="9"/>
  <c r="F386" i="9" s="1"/>
  <c r="M385" i="9"/>
  <c r="Q385" i="9" s="1"/>
  <c r="K385" i="9"/>
  <c r="P385" i="9" s="1"/>
  <c r="I385" i="9"/>
  <c r="O385" i="9" s="1"/>
  <c r="G384" i="9"/>
  <c r="N384" i="9" s="1"/>
  <c r="E385" i="9"/>
  <c r="D385" i="8"/>
  <c r="P385" i="8"/>
  <c r="E385" i="8"/>
  <c r="O385" i="8"/>
  <c r="G384" i="8"/>
  <c r="N384" i="8" s="1"/>
  <c r="G386" i="6"/>
  <c r="J386" i="6" s="1"/>
  <c r="I387" i="6"/>
  <c r="L387" i="6" s="1"/>
  <c r="H387" i="6"/>
  <c r="K387" i="6" s="1"/>
  <c r="F387" i="6"/>
  <c r="E387" i="6"/>
  <c r="D387" i="6"/>
  <c r="D388" i="7"/>
  <c r="F389" i="7" s="1"/>
  <c r="E388" i="7"/>
  <c r="I388" i="7"/>
  <c r="L388" i="7" s="1"/>
  <c r="G387" i="7"/>
  <c r="J387" i="7" s="1"/>
  <c r="F386" i="8" l="1"/>
  <c r="M386" i="8"/>
  <c r="Q386" i="8" s="1"/>
  <c r="K386" i="8"/>
  <c r="I386" i="8"/>
  <c r="E386" i="9"/>
  <c r="D386" i="9"/>
  <c r="F387" i="9" s="1"/>
  <c r="M386" i="9"/>
  <c r="Q386" i="9" s="1"/>
  <c r="K386" i="9"/>
  <c r="P386" i="9" s="1"/>
  <c r="G385" i="9"/>
  <c r="N385" i="9" s="1"/>
  <c r="I386" i="9"/>
  <c r="O386" i="9" s="1"/>
  <c r="G385" i="8"/>
  <c r="N385" i="8" s="1"/>
  <c r="E386" i="8"/>
  <c r="D386" i="8"/>
  <c r="P386" i="8"/>
  <c r="O386" i="8"/>
  <c r="E388" i="6"/>
  <c r="D388" i="6"/>
  <c r="G387" i="6"/>
  <c r="J387" i="6" s="1"/>
  <c r="I388" i="6"/>
  <c r="L388" i="6" s="1"/>
  <c r="F388" i="6"/>
  <c r="H388" i="6"/>
  <c r="K388" i="6" s="1"/>
  <c r="E389" i="7"/>
  <c r="D389" i="7"/>
  <c r="F390" i="7" s="1"/>
  <c r="H388" i="7"/>
  <c r="K388" i="7" s="1"/>
  <c r="I389" i="7"/>
  <c r="L389" i="7" s="1"/>
  <c r="H389" i="7"/>
  <c r="K389" i="7" s="1"/>
  <c r="G388" i="7"/>
  <c r="J388" i="7" s="1"/>
  <c r="F387" i="8" l="1"/>
  <c r="M387" i="8"/>
  <c r="Q387" i="8" s="1"/>
  <c r="K387" i="8"/>
  <c r="I387" i="8"/>
  <c r="E387" i="9"/>
  <c r="M387" i="9"/>
  <c r="Q387" i="9" s="1"/>
  <c r="I387" i="9"/>
  <c r="O387" i="9" s="1"/>
  <c r="G386" i="9"/>
  <c r="N386" i="9" s="1"/>
  <c r="K387" i="9"/>
  <c r="P387" i="9" s="1"/>
  <c r="D387" i="9"/>
  <c r="F388" i="9" s="1"/>
  <c r="E387" i="8"/>
  <c r="D387" i="8"/>
  <c r="O387" i="8"/>
  <c r="P387" i="8"/>
  <c r="G386" i="8"/>
  <c r="N386" i="8" s="1"/>
  <c r="I389" i="6"/>
  <c r="L389" i="6" s="1"/>
  <c r="H389" i="6"/>
  <c r="K389" i="6" s="1"/>
  <c r="F389" i="6"/>
  <c r="E389" i="6"/>
  <c r="D389" i="6"/>
  <c r="G388" i="6"/>
  <c r="J388" i="6" s="1"/>
  <c r="E390" i="7"/>
  <c r="D390" i="7"/>
  <c r="F391" i="7" s="1"/>
  <c r="I390" i="7"/>
  <c r="L390" i="7" s="1"/>
  <c r="H390" i="7"/>
  <c r="K390" i="7" s="1"/>
  <c r="G389" i="7"/>
  <c r="J389" i="7" s="1"/>
  <c r="F388" i="8" l="1"/>
  <c r="M388" i="8"/>
  <c r="Q388" i="8" s="1"/>
  <c r="K388" i="8"/>
  <c r="I388" i="8"/>
  <c r="I388" i="9"/>
  <c r="O388" i="9" s="1"/>
  <c r="G387" i="9"/>
  <c r="N387" i="9" s="1"/>
  <c r="D388" i="9"/>
  <c r="F389" i="9" s="1"/>
  <c r="K388" i="9"/>
  <c r="P388" i="9" s="1"/>
  <c r="M388" i="9"/>
  <c r="Q388" i="9" s="1"/>
  <c r="E388" i="9"/>
  <c r="P388" i="8"/>
  <c r="E388" i="8"/>
  <c r="D388" i="8"/>
  <c r="G387" i="8"/>
  <c r="N387" i="8" s="1"/>
  <c r="O388" i="8"/>
  <c r="G389" i="6"/>
  <c r="J389" i="6" s="1"/>
  <c r="I390" i="6"/>
  <c r="L390" i="6" s="1"/>
  <c r="H390" i="6"/>
  <c r="K390" i="6" s="1"/>
  <c r="F390" i="6"/>
  <c r="E390" i="6"/>
  <c r="D390" i="6"/>
  <c r="D391" i="7"/>
  <c r="F392" i="7" s="1"/>
  <c r="E391" i="7"/>
  <c r="I391" i="7"/>
  <c r="L391" i="7" s="1"/>
  <c r="H391" i="7"/>
  <c r="K391" i="7" s="1"/>
  <c r="G390" i="7"/>
  <c r="J390" i="7" s="1"/>
  <c r="F389" i="8" l="1"/>
  <c r="M389" i="8"/>
  <c r="Q389" i="8" s="1"/>
  <c r="K389" i="8"/>
  <c r="I389" i="8"/>
  <c r="K389" i="9"/>
  <c r="P389" i="9" s="1"/>
  <c r="I389" i="9"/>
  <c r="O389" i="9" s="1"/>
  <c r="G388" i="9"/>
  <c r="N388" i="9" s="1"/>
  <c r="E389" i="9"/>
  <c r="D389" i="9"/>
  <c r="F390" i="9" s="1"/>
  <c r="M389" i="9"/>
  <c r="Q389" i="9" s="1"/>
  <c r="P389" i="8"/>
  <c r="O389" i="8"/>
  <c r="E389" i="8"/>
  <c r="D389" i="8"/>
  <c r="G388" i="8"/>
  <c r="N388" i="8" s="1"/>
  <c r="I391" i="6"/>
  <c r="L391" i="6" s="1"/>
  <c r="H391" i="6"/>
  <c r="K391" i="6" s="1"/>
  <c r="F391" i="6"/>
  <c r="E391" i="6"/>
  <c r="D391" i="6"/>
  <c r="G390" i="6"/>
  <c r="J390" i="6" s="1"/>
  <c r="D392" i="7"/>
  <c r="F393" i="7" s="1"/>
  <c r="E392" i="7"/>
  <c r="I392" i="7"/>
  <c r="L392" i="7" s="1"/>
  <c r="G391" i="7"/>
  <c r="J391" i="7" s="1"/>
  <c r="F390" i="8" l="1"/>
  <c r="M390" i="8"/>
  <c r="Q390" i="8" s="1"/>
  <c r="K390" i="8"/>
  <c r="I390" i="8"/>
  <c r="M390" i="9"/>
  <c r="Q390" i="9" s="1"/>
  <c r="K390" i="9"/>
  <c r="P390" i="9" s="1"/>
  <c r="E390" i="9"/>
  <c r="D390" i="9"/>
  <c r="F391" i="9" s="1"/>
  <c r="G389" i="9"/>
  <c r="N389" i="9" s="1"/>
  <c r="I390" i="9"/>
  <c r="O390" i="9" s="1"/>
  <c r="P390" i="8"/>
  <c r="O390" i="8"/>
  <c r="E390" i="8"/>
  <c r="D390" i="8"/>
  <c r="G389" i="8"/>
  <c r="N389" i="8" s="1"/>
  <c r="G391" i="6"/>
  <c r="J391" i="6" s="1"/>
  <c r="I392" i="6"/>
  <c r="L392" i="6" s="1"/>
  <c r="H392" i="6"/>
  <c r="K392" i="6" s="1"/>
  <c r="F392" i="6"/>
  <c r="E392" i="6"/>
  <c r="D392" i="6"/>
  <c r="D393" i="7"/>
  <c r="F394" i="7" s="1"/>
  <c r="E393" i="7"/>
  <c r="H392" i="7"/>
  <c r="K392" i="7" s="1"/>
  <c r="I393" i="7"/>
  <c r="L393" i="7" s="1"/>
  <c r="G392" i="7"/>
  <c r="J392" i="7" s="1"/>
  <c r="F391" i="8" l="1"/>
  <c r="M391" i="8"/>
  <c r="Q391" i="8" s="1"/>
  <c r="I391" i="8"/>
  <c r="K391" i="8"/>
  <c r="M391" i="9"/>
  <c r="Q391" i="9" s="1"/>
  <c r="I391" i="9"/>
  <c r="O391" i="9" s="1"/>
  <c r="G390" i="9"/>
  <c r="N390" i="9" s="1"/>
  <c r="E391" i="9"/>
  <c r="K391" i="9"/>
  <c r="P391" i="9" s="1"/>
  <c r="D391" i="9"/>
  <c r="F392" i="9" s="1"/>
  <c r="G390" i="8"/>
  <c r="N390" i="8" s="1"/>
  <c r="P391" i="8"/>
  <c r="O391" i="8"/>
  <c r="E391" i="8"/>
  <c r="D391" i="8"/>
  <c r="H393" i="6"/>
  <c r="K393" i="6" s="1"/>
  <c r="F393" i="6"/>
  <c r="E393" i="6"/>
  <c r="D393" i="6"/>
  <c r="G392" i="6"/>
  <c r="J392" i="6" s="1"/>
  <c r="I393" i="6"/>
  <c r="L393" i="6" s="1"/>
  <c r="D394" i="7"/>
  <c r="F395" i="7" s="1"/>
  <c r="E394" i="7"/>
  <c r="H393" i="7"/>
  <c r="K393" i="7" s="1"/>
  <c r="I394" i="7"/>
  <c r="L394" i="7" s="1"/>
  <c r="G393" i="7"/>
  <c r="J393" i="7" s="1"/>
  <c r="H394" i="7"/>
  <c r="K394" i="7" s="1"/>
  <c r="F392" i="8" l="1"/>
  <c r="K392" i="8"/>
  <c r="M392" i="8"/>
  <c r="Q392" i="8" s="1"/>
  <c r="I392" i="8"/>
  <c r="K392" i="9"/>
  <c r="P392" i="9" s="1"/>
  <c r="I392" i="9"/>
  <c r="O392" i="9" s="1"/>
  <c r="G391" i="9"/>
  <c r="N391" i="9" s="1"/>
  <c r="M392" i="9"/>
  <c r="Q392" i="9" s="1"/>
  <c r="E392" i="9"/>
  <c r="D392" i="9"/>
  <c r="F393" i="9" s="1"/>
  <c r="O392" i="8"/>
  <c r="E392" i="8"/>
  <c r="P392" i="8"/>
  <c r="D392" i="8"/>
  <c r="G391" i="8"/>
  <c r="N391" i="8" s="1"/>
  <c r="G393" i="6"/>
  <c r="J393" i="6" s="1"/>
  <c r="I394" i="6"/>
  <c r="L394" i="6" s="1"/>
  <c r="H394" i="6"/>
  <c r="K394" i="6" s="1"/>
  <c r="F394" i="6"/>
  <c r="E394" i="6"/>
  <c r="D394" i="6"/>
  <c r="D395" i="7"/>
  <c r="F396" i="7" s="1"/>
  <c r="E395" i="7"/>
  <c r="G394" i="7"/>
  <c r="J394" i="7" s="1"/>
  <c r="I395" i="7"/>
  <c r="L395" i="7" s="1"/>
  <c r="H395" i="7"/>
  <c r="K395" i="7" s="1"/>
  <c r="F393" i="8" l="1"/>
  <c r="K393" i="8"/>
  <c r="M393" i="8"/>
  <c r="I393" i="8"/>
  <c r="Q393" i="8"/>
  <c r="D393" i="9"/>
  <c r="F394" i="9" s="1"/>
  <c r="M393" i="9"/>
  <c r="Q393" i="9" s="1"/>
  <c r="K393" i="9"/>
  <c r="P393" i="9" s="1"/>
  <c r="I393" i="9"/>
  <c r="O393" i="9" s="1"/>
  <c r="G392" i="9"/>
  <c r="N392" i="9" s="1"/>
  <c r="E393" i="9"/>
  <c r="G392" i="8"/>
  <c r="N392" i="8" s="1"/>
  <c r="P393" i="8"/>
  <c r="E393" i="8"/>
  <c r="D393" i="8"/>
  <c r="O393" i="8"/>
  <c r="F395" i="6"/>
  <c r="E395" i="6"/>
  <c r="D395" i="6"/>
  <c r="G394" i="6"/>
  <c r="J394" i="6" s="1"/>
  <c r="I395" i="6"/>
  <c r="L395" i="6" s="1"/>
  <c r="H395" i="6"/>
  <c r="K395" i="6" s="1"/>
  <c r="E396" i="7"/>
  <c r="D396" i="7"/>
  <c r="F397" i="7" s="1"/>
  <c r="G395" i="7"/>
  <c r="J395" i="7" s="1"/>
  <c r="I396" i="7"/>
  <c r="L396" i="7" s="1"/>
  <c r="H396" i="7"/>
  <c r="K396" i="7" s="1"/>
  <c r="F394" i="8" l="1"/>
  <c r="K394" i="8"/>
  <c r="I394" i="8"/>
  <c r="M394" i="8"/>
  <c r="Q394" i="8" s="1"/>
  <c r="E394" i="9"/>
  <c r="D394" i="9"/>
  <c r="F395" i="9" s="1"/>
  <c r="M394" i="9"/>
  <c r="Q394" i="9" s="1"/>
  <c r="K394" i="9"/>
  <c r="P394" i="9" s="1"/>
  <c r="I394" i="9"/>
  <c r="O394" i="9" s="1"/>
  <c r="G393" i="9"/>
  <c r="N393" i="9" s="1"/>
  <c r="E394" i="8"/>
  <c r="P394" i="8"/>
  <c r="O394" i="8"/>
  <c r="G393" i="8"/>
  <c r="N393" i="8" s="1"/>
  <c r="D394" i="8"/>
  <c r="I396" i="6"/>
  <c r="L396" i="6" s="1"/>
  <c r="H396" i="6"/>
  <c r="K396" i="6" s="1"/>
  <c r="F396" i="6"/>
  <c r="E396" i="6"/>
  <c r="D396" i="6"/>
  <c r="G395" i="6"/>
  <c r="J395" i="6" s="1"/>
  <c r="D397" i="7"/>
  <c r="F398" i="7" s="1"/>
  <c r="E397" i="7"/>
  <c r="I397" i="7"/>
  <c r="L397" i="7" s="1"/>
  <c r="H397" i="7"/>
  <c r="K397" i="7" s="1"/>
  <c r="G396" i="7"/>
  <c r="J396" i="7" s="1"/>
  <c r="F395" i="8" l="1"/>
  <c r="M395" i="8"/>
  <c r="K395" i="8"/>
  <c r="I395" i="8"/>
  <c r="Q395" i="8"/>
  <c r="E395" i="9"/>
  <c r="M395" i="9"/>
  <c r="Q395" i="9" s="1"/>
  <c r="I395" i="9"/>
  <c r="O395" i="9" s="1"/>
  <c r="G394" i="9"/>
  <c r="N394" i="9" s="1"/>
  <c r="K395" i="9"/>
  <c r="P395" i="9" s="1"/>
  <c r="D395" i="9"/>
  <c r="F396" i="9" s="1"/>
  <c r="G394" i="8"/>
  <c r="N394" i="8" s="1"/>
  <c r="O395" i="8"/>
  <c r="P395" i="8"/>
  <c r="E395" i="8"/>
  <c r="D395" i="8"/>
  <c r="D397" i="6"/>
  <c r="G396" i="6"/>
  <c r="J396" i="6" s="1"/>
  <c r="I397" i="6"/>
  <c r="L397" i="6" s="1"/>
  <c r="H397" i="6"/>
  <c r="K397" i="6" s="1"/>
  <c r="E397" i="6"/>
  <c r="F397" i="6"/>
  <c r="D398" i="7"/>
  <c r="F399" i="7" s="1"/>
  <c r="E398" i="7"/>
  <c r="G397" i="7"/>
  <c r="J397" i="7" s="1"/>
  <c r="F396" i="8" l="1"/>
  <c r="M396" i="8"/>
  <c r="Q396" i="8" s="1"/>
  <c r="K396" i="8"/>
  <c r="I396" i="8"/>
  <c r="I396" i="9"/>
  <c r="O396" i="9" s="1"/>
  <c r="G395" i="9"/>
  <c r="N395" i="9" s="1"/>
  <c r="D396" i="9"/>
  <c r="F397" i="9" s="1"/>
  <c r="K396" i="9"/>
  <c r="P396" i="9" s="1"/>
  <c r="M396" i="9"/>
  <c r="Q396" i="9" s="1"/>
  <c r="E396" i="9"/>
  <c r="D396" i="8"/>
  <c r="P396" i="8"/>
  <c r="O396" i="8"/>
  <c r="E396" i="8"/>
  <c r="G395" i="8"/>
  <c r="N395" i="8" s="1"/>
  <c r="I398" i="6"/>
  <c r="L398" i="6" s="1"/>
  <c r="H398" i="6"/>
  <c r="K398" i="6" s="1"/>
  <c r="F398" i="6"/>
  <c r="E398" i="6"/>
  <c r="D398" i="6"/>
  <c r="G397" i="6"/>
  <c r="J397" i="6" s="1"/>
  <c r="D399" i="7"/>
  <c r="F400" i="7" s="1"/>
  <c r="E399" i="7"/>
  <c r="I398" i="7"/>
  <c r="L398" i="7" s="1"/>
  <c r="H398" i="7"/>
  <c r="K398" i="7" s="1"/>
  <c r="I399" i="7"/>
  <c r="L399" i="7" s="1"/>
  <c r="G398" i="7"/>
  <c r="J398" i="7" s="1"/>
  <c r="H399" i="7"/>
  <c r="K399" i="7" s="1"/>
  <c r="F397" i="8" l="1"/>
  <c r="M397" i="8"/>
  <c r="Q397" i="8" s="1"/>
  <c r="K397" i="8"/>
  <c r="I397" i="8"/>
  <c r="K397" i="9"/>
  <c r="P397" i="9" s="1"/>
  <c r="I397" i="9"/>
  <c r="O397" i="9" s="1"/>
  <c r="G396" i="9"/>
  <c r="N396" i="9" s="1"/>
  <c r="E397" i="9"/>
  <c r="D397" i="9"/>
  <c r="F398" i="9" s="1"/>
  <c r="M397" i="9"/>
  <c r="Q397" i="9" s="1"/>
  <c r="O397" i="8"/>
  <c r="D397" i="8"/>
  <c r="E397" i="8"/>
  <c r="G396" i="8"/>
  <c r="N396" i="8" s="1"/>
  <c r="P397" i="8"/>
  <c r="G398" i="6"/>
  <c r="J398" i="6" s="1"/>
  <c r="I399" i="6"/>
  <c r="L399" i="6" s="1"/>
  <c r="H399" i="6"/>
  <c r="K399" i="6" s="1"/>
  <c r="F399" i="6"/>
  <c r="E399" i="6"/>
  <c r="D399" i="6"/>
  <c r="D400" i="7"/>
  <c r="F401" i="7" s="1"/>
  <c r="E400" i="7"/>
  <c r="I400" i="7"/>
  <c r="L400" i="7" s="1"/>
  <c r="H400" i="7"/>
  <c r="K400" i="7" s="1"/>
  <c r="G399" i="7"/>
  <c r="J399" i="7" s="1"/>
  <c r="F398" i="8" l="1"/>
  <c r="M398" i="8"/>
  <c r="Q398" i="8" s="1"/>
  <c r="K398" i="8"/>
  <c r="I398" i="8"/>
  <c r="M398" i="9"/>
  <c r="Q398" i="9" s="1"/>
  <c r="K398" i="9"/>
  <c r="P398" i="9" s="1"/>
  <c r="E398" i="9"/>
  <c r="D398" i="9"/>
  <c r="F399" i="9" s="1"/>
  <c r="I398" i="9"/>
  <c r="O398" i="9" s="1"/>
  <c r="G397" i="9"/>
  <c r="N397" i="9" s="1"/>
  <c r="P398" i="8"/>
  <c r="E398" i="8"/>
  <c r="G397" i="8"/>
  <c r="N397" i="8" s="1"/>
  <c r="O398" i="8"/>
  <c r="D398" i="8"/>
  <c r="I400" i="6"/>
  <c r="L400" i="6" s="1"/>
  <c r="H400" i="6"/>
  <c r="K400" i="6" s="1"/>
  <c r="F400" i="6"/>
  <c r="E400" i="6"/>
  <c r="D400" i="6"/>
  <c r="G399" i="6"/>
  <c r="J399" i="6" s="1"/>
  <c r="D401" i="7"/>
  <c r="F402" i="7" s="1"/>
  <c r="E401" i="7"/>
  <c r="I401" i="7"/>
  <c r="L401" i="7" s="1"/>
  <c r="H401" i="7"/>
  <c r="K401" i="7" s="1"/>
  <c r="G400" i="7"/>
  <c r="J400" i="7" s="1"/>
  <c r="F399" i="8" l="1"/>
  <c r="M399" i="8"/>
  <c r="K399" i="8"/>
  <c r="I399" i="8"/>
  <c r="Q399" i="8"/>
  <c r="M399" i="9"/>
  <c r="Q399" i="9" s="1"/>
  <c r="I399" i="9"/>
  <c r="O399" i="9" s="1"/>
  <c r="G398" i="9"/>
  <c r="N398" i="9" s="1"/>
  <c r="E399" i="9"/>
  <c r="K399" i="9"/>
  <c r="P399" i="9" s="1"/>
  <c r="D399" i="9"/>
  <c r="F400" i="9" s="1"/>
  <c r="P399" i="8"/>
  <c r="O399" i="8"/>
  <c r="E399" i="8"/>
  <c r="D399" i="8"/>
  <c r="G398" i="8"/>
  <c r="N398" i="8" s="1"/>
  <c r="G400" i="6"/>
  <c r="J400" i="6" s="1"/>
  <c r="I401" i="6"/>
  <c r="L401" i="6" s="1"/>
  <c r="H401" i="6"/>
  <c r="K401" i="6" s="1"/>
  <c r="F401" i="6"/>
  <c r="E401" i="6"/>
  <c r="D401" i="6"/>
  <c r="D402" i="7"/>
  <c r="F403" i="7" s="1"/>
  <c r="E402" i="7"/>
  <c r="I402" i="7"/>
  <c r="L402" i="7" s="1"/>
  <c r="G401" i="7"/>
  <c r="J401" i="7" s="1"/>
  <c r="H402" i="7"/>
  <c r="K402" i="7" s="1"/>
  <c r="F400" i="8" l="1"/>
  <c r="M400" i="8"/>
  <c r="K400" i="8"/>
  <c r="I400" i="8"/>
  <c r="Q400" i="8"/>
  <c r="K400" i="9"/>
  <c r="P400" i="9" s="1"/>
  <c r="I400" i="9"/>
  <c r="O400" i="9" s="1"/>
  <c r="G399" i="9"/>
  <c r="N399" i="9" s="1"/>
  <c r="E400" i="9"/>
  <c r="D400" i="9"/>
  <c r="F401" i="9" s="1"/>
  <c r="M400" i="9"/>
  <c r="Q400" i="9" s="1"/>
  <c r="P400" i="8"/>
  <c r="O400" i="8"/>
  <c r="D400" i="8"/>
  <c r="E400" i="8"/>
  <c r="G399" i="8"/>
  <c r="N399" i="8" s="1"/>
  <c r="F402" i="6"/>
  <c r="E402" i="6"/>
  <c r="D402" i="6"/>
  <c r="G401" i="6"/>
  <c r="J401" i="6" s="1"/>
  <c r="I402" i="6"/>
  <c r="L402" i="6" s="1"/>
  <c r="H402" i="6"/>
  <c r="K402" i="6" s="1"/>
  <c r="D403" i="7"/>
  <c r="F404" i="7" s="1"/>
  <c r="E403" i="7"/>
  <c r="I403" i="7"/>
  <c r="L403" i="7" s="1"/>
  <c r="G402" i="7"/>
  <c r="J402" i="7" s="1"/>
  <c r="F401" i="8" l="1"/>
  <c r="M401" i="8"/>
  <c r="K401" i="8"/>
  <c r="I401" i="8"/>
  <c r="Q401" i="8"/>
  <c r="D401" i="9"/>
  <c r="F402" i="9" s="1"/>
  <c r="M401" i="9"/>
  <c r="Q401" i="9" s="1"/>
  <c r="K401" i="9"/>
  <c r="P401" i="9" s="1"/>
  <c r="I401" i="9"/>
  <c r="O401" i="9" s="1"/>
  <c r="G400" i="9"/>
  <c r="N400" i="9" s="1"/>
  <c r="E401" i="9"/>
  <c r="E401" i="8"/>
  <c r="D401" i="8"/>
  <c r="P401" i="8"/>
  <c r="O401" i="8"/>
  <c r="G400" i="8"/>
  <c r="N400" i="8" s="1"/>
  <c r="G402" i="6"/>
  <c r="J402" i="6" s="1"/>
  <c r="I403" i="6"/>
  <c r="L403" i="6" s="1"/>
  <c r="H403" i="6"/>
  <c r="K403" i="6" s="1"/>
  <c r="F403" i="6"/>
  <c r="E403" i="6"/>
  <c r="D403" i="6"/>
  <c r="D404" i="7"/>
  <c r="F405" i="7" s="1"/>
  <c r="E404" i="7"/>
  <c r="H403" i="7"/>
  <c r="K403" i="7" s="1"/>
  <c r="I404" i="7"/>
  <c r="L404" i="7" s="1"/>
  <c r="H404" i="7"/>
  <c r="K404" i="7" s="1"/>
  <c r="G403" i="7"/>
  <c r="J403" i="7" s="1"/>
  <c r="F402" i="8" l="1"/>
  <c r="M402" i="8"/>
  <c r="K402" i="8"/>
  <c r="I402" i="8"/>
  <c r="Q402" i="8"/>
  <c r="E402" i="9"/>
  <c r="D402" i="9"/>
  <c r="F403" i="9" s="1"/>
  <c r="M402" i="9"/>
  <c r="Q402" i="9" s="1"/>
  <c r="K402" i="9"/>
  <c r="P402" i="9" s="1"/>
  <c r="I402" i="9"/>
  <c r="O402" i="9" s="1"/>
  <c r="G401" i="9"/>
  <c r="N401" i="9" s="1"/>
  <c r="G401" i="8"/>
  <c r="N401" i="8" s="1"/>
  <c r="P402" i="8"/>
  <c r="O402" i="8"/>
  <c r="E402" i="8"/>
  <c r="D402" i="8"/>
  <c r="E404" i="6"/>
  <c r="D404" i="6"/>
  <c r="G403" i="6"/>
  <c r="J403" i="6" s="1"/>
  <c r="I404" i="6"/>
  <c r="L404" i="6" s="1"/>
  <c r="H404" i="6"/>
  <c r="K404" i="6" s="1"/>
  <c r="F404" i="6"/>
  <c r="D405" i="7"/>
  <c r="F406" i="7" s="1"/>
  <c r="E405" i="7"/>
  <c r="H405" i="7"/>
  <c r="K405" i="7" s="1"/>
  <c r="I405" i="7"/>
  <c r="L405" i="7" s="1"/>
  <c r="G404" i="7"/>
  <c r="J404" i="7" s="1"/>
  <c r="F403" i="8" l="1"/>
  <c r="M403" i="8"/>
  <c r="K403" i="8"/>
  <c r="I403" i="8"/>
  <c r="Q403" i="8"/>
  <c r="E403" i="9"/>
  <c r="M403" i="9"/>
  <c r="Q403" i="9" s="1"/>
  <c r="I403" i="9"/>
  <c r="O403" i="9" s="1"/>
  <c r="G402" i="9"/>
  <c r="N402" i="9" s="1"/>
  <c r="K403" i="9"/>
  <c r="P403" i="9" s="1"/>
  <c r="D403" i="9"/>
  <c r="F404" i="9" s="1"/>
  <c r="E403" i="8"/>
  <c r="D403" i="8"/>
  <c r="P403" i="8"/>
  <c r="O403" i="8"/>
  <c r="G402" i="8"/>
  <c r="N402" i="8" s="1"/>
  <c r="I405" i="6"/>
  <c r="L405" i="6" s="1"/>
  <c r="H405" i="6"/>
  <c r="K405" i="6" s="1"/>
  <c r="F405" i="6"/>
  <c r="E405" i="6"/>
  <c r="D405" i="6"/>
  <c r="G404" i="6"/>
  <c r="J404" i="6" s="1"/>
  <c r="D406" i="7"/>
  <c r="F407" i="7" s="1"/>
  <c r="E406" i="7"/>
  <c r="H406" i="7"/>
  <c r="K406" i="7" s="1"/>
  <c r="I406" i="7"/>
  <c r="L406" i="7" s="1"/>
  <c r="G405" i="7"/>
  <c r="J405" i="7" s="1"/>
  <c r="F404" i="8" l="1"/>
  <c r="M404" i="8"/>
  <c r="Q404" i="8" s="1"/>
  <c r="K404" i="8"/>
  <c r="I404" i="8"/>
  <c r="I404" i="9"/>
  <c r="O404" i="9" s="1"/>
  <c r="G403" i="9"/>
  <c r="N403" i="9" s="1"/>
  <c r="D404" i="9"/>
  <c r="F405" i="9" s="1"/>
  <c r="K404" i="9"/>
  <c r="P404" i="9" s="1"/>
  <c r="E404" i="9"/>
  <c r="M404" i="9"/>
  <c r="Q404" i="9" s="1"/>
  <c r="P404" i="8"/>
  <c r="G403" i="8"/>
  <c r="N403" i="8" s="1"/>
  <c r="O404" i="8"/>
  <c r="E404" i="8"/>
  <c r="D404" i="8"/>
  <c r="G405" i="6"/>
  <c r="J405" i="6" s="1"/>
  <c r="I406" i="6"/>
  <c r="L406" i="6" s="1"/>
  <c r="H406" i="6"/>
  <c r="K406" i="6" s="1"/>
  <c r="E406" i="6"/>
  <c r="D406" i="6"/>
  <c r="F406" i="6"/>
  <c r="D407" i="7"/>
  <c r="F408" i="7" s="1"/>
  <c r="E407" i="7"/>
  <c r="G406" i="7"/>
  <c r="J406" i="7" s="1"/>
  <c r="F405" i="8" l="1"/>
  <c r="M405" i="8"/>
  <c r="K405" i="8"/>
  <c r="I405" i="8"/>
  <c r="Q405" i="8"/>
  <c r="M405" i="9"/>
  <c r="Q405" i="9" s="1"/>
  <c r="K405" i="9"/>
  <c r="P405" i="9" s="1"/>
  <c r="I405" i="9"/>
  <c r="O405" i="9" s="1"/>
  <c r="G404" i="9"/>
  <c r="N404" i="9" s="1"/>
  <c r="E405" i="9"/>
  <c r="D405" i="9"/>
  <c r="F406" i="9" s="1"/>
  <c r="P405" i="8"/>
  <c r="O405" i="8"/>
  <c r="E405" i="8"/>
  <c r="D405" i="8"/>
  <c r="G404" i="8"/>
  <c r="N404" i="8" s="1"/>
  <c r="I407" i="6"/>
  <c r="L407" i="6" s="1"/>
  <c r="H407" i="6"/>
  <c r="K407" i="6" s="1"/>
  <c r="F407" i="6"/>
  <c r="E407" i="6"/>
  <c r="D407" i="6"/>
  <c r="G406" i="6"/>
  <c r="J406" i="6" s="1"/>
  <c r="D408" i="7"/>
  <c r="F409" i="7" s="1"/>
  <c r="E408" i="7"/>
  <c r="I407" i="7"/>
  <c r="L407" i="7" s="1"/>
  <c r="H407" i="7"/>
  <c r="K407" i="7" s="1"/>
  <c r="H408" i="7"/>
  <c r="K408" i="7" s="1"/>
  <c r="G407" i="7"/>
  <c r="J407" i="7" s="1"/>
  <c r="F406" i="8" l="1"/>
  <c r="M406" i="8"/>
  <c r="K406" i="8"/>
  <c r="I406" i="8"/>
  <c r="Q406" i="8"/>
  <c r="M406" i="9"/>
  <c r="Q406" i="9" s="1"/>
  <c r="K406" i="9"/>
  <c r="P406" i="9" s="1"/>
  <c r="I406" i="9"/>
  <c r="O406" i="9" s="1"/>
  <c r="D406" i="9"/>
  <c r="F407" i="9" s="1"/>
  <c r="E406" i="9"/>
  <c r="G405" i="9"/>
  <c r="N405" i="9" s="1"/>
  <c r="P406" i="8"/>
  <c r="O406" i="8"/>
  <c r="E406" i="8"/>
  <c r="D406" i="8"/>
  <c r="G405" i="8"/>
  <c r="N405" i="8" s="1"/>
  <c r="G407" i="6"/>
  <c r="J407" i="6" s="1"/>
  <c r="I408" i="6"/>
  <c r="L408" i="6" s="1"/>
  <c r="H408" i="6"/>
  <c r="K408" i="6" s="1"/>
  <c r="F408" i="6"/>
  <c r="E408" i="6"/>
  <c r="D408" i="6"/>
  <c r="E409" i="7"/>
  <c r="D409" i="7"/>
  <c r="F410" i="7" s="1"/>
  <c r="I408" i="7"/>
  <c r="L408" i="7" s="1"/>
  <c r="G408" i="7"/>
  <c r="J408" i="7" s="1"/>
  <c r="F407" i="8" l="1"/>
  <c r="M407" i="8"/>
  <c r="Q407" i="8" s="1"/>
  <c r="I407" i="8"/>
  <c r="K407" i="8"/>
  <c r="E407" i="9"/>
  <c r="K407" i="9"/>
  <c r="P407" i="9" s="1"/>
  <c r="I407" i="9"/>
  <c r="O407" i="9" s="1"/>
  <c r="D407" i="9"/>
  <c r="F408" i="9" s="1"/>
  <c r="G406" i="9"/>
  <c r="N406" i="9" s="1"/>
  <c r="M407" i="9"/>
  <c r="Q407" i="9" s="1"/>
  <c r="G406" i="8"/>
  <c r="N406" i="8" s="1"/>
  <c r="P407" i="8"/>
  <c r="O407" i="8"/>
  <c r="E407" i="8"/>
  <c r="D407" i="8"/>
  <c r="H409" i="6"/>
  <c r="K409" i="6" s="1"/>
  <c r="F409" i="6"/>
  <c r="E409" i="6"/>
  <c r="D409" i="6"/>
  <c r="G408" i="6"/>
  <c r="J408" i="6" s="1"/>
  <c r="I409" i="6"/>
  <c r="L409" i="6" s="1"/>
  <c r="D410" i="7"/>
  <c r="F411" i="7" s="1"/>
  <c r="E410" i="7"/>
  <c r="H409" i="7"/>
  <c r="K409" i="7" s="1"/>
  <c r="I409" i="7"/>
  <c r="L409" i="7" s="1"/>
  <c r="I410" i="7"/>
  <c r="L410" i="7" s="1"/>
  <c r="H410" i="7"/>
  <c r="K410" i="7" s="1"/>
  <c r="G409" i="7"/>
  <c r="J409" i="7" s="1"/>
  <c r="F408" i="8" l="1"/>
  <c r="K408" i="8"/>
  <c r="M408" i="8"/>
  <c r="Q408" i="8" s="1"/>
  <c r="I408" i="8"/>
  <c r="E408" i="9"/>
  <c r="D408" i="9"/>
  <c r="F409" i="9" s="1"/>
  <c r="G407" i="9"/>
  <c r="N407" i="9" s="1"/>
  <c r="M408" i="9"/>
  <c r="Q408" i="9" s="1"/>
  <c r="K408" i="9"/>
  <c r="P408" i="9" s="1"/>
  <c r="I408" i="9"/>
  <c r="O408" i="9" s="1"/>
  <c r="O408" i="8"/>
  <c r="E408" i="8"/>
  <c r="P408" i="8"/>
  <c r="D408" i="8"/>
  <c r="G407" i="8"/>
  <c r="N407" i="8" s="1"/>
  <c r="G409" i="6"/>
  <c r="J409" i="6" s="1"/>
  <c r="I410" i="6"/>
  <c r="L410" i="6" s="1"/>
  <c r="H410" i="6"/>
  <c r="K410" i="6" s="1"/>
  <c r="F410" i="6"/>
  <c r="E410" i="6"/>
  <c r="D410" i="6"/>
  <c r="D411" i="7"/>
  <c r="F412" i="7" s="1"/>
  <c r="E411" i="7"/>
  <c r="G410" i="7"/>
  <c r="J410" i="7" s="1"/>
  <c r="I411" i="7"/>
  <c r="L411" i="7" s="1"/>
  <c r="H411" i="7"/>
  <c r="K411" i="7" s="1"/>
  <c r="F409" i="8" l="1"/>
  <c r="K409" i="8"/>
  <c r="M409" i="8"/>
  <c r="Q409" i="8" s="1"/>
  <c r="I409" i="8"/>
  <c r="I409" i="9"/>
  <c r="O409" i="9" s="1"/>
  <c r="G408" i="9"/>
  <c r="N408" i="9" s="1"/>
  <c r="E409" i="9"/>
  <c r="D409" i="9"/>
  <c r="F410" i="9" s="1"/>
  <c r="M409" i="9"/>
  <c r="Q409" i="9" s="1"/>
  <c r="K409" i="9"/>
  <c r="P409" i="9" s="1"/>
  <c r="G408" i="8"/>
  <c r="N408" i="8" s="1"/>
  <c r="P409" i="8"/>
  <c r="O409" i="8"/>
  <c r="E409" i="8"/>
  <c r="D409" i="8"/>
  <c r="F411" i="6"/>
  <c r="E411" i="6"/>
  <c r="D411" i="6"/>
  <c r="G410" i="6"/>
  <c r="J410" i="6" s="1"/>
  <c r="I411" i="6"/>
  <c r="L411" i="6" s="1"/>
  <c r="H411" i="6"/>
  <c r="K411" i="6" s="1"/>
  <c r="E412" i="7"/>
  <c r="D412" i="7"/>
  <c r="F413" i="7" s="1"/>
  <c r="G411" i="7"/>
  <c r="J411" i="7" s="1"/>
  <c r="I412" i="7"/>
  <c r="L412" i="7" s="1"/>
  <c r="H412" i="7"/>
  <c r="K412" i="7" s="1"/>
  <c r="F410" i="8" l="1"/>
  <c r="K410" i="8"/>
  <c r="I410" i="8"/>
  <c r="M410" i="8"/>
  <c r="Q410" i="8"/>
  <c r="K410" i="9"/>
  <c r="P410" i="9" s="1"/>
  <c r="I410" i="9"/>
  <c r="O410" i="9" s="1"/>
  <c r="G409" i="9"/>
  <c r="N409" i="9" s="1"/>
  <c r="E410" i="9"/>
  <c r="D410" i="9"/>
  <c r="F411" i="9" s="1"/>
  <c r="M410" i="9"/>
  <c r="Q410" i="9" s="1"/>
  <c r="E410" i="8"/>
  <c r="D410" i="8"/>
  <c r="P410" i="8"/>
  <c r="O410" i="8"/>
  <c r="G409" i="8"/>
  <c r="N409" i="8" s="1"/>
  <c r="I412" i="6"/>
  <c r="L412" i="6" s="1"/>
  <c r="H412" i="6"/>
  <c r="K412" i="6" s="1"/>
  <c r="F412" i="6"/>
  <c r="E412" i="6"/>
  <c r="D412" i="6"/>
  <c r="G411" i="6"/>
  <c r="J411" i="6" s="1"/>
  <c r="D413" i="7"/>
  <c r="F414" i="7" s="1"/>
  <c r="E413" i="7"/>
  <c r="I413" i="7"/>
  <c r="L413" i="7" s="1"/>
  <c r="H413" i="7"/>
  <c r="K413" i="7" s="1"/>
  <c r="G412" i="7"/>
  <c r="J412" i="7" s="1"/>
  <c r="F411" i="8" l="1"/>
  <c r="M411" i="8"/>
  <c r="Q411" i="8" s="1"/>
  <c r="K411" i="8"/>
  <c r="I411" i="8"/>
  <c r="M411" i="9"/>
  <c r="Q411" i="9" s="1"/>
  <c r="K411" i="9"/>
  <c r="P411" i="9" s="1"/>
  <c r="I411" i="9"/>
  <c r="O411" i="9" s="1"/>
  <c r="G410" i="9"/>
  <c r="N410" i="9" s="1"/>
  <c r="E411" i="9"/>
  <c r="D411" i="9"/>
  <c r="F412" i="9" s="1"/>
  <c r="D411" i="8"/>
  <c r="G410" i="8"/>
  <c r="N410" i="8" s="1"/>
  <c r="P411" i="8"/>
  <c r="O411" i="8"/>
  <c r="E411" i="8"/>
  <c r="D413" i="6"/>
  <c r="G412" i="6"/>
  <c r="J412" i="6" s="1"/>
  <c r="I413" i="6"/>
  <c r="L413" i="6" s="1"/>
  <c r="H413" i="6"/>
  <c r="K413" i="6" s="1"/>
  <c r="F413" i="6"/>
  <c r="E413" i="6"/>
  <c r="D414" i="7"/>
  <c r="F415" i="7" s="1"/>
  <c r="E414" i="7"/>
  <c r="G413" i="7"/>
  <c r="J413" i="7" s="1"/>
  <c r="F412" i="8" l="1"/>
  <c r="M412" i="8"/>
  <c r="Q412" i="8" s="1"/>
  <c r="K412" i="8"/>
  <c r="I412" i="8"/>
  <c r="M412" i="9"/>
  <c r="Q412" i="9" s="1"/>
  <c r="K412" i="9"/>
  <c r="P412" i="9" s="1"/>
  <c r="I412" i="9"/>
  <c r="O412" i="9" s="1"/>
  <c r="G411" i="9"/>
  <c r="N411" i="9" s="1"/>
  <c r="D412" i="9"/>
  <c r="F413" i="9" s="1"/>
  <c r="E412" i="9"/>
  <c r="D412" i="8"/>
  <c r="P412" i="8"/>
  <c r="O412" i="8"/>
  <c r="G411" i="8"/>
  <c r="N411" i="8" s="1"/>
  <c r="E412" i="8"/>
  <c r="I414" i="6"/>
  <c r="L414" i="6" s="1"/>
  <c r="H414" i="6"/>
  <c r="K414" i="6" s="1"/>
  <c r="F414" i="6"/>
  <c r="E414" i="6"/>
  <c r="D414" i="6"/>
  <c r="G413" i="6"/>
  <c r="J413" i="6" s="1"/>
  <c r="D415" i="7"/>
  <c r="F416" i="7" s="1"/>
  <c r="E415" i="7"/>
  <c r="I414" i="7"/>
  <c r="L414" i="7" s="1"/>
  <c r="H414" i="7"/>
  <c r="K414" i="7" s="1"/>
  <c r="I415" i="7"/>
  <c r="L415" i="7" s="1"/>
  <c r="G414" i="7"/>
  <c r="J414" i="7" s="1"/>
  <c r="H415" i="7"/>
  <c r="K415" i="7" s="1"/>
  <c r="F413" i="8" l="1"/>
  <c r="M413" i="8"/>
  <c r="Q413" i="8" s="1"/>
  <c r="I413" i="8"/>
  <c r="K413" i="8"/>
  <c r="M413" i="9"/>
  <c r="Q413" i="9" s="1"/>
  <c r="K413" i="9"/>
  <c r="P413" i="9" s="1"/>
  <c r="I413" i="9"/>
  <c r="O413" i="9" s="1"/>
  <c r="E413" i="9"/>
  <c r="D413" i="9"/>
  <c r="F414" i="9" s="1"/>
  <c r="G412" i="9"/>
  <c r="N412" i="9" s="1"/>
  <c r="P413" i="8"/>
  <c r="O413" i="8"/>
  <c r="E413" i="8"/>
  <c r="D413" i="8"/>
  <c r="G412" i="8"/>
  <c r="N412" i="8" s="1"/>
  <c r="G414" i="6"/>
  <c r="J414" i="6" s="1"/>
  <c r="I415" i="6"/>
  <c r="L415" i="6" s="1"/>
  <c r="H415" i="6"/>
  <c r="K415" i="6" s="1"/>
  <c r="F415" i="6"/>
  <c r="E415" i="6"/>
  <c r="D415" i="6"/>
  <c r="D416" i="7"/>
  <c r="F417" i="7" s="1"/>
  <c r="E416" i="7"/>
  <c r="I416" i="7"/>
  <c r="L416" i="7" s="1"/>
  <c r="H416" i="7"/>
  <c r="K416" i="7" s="1"/>
  <c r="G415" i="7"/>
  <c r="J415" i="7" s="1"/>
  <c r="F414" i="8" l="1"/>
  <c r="M414" i="8"/>
  <c r="Q414" i="8" s="1"/>
  <c r="K414" i="8"/>
  <c r="I414" i="8"/>
  <c r="M414" i="9"/>
  <c r="Q414" i="9" s="1"/>
  <c r="E414" i="9"/>
  <c r="D414" i="9"/>
  <c r="F415" i="9" s="1"/>
  <c r="G413" i="9"/>
  <c r="N413" i="9" s="1"/>
  <c r="K414" i="9"/>
  <c r="P414" i="9" s="1"/>
  <c r="I414" i="9"/>
  <c r="O414" i="9" s="1"/>
  <c r="P414" i="8"/>
  <c r="O414" i="8"/>
  <c r="E414" i="8"/>
  <c r="D414" i="8"/>
  <c r="G413" i="8"/>
  <c r="N413" i="8" s="1"/>
  <c r="I416" i="6"/>
  <c r="L416" i="6" s="1"/>
  <c r="H416" i="6"/>
  <c r="K416" i="6" s="1"/>
  <c r="F416" i="6"/>
  <c r="E416" i="6"/>
  <c r="D416" i="6"/>
  <c r="G415" i="6"/>
  <c r="J415" i="6" s="1"/>
  <c r="D417" i="7"/>
  <c r="F418" i="7" s="1"/>
  <c r="E417" i="7"/>
  <c r="I417" i="7"/>
  <c r="L417" i="7" s="1"/>
  <c r="H417" i="7"/>
  <c r="K417" i="7" s="1"/>
  <c r="G416" i="7"/>
  <c r="J416" i="7" s="1"/>
  <c r="F415" i="8" l="1"/>
  <c r="M415" i="8"/>
  <c r="I415" i="8"/>
  <c r="K415" i="8"/>
  <c r="Q415" i="8"/>
  <c r="E415" i="9"/>
  <c r="D415" i="9"/>
  <c r="F416" i="9" s="1"/>
  <c r="G414" i="9"/>
  <c r="N414" i="9" s="1"/>
  <c r="M415" i="9"/>
  <c r="Q415" i="9" s="1"/>
  <c r="K415" i="9"/>
  <c r="P415" i="9" s="1"/>
  <c r="I415" i="9"/>
  <c r="O415" i="9" s="1"/>
  <c r="P415" i="8"/>
  <c r="O415" i="8"/>
  <c r="E415" i="8"/>
  <c r="D415" i="8"/>
  <c r="G414" i="8"/>
  <c r="N414" i="8" s="1"/>
  <c r="G416" i="6"/>
  <c r="J416" i="6" s="1"/>
  <c r="I417" i="6"/>
  <c r="L417" i="6" s="1"/>
  <c r="H417" i="6"/>
  <c r="K417" i="6" s="1"/>
  <c r="F417" i="6"/>
  <c r="E417" i="6"/>
  <c r="D417" i="6"/>
  <c r="D418" i="7"/>
  <c r="F419" i="7" s="1"/>
  <c r="E418" i="7"/>
  <c r="I418" i="7"/>
  <c r="L418" i="7" s="1"/>
  <c r="G417" i="7"/>
  <c r="J417" i="7" s="1"/>
  <c r="H418" i="7"/>
  <c r="K418" i="7" s="1"/>
  <c r="F416" i="8" l="1"/>
  <c r="M416" i="8"/>
  <c r="Q416" i="8" s="1"/>
  <c r="K416" i="8"/>
  <c r="I416" i="8"/>
  <c r="E416" i="9"/>
  <c r="D416" i="9"/>
  <c r="F417" i="9" s="1"/>
  <c r="K416" i="9"/>
  <c r="P416" i="9" s="1"/>
  <c r="I416" i="9"/>
  <c r="O416" i="9" s="1"/>
  <c r="G415" i="9"/>
  <c r="N415" i="9" s="1"/>
  <c r="M416" i="9"/>
  <c r="Q416" i="9" s="1"/>
  <c r="G415" i="8"/>
  <c r="N415" i="8" s="1"/>
  <c r="O416" i="8"/>
  <c r="P416" i="8"/>
  <c r="E416" i="8"/>
  <c r="D416" i="8"/>
  <c r="F418" i="6"/>
  <c r="E418" i="6"/>
  <c r="D418" i="6"/>
  <c r="G417" i="6"/>
  <c r="J417" i="6" s="1"/>
  <c r="I418" i="6"/>
  <c r="L418" i="6" s="1"/>
  <c r="H418" i="6"/>
  <c r="K418" i="6" s="1"/>
  <c r="D419" i="7"/>
  <c r="F420" i="7" s="1"/>
  <c r="E419" i="7"/>
  <c r="I419" i="7"/>
  <c r="L419" i="7" s="1"/>
  <c r="H419" i="7"/>
  <c r="K419" i="7" s="1"/>
  <c r="G418" i="7"/>
  <c r="J418" i="7" s="1"/>
  <c r="F417" i="8" l="1"/>
  <c r="M417" i="8"/>
  <c r="K417" i="8"/>
  <c r="I417" i="8"/>
  <c r="Q417" i="8"/>
  <c r="I417" i="9"/>
  <c r="O417" i="9" s="1"/>
  <c r="G416" i="9"/>
  <c r="N416" i="9" s="1"/>
  <c r="E417" i="9"/>
  <c r="D417" i="9"/>
  <c r="F418" i="9" s="1"/>
  <c r="M417" i="9"/>
  <c r="Q417" i="9" s="1"/>
  <c r="K417" i="9"/>
  <c r="P417" i="9" s="1"/>
  <c r="E417" i="8"/>
  <c r="D417" i="8"/>
  <c r="P417" i="8"/>
  <c r="O417" i="8"/>
  <c r="G416" i="8"/>
  <c r="N416" i="8" s="1"/>
  <c r="G418" i="6"/>
  <c r="J418" i="6" s="1"/>
  <c r="I419" i="6"/>
  <c r="L419" i="6" s="1"/>
  <c r="H419" i="6"/>
  <c r="K419" i="6" s="1"/>
  <c r="F419" i="6"/>
  <c r="E419" i="6"/>
  <c r="D419" i="6"/>
  <c r="D420" i="7"/>
  <c r="F421" i="7" s="1"/>
  <c r="E420" i="7"/>
  <c r="I420" i="7"/>
  <c r="L420" i="7" s="1"/>
  <c r="H420" i="7"/>
  <c r="K420" i="7" s="1"/>
  <c r="G419" i="7"/>
  <c r="J419" i="7" s="1"/>
  <c r="F418" i="8" l="1"/>
  <c r="M418" i="8"/>
  <c r="Q418" i="8" s="1"/>
  <c r="K418" i="8"/>
  <c r="I418" i="8"/>
  <c r="K418" i="9"/>
  <c r="P418" i="9" s="1"/>
  <c r="I418" i="9"/>
  <c r="O418" i="9" s="1"/>
  <c r="G417" i="9"/>
  <c r="N417" i="9" s="1"/>
  <c r="E418" i="9"/>
  <c r="D418" i="9"/>
  <c r="F419" i="9" s="1"/>
  <c r="M418" i="9"/>
  <c r="Q418" i="9" s="1"/>
  <c r="G417" i="8"/>
  <c r="N417" i="8" s="1"/>
  <c r="E418" i="8"/>
  <c r="D418" i="8"/>
  <c r="P418" i="8"/>
  <c r="O418" i="8"/>
  <c r="E420" i="6"/>
  <c r="D420" i="6"/>
  <c r="G419" i="6"/>
  <c r="J419" i="6" s="1"/>
  <c r="I420" i="6"/>
  <c r="L420" i="6" s="1"/>
  <c r="H420" i="6"/>
  <c r="K420" i="6" s="1"/>
  <c r="F420" i="6"/>
  <c r="D421" i="7"/>
  <c r="F422" i="7" s="1"/>
  <c r="E421" i="7"/>
  <c r="H421" i="7"/>
  <c r="K421" i="7" s="1"/>
  <c r="I421" i="7"/>
  <c r="L421" i="7" s="1"/>
  <c r="G420" i="7"/>
  <c r="J420" i="7" s="1"/>
  <c r="F419" i="8" l="1"/>
  <c r="M419" i="8"/>
  <c r="Q419" i="8" s="1"/>
  <c r="K419" i="8"/>
  <c r="I419" i="8"/>
  <c r="M419" i="9"/>
  <c r="Q419" i="9" s="1"/>
  <c r="K419" i="9"/>
  <c r="P419" i="9" s="1"/>
  <c r="I419" i="9"/>
  <c r="O419" i="9" s="1"/>
  <c r="G418" i="9"/>
  <c r="N418" i="9" s="1"/>
  <c r="E419" i="9"/>
  <c r="D419" i="9"/>
  <c r="F420" i="9" s="1"/>
  <c r="E419" i="8"/>
  <c r="D419" i="8"/>
  <c r="P419" i="8"/>
  <c r="O419" i="8"/>
  <c r="G418" i="8"/>
  <c r="N418" i="8" s="1"/>
  <c r="I421" i="6"/>
  <c r="L421" i="6" s="1"/>
  <c r="H421" i="6"/>
  <c r="K421" i="6" s="1"/>
  <c r="F421" i="6"/>
  <c r="E421" i="6"/>
  <c r="D421" i="6"/>
  <c r="G420" i="6"/>
  <c r="J420" i="6" s="1"/>
  <c r="D422" i="7"/>
  <c r="F423" i="7" s="1"/>
  <c r="E422" i="7"/>
  <c r="H422" i="7"/>
  <c r="K422" i="7" s="1"/>
  <c r="I422" i="7"/>
  <c r="L422" i="7" s="1"/>
  <c r="G421" i="7"/>
  <c r="J421" i="7" s="1"/>
  <c r="F420" i="8" l="1"/>
  <c r="M420" i="8"/>
  <c r="K420" i="8"/>
  <c r="I420" i="8"/>
  <c r="Q420" i="8"/>
  <c r="M420" i="9"/>
  <c r="Q420" i="9" s="1"/>
  <c r="K420" i="9"/>
  <c r="P420" i="9" s="1"/>
  <c r="I420" i="9"/>
  <c r="O420" i="9" s="1"/>
  <c r="G419" i="9"/>
  <c r="N419" i="9" s="1"/>
  <c r="E420" i="9"/>
  <c r="D420" i="9"/>
  <c r="F421" i="9" s="1"/>
  <c r="P420" i="8"/>
  <c r="E420" i="8"/>
  <c r="D420" i="8"/>
  <c r="G419" i="8"/>
  <c r="N419" i="8" s="1"/>
  <c r="O420" i="8"/>
  <c r="G421" i="6"/>
  <c r="J421" i="6" s="1"/>
  <c r="I422" i="6"/>
  <c r="L422" i="6" s="1"/>
  <c r="H422" i="6"/>
  <c r="K422" i="6" s="1"/>
  <c r="F422" i="6"/>
  <c r="E422" i="6"/>
  <c r="D422" i="6"/>
  <c r="D423" i="7"/>
  <c r="F424" i="7" s="1"/>
  <c r="E423" i="7"/>
  <c r="I423" i="7"/>
  <c r="L423" i="7" s="1"/>
  <c r="G422" i="7"/>
  <c r="J422" i="7" s="1"/>
  <c r="F421" i="8" l="1"/>
  <c r="M421" i="8"/>
  <c r="Q421" i="8" s="1"/>
  <c r="K421" i="8"/>
  <c r="I421" i="8"/>
  <c r="M421" i="9"/>
  <c r="Q421" i="9" s="1"/>
  <c r="K421" i="9"/>
  <c r="P421" i="9" s="1"/>
  <c r="E421" i="9"/>
  <c r="D421" i="9"/>
  <c r="F422" i="9" s="1"/>
  <c r="G420" i="9"/>
  <c r="N420" i="9" s="1"/>
  <c r="I421" i="9"/>
  <c r="O421" i="9" s="1"/>
  <c r="G420" i="8"/>
  <c r="N420" i="8" s="1"/>
  <c r="P421" i="8"/>
  <c r="O421" i="8"/>
  <c r="E421" i="8"/>
  <c r="D421" i="8"/>
  <c r="I423" i="6"/>
  <c r="L423" i="6" s="1"/>
  <c r="H423" i="6"/>
  <c r="K423" i="6" s="1"/>
  <c r="F423" i="6"/>
  <c r="E423" i="6"/>
  <c r="D423" i="6"/>
  <c r="G422" i="6"/>
  <c r="J422" i="6" s="1"/>
  <c r="E424" i="7"/>
  <c r="D424" i="7"/>
  <c r="F425" i="7" s="1"/>
  <c r="H423" i="7"/>
  <c r="K423" i="7" s="1"/>
  <c r="H424" i="7"/>
  <c r="K424" i="7" s="1"/>
  <c r="I424" i="7"/>
  <c r="L424" i="7" s="1"/>
  <c r="G423" i="7"/>
  <c r="J423" i="7" s="1"/>
  <c r="F422" i="8" l="1"/>
  <c r="M422" i="8"/>
  <c r="I422" i="8"/>
  <c r="K422" i="8"/>
  <c r="Q422" i="8"/>
  <c r="M422" i="9"/>
  <c r="Q422" i="9" s="1"/>
  <c r="K422" i="9"/>
  <c r="P422" i="9" s="1"/>
  <c r="I422" i="9"/>
  <c r="O422" i="9" s="1"/>
  <c r="E422" i="9"/>
  <c r="D422" i="9"/>
  <c r="F423" i="9" s="1"/>
  <c r="G421" i="9"/>
  <c r="N421" i="9" s="1"/>
  <c r="P422" i="8"/>
  <c r="O422" i="8"/>
  <c r="E422" i="8"/>
  <c r="D422" i="8"/>
  <c r="G421" i="8"/>
  <c r="N421" i="8" s="1"/>
  <c r="G423" i="6"/>
  <c r="J423" i="6" s="1"/>
  <c r="I424" i="6"/>
  <c r="L424" i="6" s="1"/>
  <c r="H424" i="6"/>
  <c r="K424" i="6" s="1"/>
  <c r="F424" i="6"/>
  <c r="E424" i="6"/>
  <c r="D424" i="6"/>
  <c r="D425" i="7"/>
  <c r="F426" i="7" s="1"/>
  <c r="E425" i="7"/>
  <c r="H425" i="7"/>
  <c r="K425" i="7" s="1"/>
  <c r="I425" i="7"/>
  <c r="L425" i="7" s="1"/>
  <c r="G424" i="7"/>
  <c r="J424" i="7" s="1"/>
  <c r="F423" i="8" l="1"/>
  <c r="M423" i="8"/>
  <c r="Q423" i="8" s="1"/>
  <c r="I423" i="8"/>
  <c r="K423" i="8"/>
  <c r="E423" i="9"/>
  <c r="D423" i="9"/>
  <c r="F424" i="9" s="1"/>
  <c r="M423" i="9"/>
  <c r="Q423" i="9" s="1"/>
  <c r="K423" i="9"/>
  <c r="P423" i="9" s="1"/>
  <c r="I423" i="9"/>
  <c r="O423" i="9" s="1"/>
  <c r="G422" i="9"/>
  <c r="N422" i="9" s="1"/>
  <c r="G422" i="8"/>
  <c r="N422" i="8" s="1"/>
  <c r="D423" i="8"/>
  <c r="P423" i="8"/>
  <c r="O423" i="8"/>
  <c r="E423" i="8"/>
  <c r="H425" i="6"/>
  <c r="K425" i="6" s="1"/>
  <c r="F425" i="6"/>
  <c r="E425" i="6"/>
  <c r="D425" i="6"/>
  <c r="G424" i="6"/>
  <c r="J424" i="6" s="1"/>
  <c r="I425" i="6"/>
  <c r="L425" i="6" s="1"/>
  <c r="E426" i="7"/>
  <c r="D426" i="7"/>
  <c r="F427" i="7" s="1"/>
  <c r="H426" i="7"/>
  <c r="K426" i="7" s="1"/>
  <c r="I426" i="7"/>
  <c r="L426" i="7" s="1"/>
  <c r="G425" i="7"/>
  <c r="J425" i="7" s="1"/>
  <c r="F424" i="8" l="1"/>
  <c r="K424" i="8"/>
  <c r="M424" i="8"/>
  <c r="Q424" i="8" s="1"/>
  <c r="I424" i="8"/>
  <c r="E424" i="9"/>
  <c r="D424" i="9"/>
  <c r="F425" i="9" s="1"/>
  <c r="G423" i="9"/>
  <c r="N423" i="9" s="1"/>
  <c r="M424" i="9"/>
  <c r="Q424" i="9" s="1"/>
  <c r="K424" i="9"/>
  <c r="P424" i="9" s="1"/>
  <c r="I424" i="9"/>
  <c r="O424" i="9" s="1"/>
  <c r="O424" i="8"/>
  <c r="E424" i="8"/>
  <c r="P424" i="8"/>
  <c r="D424" i="8"/>
  <c r="G423" i="8"/>
  <c r="N423" i="8" s="1"/>
  <c r="G425" i="6"/>
  <c r="J425" i="6" s="1"/>
  <c r="I426" i="6"/>
  <c r="L426" i="6" s="1"/>
  <c r="H426" i="6"/>
  <c r="K426" i="6" s="1"/>
  <c r="F426" i="6"/>
  <c r="E426" i="6"/>
  <c r="D426" i="6"/>
  <c r="D427" i="7"/>
  <c r="F428" i="7" s="1"/>
  <c r="E427" i="7"/>
  <c r="I427" i="7"/>
  <c r="L427" i="7" s="1"/>
  <c r="G426" i="7"/>
  <c r="J426" i="7" s="1"/>
  <c r="H427" i="7"/>
  <c r="K427" i="7" s="1"/>
  <c r="F425" i="8" l="1"/>
  <c r="K425" i="8"/>
  <c r="M425" i="8"/>
  <c r="Q425" i="8" s="1"/>
  <c r="I425" i="8"/>
  <c r="I425" i="9"/>
  <c r="O425" i="9" s="1"/>
  <c r="G424" i="9"/>
  <c r="N424" i="9" s="1"/>
  <c r="E425" i="9"/>
  <c r="D425" i="9"/>
  <c r="F426" i="9" s="1"/>
  <c r="M425" i="9"/>
  <c r="Q425" i="9" s="1"/>
  <c r="K425" i="9"/>
  <c r="P425" i="9" s="1"/>
  <c r="G424" i="8"/>
  <c r="N424" i="8" s="1"/>
  <c r="E425" i="8"/>
  <c r="D425" i="8"/>
  <c r="P425" i="8"/>
  <c r="O425" i="8"/>
  <c r="F427" i="6"/>
  <c r="E427" i="6"/>
  <c r="D427" i="6"/>
  <c r="G426" i="6"/>
  <c r="J426" i="6" s="1"/>
  <c r="I427" i="6"/>
  <c r="L427" i="6" s="1"/>
  <c r="H427" i="6"/>
  <c r="K427" i="6" s="1"/>
  <c r="E428" i="7"/>
  <c r="D428" i="7"/>
  <c r="F429" i="7" s="1"/>
  <c r="I428" i="7"/>
  <c r="L428" i="7" s="1"/>
  <c r="H428" i="7"/>
  <c r="K428" i="7" s="1"/>
  <c r="G427" i="7"/>
  <c r="J427" i="7" s="1"/>
  <c r="F426" i="8" l="1"/>
  <c r="K426" i="8"/>
  <c r="I426" i="8"/>
  <c r="M426" i="8"/>
  <c r="Q426" i="8" s="1"/>
  <c r="K426" i="9"/>
  <c r="P426" i="9" s="1"/>
  <c r="I426" i="9"/>
  <c r="O426" i="9" s="1"/>
  <c r="G425" i="9"/>
  <c r="N425" i="9" s="1"/>
  <c r="E426" i="9"/>
  <c r="D426" i="9"/>
  <c r="F427" i="9" s="1"/>
  <c r="M426" i="9"/>
  <c r="Q426" i="9" s="1"/>
  <c r="E426" i="8"/>
  <c r="D426" i="8"/>
  <c r="P426" i="8"/>
  <c r="O426" i="8"/>
  <c r="G425" i="8"/>
  <c r="N425" i="8" s="1"/>
  <c r="I428" i="6"/>
  <c r="L428" i="6" s="1"/>
  <c r="H428" i="6"/>
  <c r="K428" i="6" s="1"/>
  <c r="F428" i="6"/>
  <c r="E428" i="6"/>
  <c r="D428" i="6"/>
  <c r="G427" i="6"/>
  <c r="J427" i="6" s="1"/>
  <c r="D429" i="7"/>
  <c r="F430" i="7" s="1"/>
  <c r="E429" i="7"/>
  <c r="I429" i="7"/>
  <c r="L429" i="7" s="1"/>
  <c r="H429" i="7"/>
  <c r="K429" i="7" s="1"/>
  <c r="G428" i="7"/>
  <c r="J428" i="7" s="1"/>
  <c r="F427" i="8" l="1"/>
  <c r="M427" i="8"/>
  <c r="K427" i="8"/>
  <c r="I427" i="8"/>
  <c r="Q427" i="8"/>
  <c r="M427" i="9"/>
  <c r="Q427" i="9" s="1"/>
  <c r="K427" i="9"/>
  <c r="P427" i="9" s="1"/>
  <c r="I427" i="9"/>
  <c r="O427" i="9" s="1"/>
  <c r="G426" i="9"/>
  <c r="N426" i="9" s="1"/>
  <c r="E427" i="9"/>
  <c r="D427" i="9"/>
  <c r="F428" i="9" s="1"/>
  <c r="O427" i="8"/>
  <c r="E427" i="8"/>
  <c r="D427" i="8"/>
  <c r="P427" i="8"/>
  <c r="G426" i="8"/>
  <c r="N426" i="8" s="1"/>
  <c r="D429" i="6"/>
  <c r="G428" i="6"/>
  <c r="J428" i="6" s="1"/>
  <c r="I429" i="6"/>
  <c r="L429" i="6" s="1"/>
  <c r="H429" i="6"/>
  <c r="K429" i="6" s="1"/>
  <c r="F429" i="6"/>
  <c r="E429" i="6"/>
  <c r="D430" i="7"/>
  <c r="F431" i="7" s="1"/>
  <c r="E430" i="7"/>
  <c r="G429" i="7"/>
  <c r="J429" i="7" s="1"/>
  <c r="F428" i="8" l="1"/>
  <c r="M428" i="8"/>
  <c r="Q428" i="8" s="1"/>
  <c r="K428" i="8"/>
  <c r="I428" i="8"/>
  <c r="M428" i="9"/>
  <c r="Q428" i="9" s="1"/>
  <c r="K428" i="9"/>
  <c r="P428" i="9" s="1"/>
  <c r="I428" i="9"/>
  <c r="O428" i="9" s="1"/>
  <c r="G427" i="9"/>
  <c r="N427" i="9" s="1"/>
  <c r="E428" i="9"/>
  <c r="D428" i="9"/>
  <c r="F429" i="9" s="1"/>
  <c r="D428" i="8"/>
  <c r="G427" i="8"/>
  <c r="N427" i="8" s="1"/>
  <c r="O428" i="8"/>
  <c r="P428" i="8"/>
  <c r="E428" i="8"/>
  <c r="I430" i="6"/>
  <c r="L430" i="6" s="1"/>
  <c r="H430" i="6"/>
  <c r="K430" i="6" s="1"/>
  <c r="F430" i="6"/>
  <c r="E430" i="6"/>
  <c r="D430" i="6"/>
  <c r="G429" i="6"/>
  <c r="J429" i="6" s="1"/>
  <c r="D431" i="7"/>
  <c r="F432" i="7" s="1"/>
  <c r="E431" i="7"/>
  <c r="I430" i="7"/>
  <c r="L430" i="7" s="1"/>
  <c r="H430" i="7"/>
  <c r="K430" i="7" s="1"/>
  <c r="I431" i="7"/>
  <c r="L431" i="7" s="1"/>
  <c r="H431" i="7"/>
  <c r="K431" i="7" s="1"/>
  <c r="G430" i="7"/>
  <c r="J430" i="7" s="1"/>
  <c r="F429" i="8" l="1"/>
  <c r="M429" i="8"/>
  <c r="Q429" i="8" s="1"/>
  <c r="I429" i="8"/>
  <c r="K429" i="8"/>
  <c r="M429" i="9"/>
  <c r="Q429" i="9" s="1"/>
  <c r="K429" i="9"/>
  <c r="P429" i="9" s="1"/>
  <c r="I429" i="9"/>
  <c r="O429" i="9" s="1"/>
  <c r="G428" i="9"/>
  <c r="N428" i="9" s="1"/>
  <c r="D429" i="9"/>
  <c r="F430" i="9" s="1"/>
  <c r="E429" i="9"/>
  <c r="P429" i="8"/>
  <c r="O429" i="8"/>
  <c r="E429" i="8"/>
  <c r="D429" i="8"/>
  <c r="G428" i="8"/>
  <c r="N428" i="8" s="1"/>
  <c r="G430" i="6"/>
  <c r="J430" i="6" s="1"/>
  <c r="I431" i="6"/>
  <c r="L431" i="6" s="1"/>
  <c r="H431" i="6"/>
  <c r="K431" i="6" s="1"/>
  <c r="F431" i="6"/>
  <c r="E431" i="6"/>
  <c r="D431" i="6"/>
  <c r="D432" i="7"/>
  <c r="F433" i="7" s="1"/>
  <c r="E432" i="7"/>
  <c r="I432" i="7"/>
  <c r="L432" i="7" s="1"/>
  <c r="H432" i="7"/>
  <c r="K432" i="7" s="1"/>
  <c r="G431" i="7"/>
  <c r="J431" i="7" s="1"/>
  <c r="F430" i="8" l="1"/>
  <c r="M430" i="8"/>
  <c r="Q430" i="8" s="1"/>
  <c r="K430" i="8"/>
  <c r="I430" i="8"/>
  <c r="M430" i="9"/>
  <c r="Q430" i="9" s="1"/>
  <c r="K430" i="9"/>
  <c r="P430" i="9" s="1"/>
  <c r="I430" i="9"/>
  <c r="O430" i="9" s="1"/>
  <c r="E430" i="9"/>
  <c r="D430" i="9"/>
  <c r="F431" i="9" s="1"/>
  <c r="G429" i="9"/>
  <c r="N429" i="9" s="1"/>
  <c r="E430" i="8"/>
  <c r="D430" i="8"/>
  <c r="G429" i="8"/>
  <c r="N429" i="8" s="1"/>
  <c r="P430" i="8"/>
  <c r="O430" i="8"/>
  <c r="I432" i="6"/>
  <c r="L432" i="6" s="1"/>
  <c r="H432" i="6"/>
  <c r="K432" i="6" s="1"/>
  <c r="F432" i="6"/>
  <c r="E432" i="6"/>
  <c r="D432" i="6"/>
  <c r="G431" i="6"/>
  <c r="J431" i="6" s="1"/>
  <c r="E433" i="7"/>
  <c r="D433" i="7"/>
  <c r="F434" i="7" s="1"/>
  <c r="I433" i="7"/>
  <c r="L433" i="7" s="1"/>
  <c r="H433" i="7"/>
  <c r="K433" i="7" s="1"/>
  <c r="G432" i="7"/>
  <c r="J432" i="7" s="1"/>
  <c r="F431" i="8" l="1"/>
  <c r="M431" i="8"/>
  <c r="I431" i="8"/>
  <c r="K431" i="8"/>
  <c r="Q431" i="8"/>
  <c r="E431" i="9"/>
  <c r="D431" i="9"/>
  <c r="F432" i="9" s="1"/>
  <c r="M431" i="9"/>
  <c r="Q431" i="9" s="1"/>
  <c r="I431" i="9"/>
  <c r="O431" i="9" s="1"/>
  <c r="G430" i="9"/>
  <c r="N430" i="9" s="1"/>
  <c r="K431" i="9"/>
  <c r="P431" i="9" s="1"/>
  <c r="P431" i="8"/>
  <c r="O431" i="8"/>
  <c r="E431" i="8"/>
  <c r="D431" i="8"/>
  <c r="G430" i="8"/>
  <c r="N430" i="8" s="1"/>
  <c r="G432" i="6"/>
  <c r="J432" i="6" s="1"/>
  <c r="I433" i="6"/>
  <c r="L433" i="6" s="1"/>
  <c r="H433" i="6"/>
  <c r="K433" i="6" s="1"/>
  <c r="F433" i="6"/>
  <c r="E433" i="6"/>
  <c r="D433" i="6"/>
  <c r="D434" i="7"/>
  <c r="F435" i="7" s="1"/>
  <c r="E434" i="7"/>
  <c r="I434" i="7"/>
  <c r="L434" i="7" s="1"/>
  <c r="G433" i="7"/>
  <c r="J433" i="7" s="1"/>
  <c r="H434" i="7"/>
  <c r="K434" i="7" s="1"/>
  <c r="F432" i="8" l="1"/>
  <c r="M432" i="8"/>
  <c r="K432" i="8"/>
  <c r="I432" i="8"/>
  <c r="Q432" i="8"/>
  <c r="E432" i="9"/>
  <c r="D432" i="9"/>
  <c r="F433" i="9" s="1"/>
  <c r="G431" i="9"/>
  <c r="N431" i="9" s="1"/>
  <c r="M432" i="9"/>
  <c r="Q432" i="9" s="1"/>
  <c r="K432" i="9"/>
  <c r="P432" i="9" s="1"/>
  <c r="I432" i="9"/>
  <c r="O432" i="9" s="1"/>
  <c r="G431" i="8"/>
  <c r="N431" i="8" s="1"/>
  <c r="E432" i="8"/>
  <c r="D432" i="8"/>
  <c r="P432" i="8"/>
  <c r="O432" i="8"/>
  <c r="F434" i="6"/>
  <c r="E434" i="6"/>
  <c r="D434" i="6"/>
  <c r="G433" i="6"/>
  <c r="J433" i="6" s="1"/>
  <c r="I434" i="6"/>
  <c r="L434" i="6" s="1"/>
  <c r="H434" i="6"/>
  <c r="K434" i="6" s="1"/>
  <c r="E435" i="7"/>
  <c r="D435" i="7"/>
  <c r="F436" i="7" s="1"/>
  <c r="I435" i="7"/>
  <c r="L435" i="7" s="1"/>
  <c r="G434" i="7"/>
  <c r="J434" i="7" s="1"/>
  <c r="H435" i="7"/>
  <c r="K435" i="7" s="1"/>
  <c r="F433" i="8" l="1"/>
  <c r="M433" i="8"/>
  <c r="Q433" i="8" s="1"/>
  <c r="K433" i="8"/>
  <c r="I433" i="8"/>
  <c r="I433" i="9"/>
  <c r="O433" i="9" s="1"/>
  <c r="G432" i="9"/>
  <c r="N432" i="9" s="1"/>
  <c r="E433" i="9"/>
  <c r="D433" i="9"/>
  <c r="F434" i="9" s="1"/>
  <c r="M433" i="9"/>
  <c r="Q433" i="9" s="1"/>
  <c r="K433" i="9"/>
  <c r="P433" i="9" s="1"/>
  <c r="E433" i="8"/>
  <c r="D433" i="8"/>
  <c r="G432" i="8"/>
  <c r="N432" i="8" s="1"/>
  <c r="P433" i="8"/>
  <c r="O433" i="8"/>
  <c r="G434" i="6"/>
  <c r="J434" i="6" s="1"/>
  <c r="I435" i="6"/>
  <c r="L435" i="6" s="1"/>
  <c r="H435" i="6"/>
  <c r="K435" i="6" s="1"/>
  <c r="F435" i="6"/>
  <c r="E435" i="6"/>
  <c r="D435" i="6"/>
  <c r="D436" i="7"/>
  <c r="F437" i="7" s="1"/>
  <c r="E436" i="7"/>
  <c r="I436" i="7"/>
  <c r="L436" i="7" s="1"/>
  <c r="H436" i="7"/>
  <c r="K436" i="7" s="1"/>
  <c r="G435" i="7"/>
  <c r="J435" i="7" s="1"/>
  <c r="F434" i="8" l="1"/>
  <c r="M434" i="8"/>
  <c r="K434" i="8"/>
  <c r="I434" i="8"/>
  <c r="Q434" i="8"/>
  <c r="K434" i="9"/>
  <c r="P434" i="9" s="1"/>
  <c r="I434" i="9"/>
  <c r="O434" i="9" s="1"/>
  <c r="G433" i="9"/>
  <c r="N433" i="9" s="1"/>
  <c r="E434" i="9"/>
  <c r="D434" i="9"/>
  <c r="F435" i="9" s="1"/>
  <c r="M434" i="9"/>
  <c r="Q434" i="9" s="1"/>
  <c r="G433" i="8"/>
  <c r="N433" i="8" s="1"/>
  <c r="P434" i="8"/>
  <c r="O434" i="8"/>
  <c r="E434" i="8"/>
  <c r="D434" i="8"/>
  <c r="E436" i="6"/>
  <c r="D436" i="6"/>
  <c r="G435" i="6"/>
  <c r="J435" i="6" s="1"/>
  <c r="I436" i="6"/>
  <c r="L436" i="6" s="1"/>
  <c r="H436" i="6"/>
  <c r="K436" i="6" s="1"/>
  <c r="F436" i="6"/>
  <c r="D437" i="7"/>
  <c r="F438" i="7" s="1"/>
  <c r="E437" i="7"/>
  <c r="H437" i="7"/>
  <c r="K437" i="7" s="1"/>
  <c r="I437" i="7"/>
  <c r="L437" i="7" s="1"/>
  <c r="G436" i="7"/>
  <c r="J436" i="7" s="1"/>
  <c r="F435" i="8" l="1"/>
  <c r="M435" i="8"/>
  <c r="Q435" i="8" s="1"/>
  <c r="K435" i="8"/>
  <c r="I435" i="8"/>
  <c r="M435" i="9"/>
  <c r="Q435" i="9" s="1"/>
  <c r="K435" i="9"/>
  <c r="P435" i="9" s="1"/>
  <c r="I435" i="9"/>
  <c r="O435" i="9" s="1"/>
  <c r="G434" i="9"/>
  <c r="N434" i="9" s="1"/>
  <c r="E435" i="9"/>
  <c r="D435" i="9"/>
  <c r="F436" i="9" s="1"/>
  <c r="E435" i="8"/>
  <c r="D435" i="8"/>
  <c r="G434" i="8"/>
  <c r="N434" i="8" s="1"/>
  <c r="P435" i="8"/>
  <c r="O435" i="8"/>
  <c r="I437" i="6"/>
  <c r="L437" i="6" s="1"/>
  <c r="H437" i="6"/>
  <c r="K437" i="6" s="1"/>
  <c r="F437" i="6"/>
  <c r="E437" i="6"/>
  <c r="D437" i="6"/>
  <c r="G436" i="6"/>
  <c r="J436" i="6" s="1"/>
  <c r="E438" i="7"/>
  <c r="D438" i="7"/>
  <c r="F439" i="7" s="1"/>
  <c r="H438" i="7"/>
  <c r="K438" i="7" s="1"/>
  <c r="I438" i="7"/>
  <c r="L438" i="7" s="1"/>
  <c r="G437" i="7"/>
  <c r="J437" i="7" s="1"/>
  <c r="F436" i="8" l="1"/>
  <c r="M436" i="8"/>
  <c r="K436" i="8"/>
  <c r="I436" i="8"/>
  <c r="Q436" i="8"/>
  <c r="M436" i="9"/>
  <c r="Q436" i="9" s="1"/>
  <c r="K436" i="9"/>
  <c r="P436" i="9" s="1"/>
  <c r="I436" i="9"/>
  <c r="O436" i="9" s="1"/>
  <c r="G435" i="9"/>
  <c r="N435" i="9" s="1"/>
  <c r="E436" i="9"/>
  <c r="D436" i="9"/>
  <c r="F437" i="9" s="1"/>
  <c r="P436" i="8"/>
  <c r="O436" i="8"/>
  <c r="E436" i="8"/>
  <c r="D436" i="8"/>
  <c r="G435" i="8"/>
  <c r="N435" i="8" s="1"/>
  <c r="G437" i="6"/>
  <c r="J437" i="6" s="1"/>
  <c r="I438" i="6"/>
  <c r="L438" i="6" s="1"/>
  <c r="H438" i="6"/>
  <c r="K438" i="6" s="1"/>
  <c r="F438" i="6"/>
  <c r="E438" i="6"/>
  <c r="D438" i="6"/>
  <c r="D439" i="7"/>
  <c r="F440" i="7" s="1"/>
  <c r="E439" i="7"/>
  <c r="I439" i="7"/>
  <c r="L439" i="7" s="1"/>
  <c r="H439" i="7"/>
  <c r="K439" i="7" s="1"/>
  <c r="G438" i="7"/>
  <c r="J438" i="7" s="1"/>
  <c r="F437" i="8" l="1"/>
  <c r="M437" i="8"/>
  <c r="Q437" i="8" s="1"/>
  <c r="K437" i="8"/>
  <c r="I437" i="8"/>
  <c r="M437" i="9"/>
  <c r="Q437" i="9" s="1"/>
  <c r="K437" i="9"/>
  <c r="P437" i="9" s="1"/>
  <c r="I437" i="9"/>
  <c r="O437" i="9" s="1"/>
  <c r="G436" i="9"/>
  <c r="N436" i="9" s="1"/>
  <c r="D437" i="9"/>
  <c r="F438" i="9" s="1"/>
  <c r="E437" i="9"/>
  <c r="E437" i="8"/>
  <c r="D437" i="8"/>
  <c r="G436" i="8"/>
  <c r="N436" i="8" s="1"/>
  <c r="O437" i="8"/>
  <c r="P437" i="8"/>
  <c r="I439" i="6"/>
  <c r="L439" i="6" s="1"/>
  <c r="H439" i="6"/>
  <c r="K439" i="6" s="1"/>
  <c r="F439" i="6"/>
  <c r="E439" i="6"/>
  <c r="D439" i="6"/>
  <c r="G438" i="6"/>
  <c r="J438" i="6" s="1"/>
  <c r="D440" i="7"/>
  <c r="F441" i="7" s="1"/>
  <c r="E440" i="7"/>
  <c r="H440" i="7"/>
  <c r="K440" i="7" s="1"/>
  <c r="I440" i="7"/>
  <c r="L440" i="7" s="1"/>
  <c r="G439" i="7"/>
  <c r="J439" i="7" s="1"/>
  <c r="F438" i="8" l="1"/>
  <c r="M438" i="8"/>
  <c r="Q438" i="8" s="1"/>
  <c r="K438" i="8"/>
  <c r="I438" i="8"/>
  <c r="M438" i="9"/>
  <c r="Q438" i="9" s="1"/>
  <c r="K438" i="9"/>
  <c r="P438" i="9" s="1"/>
  <c r="I438" i="9"/>
  <c r="O438" i="9" s="1"/>
  <c r="E438" i="9"/>
  <c r="D438" i="9"/>
  <c r="F439" i="9" s="1"/>
  <c r="G437" i="9"/>
  <c r="N437" i="9" s="1"/>
  <c r="P438" i="8"/>
  <c r="O438" i="8"/>
  <c r="E438" i="8"/>
  <c r="D438" i="8"/>
  <c r="G437" i="8"/>
  <c r="N437" i="8" s="1"/>
  <c r="G439" i="6"/>
  <c r="J439" i="6" s="1"/>
  <c r="I440" i="6"/>
  <c r="L440" i="6" s="1"/>
  <c r="H440" i="6"/>
  <c r="K440" i="6" s="1"/>
  <c r="F440" i="6"/>
  <c r="E440" i="6"/>
  <c r="D440" i="6"/>
  <c r="D441" i="7"/>
  <c r="F442" i="7" s="1"/>
  <c r="E441" i="7"/>
  <c r="H441" i="7"/>
  <c r="K441" i="7" s="1"/>
  <c r="I441" i="7"/>
  <c r="L441" i="7" s="1"/>
  <c r="G440" i="7"/>
  <c r="J440" i="7" s="1"/>
  <c r="F439" i="8" l="1"/>
  <c r="M439" i="8"/>
  <c r="Q439" i="8" s="1"/>
  <c r="I439" i="8"/>
  <c r="K439" i="8"/>
  <c r="E439" i="9"/>
  <c r="D439" i="9"/>
  <c r="F440" i="9" s="1"/>
  <c r="M439" i="9"/>
  <c r="Q439" i="9" s="1"/>
  <c r="K439" i="9"/>
  <c r="P439" i="9" s="1"/>
  <c r="I439" i="9"/>
  <c r="O439" i="9" s="1"/>
  <c r="G438" i="9"/>
  <c r="N438" i="9" s="1"/>
  <c r="G438" i="8"/>
  <c r="N438" i="8" s="1"/>
  <c r="O439" i="8"/>
  <c r="E439" i="8"/>
  <c r="D439" i="8"/>
  <c r="P439" i="8"/>
  <c r="H441" i="6"/>
  <c r="K441" i="6" s="1"/>
  <c r="F441" i="6"/>
  <c r="E441" i="6"/>
  <c r="D441" i="6"/>
  <c r="G440" i="6"/>
  <c r="J440" i="6" s="1"/>
  <c r="I441" i="6"/>
  <c r="L441" i="6" s="1"/>
  <c r="D442" i="7"/>
  <c r="F443" i="7" s="1"/>
  <c r="E442" i="7"/>
  <c r="I442" i="7"/>
  <c r="L442" i="7" s="1"/>
  <c r="H442" i="7"/>
  <c r="K442" i="7" s="1"/>
  <c r="G441" i="7"/>
  <c r="J441" i="7" s="1"/>
  <c r="F440" i="8" l="1"/>
  <c r="K440" i="8"/>
  <c r="M440" i="8"/>
  <c r="I440" i="8"/>
  <c r="Q440" i="8"/>
  <c r="E440" i="9"/>
  <c r="D440" i="9"/>
  <c r="F441" i="9" s="1"/>
  <c r="G439" i="9"/>
  <c r="N439" i="9" s="1"/>
  <c r="M440" i="9"/>
  <c r="Q440" i="9" s="1"/>
  <c r="K440" i="9"/>
  <c r="P440" i="9" s="1"/>
  <c r="I440" i="9"/>
  <c r="O440" i="9" s="1"/>
  <c r="O440" i="8"/>
  <c r="E440" i="8"/>
  <c r="G439" i="8"/>
  <c r="N439" i="8" s="1"/>
  <c r="D440" i="8"/>
  <c r="P440" i="8"/>
  <c r="G441" i="6"/>
  <c r="J441" i="6" s="1"/>
  <c r="I442" i="6"/>
  <c r="L442" i="6" s="1"/>
  <c r="H442" i="6"/>
  <c r="K442" i="6" s="1"/>
  <c r="F442" i="6"/>
  <c r="E442" i="6"/>
  <c r="D442" i="6"/>
  <c r="D443" i="7"/>
  <c r="F444" i="7" s="1"/>
  <c r="E443" i="7"/>
  <c r="G442" i="7"/>
  <c r="J442" i="7" s="1"/>
  <c r="H443" i="7"/>
  <c r="K443" i="7" s="1"/>
  <c r="I443" i="7"/>
  <c r="L443" i="7" s="1"/>
  <c r="F441" i="8" l="1"/>
  <c r="K441" i="8"/>
  <c r="M441" i="8"/>
  <c r="I441" i="8"/>
  <c r="Q441" i="8"/>
  <c r="I441" i="9"/>
  <c r="O441" i="9" s="1"/>
  <c r="G440" i="9"/>
  <c r="N440" i="9" s="1"/>
  <c r="E441" i="9"/>
  <c r="D441" i="9"/>
  <c r="F442" i="9" s="1"/>
  <c r="M441" i="9"/>
  <c r="Q441" i="9" s="1"/>
  <c r="K441" i="9"/>
  <c r="P441" i="9" s="1"/>
  <c r="G440" i="8"/>
  <c r="N440" i="8" s="1"/>
  <c r="P441" i="8"/>
  <c r="O441" i="8"/>
  <c r="E441" i="8"/>
  <c r="D441" i="8"/>
  <c r="F443" i="6"/>
  <c r="E443" i="6"/>
  <c r="D443" i="6"/>
  <c r="G442" i="6"/>
  <c r="J442" i="6" s="1"/>
  <c r="I443" i="6"/>
  <c r="L443" i="6" s="1"/>
  <c r="H443" i="6"/>
  <c r="K443" i="6" s="1"/>
  <c r="E444" i="7"/>
  <c r="D444" i="7"/>
  <c r="F445" i="7" s="1"/>
  <c r="H444" i="7"/>
  <c r="K444" i="7" s="1"/>
  <c r="I444" i="7"/>
  <c r="L444" i="7" s="1"/>
  <c r="G443" i="7"/>
  <c r="J443" i="7" s="1"/>
  <c r="F442" i="8" l="1"/>
  <c r="K442" i="8"/>
  <c r="I442" i="8"/>
  <c r="M442" i="8"/>
  <c r="Q442" i="8" s="1"/>
  <c r="K442" i="9"/>
  <c r="P442" i="9" s="1"/>
  <c r="I442" i="9"/>
  <c r="O442" i="9" s="1"/>
  <c r="G441" i="9"/>
  <c r="N441" i="9" s="1"/>
  <c r="E442" i="9"/>
  <c r="D442" i="9"/>
  <c r="F443" i="9" s="1"/>
  <c r="M442" i="9"/>
  <c r="Q442" i="9" s="1"/>
  <c r="E442" i="8"/>
  <c r="D442" i="8"/>
  <c r="G441" i="8"/>
  <c r="N441" i="8" s="1"/>
  <c r="O442" i="8"/>
  <c r="P442" i="8"/>
  <c r="I444" i="6"/>
  <c r="L444" i="6" s="1"/>
  <c r="H444" i="6"/>
  <c r="K444" i="6" s="1"/>
  <c r="F444" i="6"/>
  <c r="E444" i="6"/>
  <c r="D444" i="6"/>
  <c r="G443" i="6"/>
  <c r="J443" i="6" s="1"/>
  <c r="D445" i="7"/>
  <c r="F446" i="7" s="1"/>
  <c r="E445" i="7"/>
  <c r="G444" i="7"/>
  <c r="J444" i="7" s="1"/>
  <c r="F443" i="8" l="1"/>
  <c r="M443" i="8"/>
  <c r="Q443" i="8" s="1"/>
  <c r="K443" i="8"/>
  <c r="I443" i="8"/>
  <c r="M443" i="9"/>
  <c r="Q443" i="9" s="1"/>
  <c r="K443" i="9"/>
  <c r="P443" i="9" s="1"/>
  <c r="I443" i="9"/>
  <c r="O443" i="9" s="1"/>
  <c r="G442" i="9"/>
  <c r="N442" i="9" s="1"/>
  <c r="E443" i="9"/>
  <c r="D443" i="9"/>
  <c r="F444" i="9" s="1"/>
  <c r="P443" i="8"/>
  <c r="O443" i="8"/>
  <c r="E443" i="8"/>
  <c r="D443" i="8"/>
  <c r="G442" i="8"/>
  <c r="N442" i="8" s="1"/>
  <c r="D445" i="6"/>
  <c r="G444" i="6"/>
  <c r="J444" i="6" s="1"/>
  <c r="I445" i="6"/>
  <c r="L445" i="6" s="1"/>
  <c r="H445" i="6"/>
  <c r="K445" i="6" s="1"/>
  <c r="E445" i="6"/>
  <c r="F445" i="6"/>
  <c r="D446" i="7"/>
  <c r="F447" i="7" s="1"/>
  <c r="E446" i="7"/>
  <c r="H445" i="7"/>
  <c r="K445" i="7" s="1"/>
  <c r="I445" i="7"/>
  <c r="L445" i="7" s="1"/>
  <c r="G445" i="7"/>
  <c r="J445" i="7" s="1"/>
  <c r="F444" i="8" l="1"/>
  <c r="M444" i="8"/>
  <c r="K444" i="8"/>
  <c r="I444" i="8"/>
  <c r="Q444" i="8"/>
  <c r="M444" i="9"/>
  <c r="Q444" i="9" s="1"/>
  <c r="K444" i="9"/>
  <c r="P444" i="9" s="1"/>
  <c r="I444" i="9"/>
  <c r="O444" i="9" s="1"/>
  <c r="G443" i="9"/>
  <c r="N443" i="9" s="1"/>
  <c r="E444" i="9"/>
  <c r="D444" i="9"/>
  <c r="F445" i="9" s="1"/>
  <c r="D444" i="8"/>
  <c r="E444" i="8"/>
  <c r="G443" i="8"/>
  <c r="N443" i="8" s="1"/>
  <c r="P444" i="8"/>
  <c r="O444" i="8"/>
  <c r="I446" i="6"/>
  <c r="L446" i="6" s="1"/>
  <c r="H446" i="6"/>
  <c r="K446" i="6" s="1"/>
  <c r="F446" i="6"/>
  <c r="E446" i="6"/>
  <c r="D446" i="6"/>
  <c r="G445" i="6"/>
  <c r="J445" i="6" s="1"/>
  <c r="E447" i="7"/>
  <c r="D447" i="7"/>
  <c r="F448" i="7" s="1"/>
  <c r="H446" i="7"/>
  <c r="K446" i="7" s="1"/>
  <c r="I446" i="7"/>
  <c r="L446" i="7" s="1"/>
  <c r="G446" i="7"/>
  <c r="J446" i="7" s="1"/>
  <c r="F445" i="8" l="1"/>
  <c r="M445" i="8"/>
  <c r="Q445" i="8" s="1"/>
  <c r="K445" i="8"/>
  <c r="I445" i="8"/>
  <c r="M445" i="9"/>
  <c r="Q445" i="9" s="1"/>
  <c r="K445" i="9"/>
  <c r="P445" i="9" s="1"/>
  <c r="I445" i="9"/>
  <c r="O445" i="9" s="1"/>
  <c r="G444" i="9"/>
  <c r="N444" i="9" s="1"/>
  <c r="E445" i="9"/>
  <c r="D445" i="9"/>
  <c r="F446" i="9" s="1"/>
  <c r="P445" i="8"/>
  <c r="O445" i="8"/>
  <c r="G444" i="8"/>
  <c r="N444" i="8" s="1"/>
  <c r="E445" i="8"/>
  <c r="D445" i="8"/>
  <c r="G446" i="6"/>
  <c r="J446" i="6" s="1"/>
  <c r="I447" i="6"/>
  <c r="L447" i="6" s="1"/>
  <c r="H447" i="6"/>
  <c r="K447" i="6" s="1"/>
  <c r="F447" i="6"/>
  <c r="E447" i="6"/>
  <c r="D447" i="6"/>
  <c r="D448" i="7"/>
  <c r="F449" i="7" s="1"/>
  <c r="E448" i="7"/>
  <c r="H447" i="7"/>
  <c r="K447" i="7" s="1"/>
  <c r="I447" i="7"/>
  <c r="L447" i="7" s="1"/>
  <c r="G447" i="7"/>
  <c r="J447" i="7" s="1"/>
  <c r="F446" i="8" l="1"/>
  <c r="M446" i="8"/>
  <c r="Q446" i="8" s="1"/>
  <c r="K446" i="8"/>
  <c r="I446" i="8"/>
  <c r="M446" i="9"/>
  <c r="Q446" i="9" s="1"/>
  <c r="K446" i="9"/>
  <c r="P446" i="9" s="1"/>
  <c r="E446" i="9"/>
  <c r="D446" i="9"/>
  <c r="F447" i="9" s="1"/>
  <c r="G445" i="9"/>
  <c r="N445" i="9" s="1"/>
  <c r="I446" i="9"/>
  <c r="O446" i="9" s="1"/>
  <c r="P446" i="8"/>
  <c r="O446" i="8"/>
  <c r="E446" i="8"/>
  <c r="D446" i="8"/>
  <c r="G445" i="8"/>
  <c r="N445" i="8" s="1"/>
  <c r="I448" i="6"/>
  <c r="L448" i="6" s="1"/>
  <c r="H448" i="6"/>
  <c r="K448" i="6" s="1"/>
  <c r="F448" i="6"/>
  <c r="E448" i="6"/>
  <c r="D448" i="6"/>
  <c r="G447" i="6"/>
  <c r="J447" i="6" s="1"/>
  <c r="E449" i="7"/>
  <c r="D449" i="7"/>
  <c r="F450" i="7" s="1"/>
  <c r="I448" i="7"/>
  <c r="L448" i="7" s="1"/>
  <c r="H448" i="7"/>
  <c r="K448" i="7" s="1"/>
  <c r="I449" i="7"/>
  <c r="L449" i="7" s="1"/>
  <c r="H449" i="7"/>
  <c r="K449" i="7" s="1"/>
  <c r="G448" i="7"/>
  <c r="J448" i="7" s="1"/>
  <c r="F447" i="8" l="1"/>
  <c r="M447" i="8"/>
  <c r="Q447" i="8" s="1"/>
  <c r="K447" i="8"/>
  <c r="I447" i="8"/>
  <c r="E447" i="9"/>
  <c r="D447" i="9"/>
  <c r="F448" i="9" s="1"/>
  <c r="M447" i="9"/>
  <c r="Q447" i="9" s="1"/>
  <c r="K447" i="9"/>
  <c r="P447" i="9" s="1"/>
  <c r="I447" i="9"/>
  <c r="O447" i="9" s="1"/>
  <c r="G446" i="9"/>
  <c r="N446" i="9" s="1"/>
  <c r="P447" i="8"/>
  <c r="O447" i="8"/>
  <c r="G446" i="8"/>
  <c r="N446" i="8" s="1"/>
  <c r="E447" i="8"/>
  <c r="D447" i="8"/>
  <c r="G448" i="6"/>
  <c r="J448" i="6" s="1"/>
  <c r="I449" i="6"/>
  <c r="L449" i="6" s="1"/>
  <c r="H449" i="6"/>
  <c r="K449" i="6" s="1"/>
  <c r="F449" i="6"/>
  <c r="E449" i="6"/>
  <c r="D449" i="6"/>
  <c r="D450" i="7"/>
  <c r="F451" i="7" s="1"/>
  <c r="E450" i="7"/>
  <c r="I450" i="7"/>
  <c r="L450" i="7" s="1"/>
  <c r="G449" i="7"/>
  <c r="J449" i="7" s="1"/>
  <c r="H450" i="7"/>
  <c r="K450" i="7" s="1"/>
  <c r="F448" i="8" l="1"/>
  <c r="M448" i="8"/>
  <c r="Q448" i="8" s="1"/>
  <c r="K448" i="8"/>
  <c r="I448" i="8"/>
  <c r="E448" i="9"/>
  <c r="D448" i="9"/>
  <c r="F449" i="9" s="1"/>
  <c r="M448" i="9"/>
  <c r="Q448" i="9" s="1"/>
  <c r="K448" i="9"/>
  <c r="P448" i="9" s="1"/>
  <c r="I448" i="9"/>
  <c r="O448" i="9" s="1"/>
  <c r="G447" i="9"/>
  <c r="N447" i="9" s="1"/>
  <c r="G447" i="8"/>
  <c r="N447" i="8" s="1"/>
  <c r="P448" i="8"/>
  <c r="O448" i="8"/>
  <c r="E448" i="8"/>
  <c r="D448" i="8"/>
  <c r="F450" i="6"/>
  <c r="E450" i="6"/>
  <c r="D450" i="6"/>
  <c r="G449" i="6"/>
  <c r="J449" i="6" s="1"/>
  <c r="I450" i="6"/>
  <c r="L450" i="6" s="1"/>
  <c r="H450" i="6"/>
  <c r="K450" i="6" s="1"/>
  <c r="D451" i="7"/>
  <c r="F452" i="7" s="1"/>
  <c r="E451" i="7"/>
  <c r="I451" i="7"/>
  <c r="L451" i="7" s="1"/>
  <c r="G450" i="7"/>
  <c r="J450" i="7" s="1"/>
  <c r="H451" i="7"/>
  <c r="K451" i="7" s="1"/>
  <c r="F449" i="8" l="1"/>
  <c r="M449" i="8"/>
  <c r="K449" i="8"/>
  <c r="I449" i="8"/>
  <c r="Q449" i="8"/>
  <c r="I449" i="9"/>
  <c r="O449" i="9" s="1"/>
  <c r="G448" i="9"/>
  <c r="N448" i="9" s="1"/>
  <c r="E449" i="9"/>
  <c r="D449" i="9"/>
  <c r="F450" i="9" s="1"/>
  <c r="M449" i="9"/>
  <c r="Q449" i="9" s="1"/>
  <c r="K449" i="9"/>
  <c r="P449" i="9" s="1"/>
  <c r="E449" i="8"/>
  <c r="D449" i="8"/>
  <c r="G448" i="8"/>
  <c r="N448" i="8" s="1"/>
  <c r="P449" i="8"/>
  <c r="O449" i="8"/>
  <c r="G450" i="6"/>
  <c r="J450" i="6" s="1"/>
  <c r="I451" i="6"/>
  <c r="L451" i="6" s="1"/>
  <c r="H451" i="6"/>
  <c r="K451" i="6" s="1"/>
  <c r="F451" i="6"/>
  <c r="E451" i="6"/>
  <c r="D451" i="6"/>
  <c r="D452" i="7"/>
  <c r="F453" i="7" s="1"/>
  <c r="E452" i="7"/>
  <c r="I452" i="7"/>
  <c r="L452" i="7" s="1"/>
  <c r="H452" i="7"/>
  <c r="K452" i="7" s="1"/>
  <c r="G451" i="7"/>
  <c r="J451" i="7" s="1"/>
  <c r="F450" i="8" l="1"/>
  <c r="M450" i="8"/>
  <c r="K450" i="8"/>
  <c r="I450" i="8"/>
  <c r="Q450" i="8"/>
  <c r="K450" i="9"/>
  <c r="P450" i="9" s="1"/>
  <c r="I450" i="9"/>
  <c r="O450" i="9" s="1"/>
  <c r="G449" i="9"/>
  <c r="N449" i="9" s="1"/>
  <c r="E450" i="9"/>
  <c r="D450" i="9"/>
  <c r="F451" i="9" s="1"/>
  <c r="M450" i="9"/>
  <c r="Q450" i="9" s="1"/>
  <c r="G449" i="8"/>
  <c r="N449" i="8" s="1"/>
  <c r="P450" i="8"/>
  <c r="O450" i="8"/>
  <c r="E450" i="8"/>
  <c r="D450" i="8"/>
  <c r="E452" i="6"/>
  <c r="D452" i="6"/>
  <c r="G451" i="6"/>
  <c r="J451" i="6" s="1"/>
  <c r="I452" i="6"/>
  <c r="L452" i="6" s="1"/>
  <c r="H452" i="6"/>
  <c r="K452" i="6" s="1"/>
  <c r="F452" i="6"/>
  <c r="D453" i="7"/>
  <c r="F454" i="7" s="1"/>
  <c r="E453" i="7"/>
  <c r="H453" i="7"/>
  <c r="K453" i="7" s="1"/>
  <c r="I453" i="7"/>
  <c r="L453" i="7" s="1"/>
  <c r="G452" i="7"/>
  <c r="J452" i="7" s="1"/>
  <c r="F451" i="8" l="1"/>
  <c r="M451" i="8"/>
  <c r="K451" i="8"/>
  <c r="I451" i="8"/>
  <c r="Q451" i="8"/>
  <c r="M451" i="9"/>
  <c r="Q451" i="9" s="1"/>
  <c r="K451" i="9"/>
  <c r="P451" i="9" s="1"/>
  <c r="I451" i="9"/>
  <c r="O451" i="9" s="1"/>
  <c r="G450" i="9"/>
  <c r="N450" i="9" s="1"/>
  <c r="E451" i="9"/>
  <c r="D451" i="9"/>
  <c r="F452" i="9" s="1"/>
  <c r="E451" i="8"/>
  <c r="D451" i="8"/>
  <c r="O451" i="8"/>
  <c r="G450" i="8"/>
  <c r="N450" i="8" s="1"/>
  <c r="P451" i="8"/>
  <c r="I453" i="6"/>
  <c r="L453" i="6" s="1"/>
  <c r="H453" i="6"/>
  <c r="K453" i="6" s="1"/>
  <c r="F453" i="6"/>
  <c r="E453" i="6"/>
  <c r="D453" i="6"/>
  <c r="G452" i="6"/>
  <c r="J452" i="6" s="1"/>
  <c r="E454" i="7"/>
  <c r="D454" i="7"/>
  <c r="F455" i="7" s="1"/>
  <c r="H454" i="7"/>
  <c r="K454" i="7" s="1"/>
  <c r="I454" i="7"/>
  <c r="L454" i="7" s="1"/>
  <c r="G453" i="7"/>
  <c r="J453" i="7" s="1"/>
  <c r="F452" i="8" l="1"/>
  <c r="M452" i="8"/>
  <c r="K452" i="8"/>
  <c r="I452" i="8"/>
  <c r="Q452" i="8"/>
  <c r="M452" i="9"/>
  <c r="Q452" i="9" s="1"/>
  <c r="K452" i="9"/>
  <c r="P452" i="9" s="1"/>
  <c r="I452" i="9"/>
  <c r="O452" i="9" s="1"/>
  <c r="G451" i="9"/>
  <c r="N451" i="9" s="1"/>
  <c r="D452" i="9"/>
  <c r="F453" i="9" s="1"/>
  <c r="E452" i="9"/>
  <c r="P452" i="8"/>
  <c r="G451" i="8"/>
  <c r="N451" i="8" s="1"/>
  <c r="O452" i="8"/>
  <c r="D452" i="8"/>
  <c r="E452" i="8"/>
  <c r="G453" i="6"/>
  <c r="J453" i="6" s="1"/>
  <c r="I454" i="6"/>
  <c r="L454" i="6" s="1"/>
  <c r="H454" i="6"/>
  <c r="K454" i="6" s="1"/>
  <c r="D454" i="6"/>
  <c r="E454" i="6"/>
  <c r="F454" i="6"/>
  <c r="E455" i="7"/>
  <c r="D455" i="7"/>
  <c r="F456" i="7" s="1"/>
  <c r="I455" i="7"/>
  <c r="L455" i="7" s="1"/>
  <c r="G454" i="7"/>
  <c r="J454" i="7" s="1"/>
  <c r="H455" i="7"/>
  <c r="K455" i="7" s="1"/>
  <c r="F453" i="8" l="1"/>
  <c r="M453" i="8"/>
  <c r="Q453" i="8" s="1"/>
  <c r="K453" i="8"/>
  <c r="I453" i="8"/>
  <c r="M453" i="9"/>
  <c r="Q453" i="9" s="1"/>
  <c r="K453" i="9"/>
  <c r="P453" i="9" s="1"/>
  <c r="I453" i="9"/>
  <c r="O453" i="9" s="1"/>
  <c r="G452" i="9"/>
  <c r="N452" i="9" s="1"/>
  <c r="E453" i="9"/>
  <c r="D453" i="9"/>
  <c r="F454" i="9" s="1"/>
  <c r="P453" i="8"/>
  <c r="O453" i="8"/>
  <c r="E453" i="8"/>
  <c r="D453" i="8"/>
  <c r="G452" i="8"/>
  <c r="N452" i="8" s="1"/>
  <c r="I455" i="6"/>
  <c r="L455" i="6" s="1"/>
  <c r="H455" i="6"/>
  <c r="K455" i="6" s="1"/>
  <c r="F455" i="6"/>
  <c r="E455" i="6"/>
  <c r="D455" i="6"/>
  <c r="G454" i="6"/>
  <c r="J454" i="6" s="1"/>
  <c r="E456" i="7"/>
  <c r="D456" i="7"/>
  <c r="F457" i="7" s="1"/>
  <c r="G455" i="7"/>
  <c r="J455" i="7" s="1"/>
  <c r="F454" i="8" l="1"/>
  <c r="M454" i="8"/>
  <c r="Q454" i="8" s="1"/>
  <c r="K454" i="8"/>
  <c r="I454" i="8"/>
  <c r="M454" i="9"/>
  <c r="Q454" i="9" s="1"/>
  <c r="K454" i="9"/>
  <c r="P454" i="9" s="1"/>
  <c r="I454" i="9"/>
  <c r="O454" i="9" s="1"/>
  <c r="E454" i="9"/>
  <c r="D454" i="9"/>
  <c r="F455" i="9" s="1"/>
  <c r="G453" i="9"/>
  <c r="N453" i="9" s="1"/>
  <c r="P454" i="8"/>
  <c r="O454" i="8"/>
  <c r="G453" i="8"/>
  <c r="N453" i="8" s="1"/>
  <c r="E454" i="8"/>
  <c r="D454" i="8"/>
  <c r="G455" i="6"/>
  <c r="J455" i="6" s="1"/>
  <c r="I456" i="6"/>
  <c r="L456" i="6" s="1"/>
  <c r="H456" i="6"/>
  <c r="K456" i="6" s="1"/>
  <c r="F456" i="6"/>
  <c r="E456" i="6"/>
  <c r="D456" i="6"/>
  <c r="E457" i="7"/>
  <c r="D457" i="7"/>
  <c r="F458" i="7" s="1"/>
  <c r="H456" i="7"/>
  <c r="K456" i="7" s="1"/>
  <c r="I456" i="7"/>
  <c r="L456" i="7" s="1"/>
  <c r="H457" i="7"/>
  <c r="K457" i="7" s="1"/>
  <c r="I457" i="7"/>
  <c r="L457" i="7" s="1"/>
  <c r="G456" i="7"/>
  <c r="J456" i="7" s="1"/>
  <c r="F455" i="8" l="1"/>
  <c r="M455" i="8"/>
  <c r="Q455" i="8" s="1"/>
  <c r="I455" i="8"/>
  <c r="K455" i="8"/>
  <c r="E455" i="9"/>
  <c r="D455" i="9"/>
  <c r="F456" i="9" s="1"/>
  <c r="M455" i="9"/>
  <c r="Q455" i="9" s="1"/>
  <c r="K455" i="9"/>
  <c r="P455" i="9" s="1"/>
  <c r="G454" i="9"/>
  <c r="N454" i="9" s="1"/>
  <c r="I455" i="9"/>
  <c r="O455" i="9" s="1"/>
  <c r="G454" i="8"/>
  <c r="N454" i="8" s="1"/>
  <c r="P455" i="8"/>
  <c r="O455" i="8"/>
  <c r="E455" i="8"/>
  <c r="D455" i="8"/>
  <c r="H457" i="6"/>
  <c r="K457" i="6" s="1"/>
  <c r="F457" i="6"/>
  <c r="E457" i="6"/>
  <c r="D457" i="6"/>
  <c r="G456" i="6"/>
  <c r="J456" i="6" s="1"/>
  <c r="I457" i="6"/>
  <c r="L457" i="6" s="1"/>
  <c r="E458" i="7"/>
  <c r="D458" i="7"/>
  <c r="F459" i="7" s="1"/>
  <c r="I458" i="7"/>
  <c r="L458" i="7" s="1"/>
  <c r="G457" i="7"/>
  <c r="J457" i="7" s="1"/>
  <c r="H458" i="7"/>
  <c r="K458" i="7" s="1"/>
  <c r="F456" i="8" l="1"/>
  <c r="K456" i="8"/>
  <c r="M456" i="8"/>
  <c r="I456" i="8"/>
  <c r="Q456" i="8"/>
  <c r="E456" i="9"/>
  <c r="D456" i="9"/>
  <c r="F457" i="9" s="1"/>
  <c r="M456" i="9"/>
  <c r="Q456" i="9" s="1"/>
  <c r="G455" i="9"/>
  <c r="N455" i="9" s="1"/>
  <c r="K456" i="9"/>
  <c r="P456" i="9" s="1"/>
  <c r="I456" i="9"/>
  <c r="O456" i="9" s="1"/>
  <c r="O456" i="8"/>
  <c r="E456" i="8"/>
  <c r="G455" i="8"/>
  <c r="N455" i="8" s="1"/>
  <c r="P456" i="8"/>
  <c r="D456" i="8"/>
  <c r="G457" i="6"/>
  <c r="J457" i="6" s="1"/>
  <c r="I458" i="6"/>
  <c r="L458" i="6" s="1"/>
  <c r="H458" i="6"/>
  <c r="K458" i="6" s="1"/>
  <c r="F458" i="6"/>
  <c r="E458" i="6"/>
  <c r="D458" i="6"/>
  <c r="D459" i="7"/>
  <c r="F460" i="7" s="1"/>
  <c r="E459" i="7"/>
  <c r="G458" i="7"/>
  <c r="J458" i="7" s="1"/>
  <c r="H459" i="7"/>
  <c r="K459" i="7" s="1"/>
  <c r="I459" i="7"/>
  <c r="L459" i="7" s="1"/>
  <c r="F457" i="8" l="1"/>
  <c r="K457" i="8"/>
  <c r="M457" i="8"/>
  <c r="I457" i="8"/>
  <c r="Q457" i="8"/>
  <c r="I457" i="9"/>
  <c r="O457" i="9" s="1"/>
  <c r="G456" i="9"/>
  <c r="N456" i="9" s="1"/>
  <c r="E457" i="9"/>
  <c r="D457" i="9"/>
  <c r="F458" i="9" s="1"/>
  <c r="M457" i="9"/>
  <c r="Q457" i="9" s="1"/>
  <c r="K457" i="9"/>
  <c r="P457" i="9" s="1"/>
  <c r="G456" i="8"/>
  <c r="N456" i="8" s="1"/>
  <c r="P457" i="8"/>
  <c r="O457" i="8"/>
  <c r="E457" i="8"/>
  <c r="D457" i="8"/>
  <c r="F459" i="6"/>
  <c r="E459" i="6"/>
  <c r="D459" i="6"/>
  <c r="G458" i="6"/>
  <c r="J458" i="6" s="1"/>
  <c r="I459" i="6"/>
  <c r="L459" i="6" s="1"/>
  <c r="H459" i="6"/>
  <c r="K459" i="6" s="1"/>
  <c r="D460" i="7"/>
  <c r="F461" i="7" s="1"/>
  <c r="E460" i="7"/>
  <c r="H460" i="7"/>
  <c r="K460" i="7" s="1"/>
  <c r="I460" i="7"/>
  <c r="L460" i="7" s="1"/>
  <c r="G459" i="7"/>
  <c r="J459" i="7" s="1"/>
  <c r="F458" i="8" l="1"/>
  <c r="K458" i="8"/>
  <c r="I458" i="8"/>
  <c r="M458" i="8"/>
  <c r="Q458" i="8"/>
  <c r="K458" i="9"/>
  <c r="P458" i="9" s="1"/>
  <c r="I458" i="9"/>
  <c r="O458" i="9" s="1"/>
  <c r="G457" i="9"/>
  <c r="N457" i="9" s="1"/>
  <c r="E458" i="9"/>
  <c r="D458" i="9"/>
  <c r="F459" i="9" s="1"/>
  <c r="M458" i="9"/>
  <c r="Q458" i="9" s="1"/>
  <c r="E458" i="8"/>
  <c r="D458" i="8"/>
  <c r="P458" i="8"/>
  <c r="O458" i="8"/>
  <c r="G457" i="8"/>
  <c r="N457" i="8" s="1"/>
  <c r="I460" i="6"/>
  <c r="L460" i="6" s="1"/>
  <c r="H460" i="6"/>
  <c r="K460" i="6" s="1"/>
  <c r="F460" i="6"/>
  <c r="E460" i="6"/>
  <c r="D460" i="6"/>
  <c r="G459" i="6"/>
  <c r="J459" i="6" s="1"/>
  <c r="E461" i="7"/>
  <c r="D461" i="7"/>
  <c r="F462" i="7" s="1"/>
  <c r="H461" i="7"/>
  <c r="K461" i="7" s="1"/>
  <c r="I461" i="7"/>
  <c r="L461" i="7" s="1"/>
  <c r="G460" i="7"/>
  <c r="J460" i="7" s="1"/>
  <c r="F459" i="8" l="1"/>
  <c r="M459" i="8"/>
  <c r="Q459" i="8" s="1"/>
  <c r="K459" i="8"/>
  <c r="I459" i="8"/>
  <c r="M459" i="9"/>
  <c r="Q459" i="9" s="1"/>
  <c r="K459" i="9"/>
  <c r="P459" i="9" s="1"/>
  <c r="I459" i="9"/>
  <c r="O459" i="9" s="1"/>
  <c r="G458" i="9"/>
  <c r="N458" i="9" s="1"/>
  <c r="E459" i="9"/>
  <c r="D459" i="9"/>
  <c r="F460" i="9" s="1"/>
  <c r="G458" i="8"/>
  <c r="N458" i="8" s="1"/>
  <c r="P459" i="8"/>
  <c r="O459" i="8"/>
  <c r="E459" i="8"/>
  <c r="D459" i="8"/>
  <c r="D461" i="6"/>
  <c r="G460" i="6"/>
  <c r="J460" i="6" s="1"/>
  <c r="I461" i="6"/>
  <c r="L461" i="6" s="1"/>
  <c r="H461" i="6"/>
  <c r="K461" i="6" s="1"/>
  <c r="F461" i="6"/>
  <c r="E461" i="6"/>
  <c r="D462" i="7"/>
  <c r="F463" i="7" s="1"/>
  <c r="E462" i="7"/>
  <c r="H462" i="7"/>
  <c r="K462" i="7" s="1"/>
  <c r="I462" i="7"/>
  <c r="L462" i="7" s="1"/>
  <c r="G461" i="7"/>
  <c r="J461" i="7" s="1"/>
  <c r="F460" i="8" l="1"/>
  <c r="M460" i="8"/>
  <c r="K460" i="8"/>
  <c r="I460" i="8"/>
  <c r="Q460" i="8"/>
  <c r="M460" i="9"/>
  <c r="Q460" i="9" s="1"/>
  <c r="K460" i="9"/>
  <c r="P460" i="9" s="1"/>
  <c r="I460" i="9"/>
  <c r="O460" i="9" s="1"/>
  <c r="G459" i="9"/>
  <c r="N459" i="9" s="1"/>
  <c r="E460" i="9"/>
  <c r="D460" i="9"/>
  <c r="F461" i="9" s="1"/>
  <c r="D460" i="8"/>
  <c r="P460" i="8"/>
  <c r="O460" i="8"/>
  <c r="E460" i="8"/>
  <c r="G459" i="8"/>
  <c r="N459" i="8" s="1"/>
  <c r="I462" i="6"/>
  <c r="L462" i="6" s="1"/>
  <c r="H462" i="6"/>
  <c r="K462" i="6" s="1"/>
  <c r="F462" i="6"/>
  <c r="E462" i="6"/>
  <c r="D462" i="6"/>
  <c r="G461" i="6"/>
  <c r="J461" i="6" s="1"/>
  <c r="D463" i="7"/>
  <c r="F464" i="7" s="1"/>
  <c r="E463" i="7"/>
  <c r="I463" i="7"/>
  <c r="L463" i="7" s="1"/>
  <c r="H463" i="7"/>
  <c r="K463" i="7" s="1"/>
  <c r="G462" i="7"/>
  <c r="J462" i="7" s="1"/>
  <c r="F461" i="8" l="1"/>
  <c r="M461" i="8"/>
  <c r="Q461" i="8" s="1"/>
  <c r="I461" i="8"/>
  <c r="K461" i="8"/>
  <c r="M461" i="9"/>
  <c r="Q461" i="9" s="1"/>
  <c r="K461" i="9"/>
  <c r="P461" i="9" s="1"/>
  <c r="I461" i="9"/>
  <c r="O461" i="9" s="1"/>
  <c r="G460" i="9"/>
  <c r="N460" i="9" s="1"/>
  <c r="E461" i="9"/>
  <c r="D461" i="9"/>
  <c r="F462" i="9" s="1"/>
  <c r="G460" i="8"/>
  <c r="N460" i="8" s="1"/>
  <c r="P461" i="8"/>
  <c r="O461" i="8"/>
  <c r="E461" i="8"/>
  <c r="D461" i="8"/>
  <c r="G462" i="6"/>
  <c r="J462" i="6" s="1"/>
  <c r="I463" i="6"/>
  <c r="L463" i="6" s="1"/>
  <c r="H463" i="6"/>
  <c r="K463" i="6" s="1"/>
  <c r="F463" i="6"/>
  <c r="D463" i="6"/>
  <c r="E463" i="6"/>
  <c r="D464" i="7"/>
  <c r="F465" i="7" s="1"/>
  <c r="E464" i="7"/>
  <c r="I464" i="7"/>
  <c r="L464" i="7" s="1"/>
  <c r="H464" i="7"/>
  <c r="K464" i="7" s="1"/>
  <c r="G463" i="7"/>
  <c r="J463" i="7" s="1"/>
  <c r="F462" i="8" l="1"/>
  <c r="M462" i="8"/>
  <c r="Q462" i="8" s="1"/>
  <c r="K462" i="8"/>
  <c r="I462" i="8"/>
  <c r="M462" i="9"/>
  <c r="Q462" i="9" s="1"/>
  <c r="K462" i="9"/>
  <c r="P462" i="9" s="1"/>
  <c r="I462" i="9"/>
  <c r="O462" i="9" s="1"/>
  <c r="G461" i="9"/>
  <c r="N461" i="9" s="1"/>
  <c r="E462" i="9"/>
  <c r="D462" i="9"/>
  <c r="F463" i="9" s="1"/>
  <c r="E462" i="8"/>
  <c r="P462" i="8"/>
  <c r="O462" i="8"/>
  <c r="D462" i="8"/>
  <c r="G461" i="8"/>
  <c r="N461" i="8" s="1"/>
  <c r="I464" i="6"/>
  <c r="L464" i="6" s="1"/>
  <c r="H464" i="6"/>
  <c r="K464" i="6" s="1"/>
  <c r="F464" i="6"/>
  <c r="E464" i="6"/>
  <c r="D464" i="6"/>
  <c r="G463" i="6"/>
  <c r="J463" i="6" s="1"/>
  <c r="E465" i="7"/>
  <c r="D465" i="7"/>
  <c r="F466" i="7" s="1"/>
  <c r="I465" i="7"/>
  <c r="L465" i="7" s="1"/>
  <c r="H465" i="7"/>
  <c r="K465" i="7" s="1"/>
  <c r="G464" i="7"/>
  <c r="J464" i="7" s="1"/>
  <c r="F463" i="8" l="1"/>
  <c r="M463" i="8"/>
  <c r="Q463" i="8" s="1"/>
  <c r="K463" i="8"/>
  <c r="I463" i="8"/>
  <c r="E463" i="9"/>
  <c r="D463" i="9"/>
  <c r="F464" i="9" s="1"/>
  <c r="M463" i="9"/>
  <c r="Q463" i="9" s="1"/>
  <c r="K463" i="9"/>
  <c r="P463" i="9" s="1"/>
  <c r="I463" i="9"/>
  <c r="O463" i="9" s="1"/>
  <c r="G462" i="9"/>
  <c r="N462" i="9" s="1"/>
  <c r="P463" i="8"/>
  <c r="O463" i="8"/>
  <c r="E463" i="8"/>
  <c r="D463" i="8"/>
  <c r="G462" i="8"/>
  <c r="N462" i="8" s="1"/>
  <c r="G464" i="6"/>
  <c r="J464" i="6" s="1"/>
  <c r="I465" i="6"/>
  <c r="L465" i="6" s="1"/>
  <c r="H465" i="6"/>
  <c r="K465" i="6" s="1"/>
  <c r="F465" i="6"/>
  <c r="E465" i="6"/>
  <c r="D465" i="6"/>
  <c r="D466" i="7"/>
  <c r="F467" i="7" s="1"/>
  <c r="E466" i="7"/>
  <c r="G465" i="7"/>
  <c r="J465" i="7" s="1"/>
  <c r="I466" i="7"/>
  <c r="L466" i="7" s="1"/>
  <c r="H466" i="7"/>
  <c r="K466" i="7" s="1"/>
  <c r="F464" i="8" l="1"/>
  <c r="M464" i="8"/>
  <c r="Q464" i="8" s="1"/>
  <c r="K464" i="8"/>
  <c r="I464" i="8"/>
  <c r="E464" i="9"/>
  <c r="D464" i="9"/>
  <c r="F465" i="9" s="1"/>
  <c r="M464" i="9"/>
  <c r="Q464" i="9" s="1"/>
  <c r="K464" i="9"/>
  <c r="P464" i="9" s="1"/>
  <c r="I464" i="9"/>
  <c r="O464" i="9" s="1"/>
  <c r="G463" i="9"/>
  <c r="N463" i="9" s="1"/>
  <c r="G463" i="8"/>
  <c r="N463" i="8" s="1"/>
  <c r="P464" i="8"/>
  <c r="O464" i="8"/>
  <c r="E464" i="8"/>
  <c r="D464" i="8"/>
  <c r="F466" i="6"/>
  <c r="E466" i="6"/>
  <c r="D466" i="6"/>
  <c r="G465" i="6"/>
  <c r="J465" i="6" s="1"/>
  <c r="I466" i="6"/>
  <c r="L466" i="6" s="1"/>
  <c r="H466" i="6"/>
  <c r="K466" i="6" s="1"/>
  <c r="D467" i="7"/>
  <c r="F468" i="7" s="1"/>
  <c r="E467" i="7"/>
  <c r="I467" i="7"/>
  <c r="L467" i="7" s="1"/>
  <c r="G466" i="7"/>
  <c r="J466" i="7" s="1"/>
  <c r="H467" i="7"/>
  <c r="K467" i="7" s="1"/>
  <c r="F465" i="8" l="1"/>
  <c r="M465" i="8"/>
  <c r="Q465" i="8" s="1"/>
  <c r="K465" i="8"/>
  <c r="I465" i="8"/>
  <c r="I465" i="9"/>
  <c r="O465" i="9" s="1"/>
  <c r="G464" i="9"/>
  <c r="N464" i="9" s="1"/>
  <c r="E465" i="9"/>
  <c r="D465" i="9"/>
  <c r="F466" i="9" s="1"/>
  <c r="M465" i="9"/>
  <c r="Q465" i="9" s="1"/>
  <c r="K465" i="9"/>
  <c r="P465" i="9" s="1"/>
  <c r="E465" i="8"/>
  <c r="D465" i="8"/>
  <c r="P465" i="8"/>
  <c r="O465" i="8"/>
  <c r="G464" i="8"/>
  <c r="N464" i="8" s="1"/>
  <c r="G466" i="6"/>
  <c r="J466" i="6" s="1"/>
  <c r="I467" i="6"/>
  <c r="L467" i="6" s="1"/>
  <c r="H467" i="6"/>
  <c r="K467" i="6" s="1"/>
  <c r="F467" i="6"/>
  <c r="E467" i="6"/>
  <c r="D467" i="6"/>
  <c r="D468" i="7"/>
  <c r="F469" i="7" s="1"/>
  <c r="E468" i="7"/>
  <c r="G467" i="7"/>
  <c r="J467" i="7" s="1"/>
  <c r="F466" i="8" l="1"/>
  <c r="M466" i="8"/>
  <c r="K466" i="8"/>
  <c r="I466" i="8"/>
  <c r="Q466" i="8"/>
  <c r="K466" i="9"/>
  <c r="P466" i="9" s="1"/>
  <c r="I466" i="9"/>
  <c r="O466" i="9" s="1"/>
  <c r="G465" i="9"/>
  <c r="N465" i="9" s="1"/>
  <c r="E466" i="9"/>
  <c r="D466" i="9"/>
  <c r="F467" i="9" s="1"/>
  <c r="M466" i="9"/>
  <c r="Q466" i="9" s="1"/>
  <c r="G465" i="8"/>
  <c r="N465" i="8" s="1"/>
  <c r="E466" i="8"/>
  <c r="D466" i="8"/>
  <c r="P466" i="8"/>
  <c r="O466" i="8"/>
  <c r="E468" i="6"/>
  <c r="D468" i="6"/>
  <c r="G467" i="6"/>
  <c r="J467" i="6" s="1"/>
  <c r="I468" i="6"/>
  <c r="L468" i="6" s="1"/>
  <c r="H468" i="6"/>
  <c r="K468" i="6" s="1"/>
  <c r="F468" i="6"/>
  <c r="E469" i="7"/>
  <c r="D469" i="7"/>
  <c r="F470" i="7" s="1"/>
  <c r="I468" i="7"/>
  <c r="L468" i="7" s="1"/>
  <c r="H468" i="7"/>
  <c r="K468" i="7" s="1"/>
  <c r="I469" i="7"/>
  <c r="L469" i="7" s="1"/>
  <c r="H469" i="7"/>
  <c r="K469" i="7" s="1"/>
  <c r="G468" i="7"/>
  <c r="J468" i="7" s="1"/>
  <c r="F467" i="8" l="1"/>
  <c r="M467" i="8"/>
  <c r="K467" i="8"/>
  <c r="I467" i="8"/>
  <c r="Q467" i="8"/>
  <c r="M467" i="9"/>
  <c r="Q467" i="9" s="1"/>
  <c r="K467" i="9"/>
  <c r="P467" i="9" s="1"/>
  <c r="I467" i="9"/>
  <c r="O467" i="9" s="1"/>
  <c r="G466" i="9"/>
  <c r="N466" i="9" s="1"/>
  <c r="E467" i="9"/>
  <c r="D467" i="9"/>
  <c r="F468" i="9" s="1"/>
  <c r="O467" i="8"/>
  <c r="E467" i="8"/>
  <c r="D467" i="8"/>
  <c r="P467" i="8"/>
  <c r="G466" i="8"/>
  <c r="N466" i="8" s="1"/>
  <c r="I469" i="6"/>
  <c r="L469" i="6" s="1"/>
  <c r="H469" i="6"/>
  <c r="K469" i="6" s="1"/>
  <c r="F469" i="6"/>
  <c r="E469" i="6"/>
  <c r="D469" i="6"/>
  <c r="G468" i="6"/>
  <c r="J468" i="6" s="1"/>
  <c r="D470" i="7"/>
  <c r="F471" i="7" s="1"/>
  <c r="E470" i="7"/>
  <c r="I470" i="7"/>
  <c r="L470" i="7" s="1"/>
  <c r="H470" i="7"/>
  <c r="K470" i="7" s="1"/>
  <c r="G469" i="7"/>
  <c r="J469" i="7" s="1"/>
  <c r="F468" i="8" l="1"/>
  <c r="M468" i="8"/>
  <c r="K468" i="8"/>
  <c r="I468" i="8"/>
  <c r="Q468" i="8"/>
  <c r="M468" i="9"/>
  <c r="Q468" i="9" s="1"/>
  <c r="K468" i="9"/>
  <c r="P468" i="9" s="1"/>
  <c r="I468" i="9"/>
  <c r="O468" i="9" s="1"/>
  <c r="G467" i="9"/>
  <c r="N467" i="9" s="1"/>
  <c r="E468" i="9"/>
  <c r="D468" i="9"/>
  <c r="F469" i="9" s="1"/>
  <c r="P468" i="8"/>
  <c r="O468" i="8"/>
  <c r="E468" i="8"/>
  <c r="D468" i="8"/>
  <c r="G467" i="8"/>
  <c r="N467" i="8" s="1"/>
  <c r="G469" i="6"/>
  <c r="J469" i="6" s="1"/>
  <c r="I470" i="6"/>
  <c r="L470" i="6" s="1"/>
  <c r="H470" i="6"/>
  <c r="K470" i="6" s="1"/>
  <c r="F470" i="6"/>
  <c r="E470" i="6"/>
  <c r="D470" i="6"/>
  <c r="D471" i="7"/>
  <c r="F472" i="7" s="1"/>
  <c r="E471" i="7"/>
  <c r="I471" i="7"/>
  <c r="L471" i="7" s="1"/>
  <c r="H471" i="7"/>
  <c r="K471" i="7" s="1"/>
  <c r="G470" i="7"/>
  <c r="J470" i="7" s="1"/>
  <c r="F469" i="8" l="1"/>
  <c r="M469" i="8"/>
  <c r="K469" i="8"/>
  <c r="I469" i="8"/>
  <c r="Q469" i="8"/>
  <c r="M469" i="9"/>
  <c r="Q469" i="9" s="1"/>
  <c r="K469" i="9"/>
  <c r="P469" i="9" s="1"/>
  <c r="I469" i="9"/>
  <c r="O469" i="9" s="1"/>
  <c r="G468" i="9"/>
  <c r="N468" i="9" s="1"/>
  <c r="E469" i="9"/>
  <c r="D469" i="9"/>
  <c r="F470" i="9" s="1"/>
  <c r="G468" i="8"/>
  <c r="N468" i="8" s="1"/>
  <c r="P469" i="8"/>
  <c r="O469" i="8"/>
  <c r="D469" i="8"/>
  <c r="E469" i="8"/>
  <c r="I471" i="6"/>
  <c r="L471" i="6" s="1"/>
  <c r="H471" i="6"/>
  <c r="K471" i="6" s="1"/>
  <c r="F471" i="6"/>
  <c r="E471" i="6"/>
  <c r="D471" i="6"/>
  <c r="G470" i="6"/>
  <c r="J470" i="6" s="1"/>
  <c r="E472" i="7"/>
  <c r="D472" i="7"/>
  <c r="F473" i="7" s="1"/>
  <c r="G471" i="7"/>
  <c r="J471" i="7" s="1"/>
  <c r="F470" i="8" l="1"/>
  <c r="M470" i="8"/>
  <c r="Q470" i="8" s="1"/>
  <c r="K470" i="8"/>
  <c r="I470" i="8"/>
  <c r="M470" i="9"/>
  <c r="Q470" i="9" s="1"/>
  <c r="K470" i="9"/>
  <c r="P470" i="9" s="1"/>
  <c r="I470" i="9"/>
  <c r="O470" i="9" s="1"/>
  <c r="G469" i="9"/>
  <c r="N469" i="9" s="1"/>
  <c r="E470" i="9"/>
  <c r="D470" i="9"/>
  <c r="F471" i="9" s="1"/>
  <c r="P470" i="8"/>
  <c r="O470" i="8"/>
  <c r="E470" i="8"/>
  <c r="D470" i="8"/>
  <c r="G469" i="8"/>
  <c r="N469" i="8" s="1"/>
  <c r="G471" i="6"/>
  <c r="J471" i="6" s="1"/>
  <c r="I472" i="6"/>
  <c r="L472" i="6" s="1"/>
  <c r="H472" i="6"/>
  <c r="K472" i="6" s="1"/>
  <c r="F472" i="6"/>
  <c r="E472" i="6"/>
  <c r="D472" i="6"/>
  <c r="D473" i="7"/>
  <c r="F474" i="7" s="1"/>
  <c r="E473" i="7"/>
  <c r="I472" i="7"/>
  <c r="L472" i="7" s="1"/>
  <c r="H472" i="7"/>
  <c r="K472" i="7" s="1"/>
  <c r="I473" i="7"/>
  <c r="L473" i="7" s="1"/>
  <c r="H473" i="7"/>
  <c r="K473" i="7" s="1"/>
  <c r="G472" i="7"/>
  <c r="J472" i="7" s="1"/>
  <c r="F471" i="8" l="1"/>
  <c r="M471" i="8"/>
  <c r="I471" i="8"/>
  <c r="K471" i="8"/>
  <c r="Q471" i="8"/>
  <c r="E471" i="9"/>
  <c r="D471" i="9"/>
  <c r="F472" i="9" s="1"/>
  <c r="M471" i="9"/>
  <c r="Q471" i="9" s="1"/>
  <c r="K471" i="9"/>
  <c r="P471" i="9" s="1"/>
  <c r="I471" i="9"/>
  <c r="O471" i="9" s="1"/>
  <c r="G470" i="9"/>
  <c r="N470" i="9" s="1"/>
  <c r="D471" i="8"/>
  <c r="G470" i="8"/>
  <c r="N470" i="8" s="1"/>
  <c r="E471" i="8"/>
  <c r="P471" i="8"/>
  <c r="O471" i="8"/>
  <c r="H473" i="6"/>
  <c r="K473" i="6" s="1"/>
  <c r="F473" i="6"/>
  <c r="E473" i="6"/>
  <c r="D473" i="6"/>
  <c r="G472" i="6"/>
  <c r="J472" i="6" s="1"/>
  <c r="I473" i="6"/>
  <c r="L473" i="6" s="1"/>
  <c r="E474" i="7"/>
  <c r="D474" i="7"/>
  <c r="F475" i="7" s="1"/>
  <c r="I474" i="7"/>
  <c r="L474" i="7" s="1"/>
  <c r="H474" i="7"/>
  <c r="K474" i="7" s="1"/>
  <c r="G473" i="7"/>
  <c r="J473" i="7" s="1"/>
  <c r="F472" i="8" l="1"/>
  <c r="K472" i="8"/>
  <c r="M472" i="8"/>
  <c r="Q472" i="8" s="1"/>
  <c r="I472" i="8"/>
  <c r="E472" i="9"/>
  <c r="D472" i="9"/>
  <c r="F473" i="9" s="1"/>
  <c r="M472" i="9"/>
  <c r="Q472" i="9" s="1"/>
  <c r="K472" i="9"/>
  <c r="P472" i="9" s="1"/>
  <c r="I472" i="9"/>
  <c r="O472" i="9" s="1"/>
  <c r="G471" i="9"/>
  <c r="N471" i="9" s="1"/>
  <c r="O472" i="8"/>
  <c r="E472" i="8"/>
  <c r="G471" i="8"/>
  <c r="N471" i="8" s="1"/>
  <c r="P472" i="8"/>
  <c r="D472" i="8"/>
  <c r="G473" i="6"/>
  <c r="J473" i="6" s="1"/>
  <c r="I474" i="6"/>
  <c r="L474" i="6" s="1"/>
  <c r="H474" i="6"/>
  <c r="K474" i="6" s="1"/>
  <c r="F474" i="6"/>
  <c r="E474" i="6"/>
  <c r="D474" i="6"/>
  <c r="D475" i="7"/>
  <c r="F476" i="7" s="1"/>
  <c r="E475" i="7"/>
  <c r="I475" i="7"/>
  <c r="L475" i="7" s="1"/>
  <c r="H475" i="7"/>
  <c r="K475" i="7" s="1"/>
  <c r="G474" i="7"/>
  <c r="J474" i="7" s="1"/>
  <c r="F473" i="8" l="1"/>
  <c r="K473" i="8"/>
  <c r="M473" i="8"/>
  <c r="I473" i="8"/>
  <c r="Q473" i="8"/>
  <c r="I473" i="9"/>
  <c r="O473" i="9" s="1"/>
  <c r="G472" i="9"/>
  <c r="N472" i="9" s="1"/>
  <c r="E473" i="9"/>
  <c r="D473" i="9"/>
  <c r="F474" i="9" s="1"/>
  <c r="M473" i="9"/>
  <c r="Q473" i="9" s="1"/>
  <c r="K473" i="9"/>
  <c r="P473" i="9" s="1"/>
  <c r="G472" i="8"/>
  <c r="N472" i="8" s="1"/>
  <c r="P473" i="8"/>
  <c r="O473" i="8"/>
  <c r="E473" i="8"/>
  <c r="D473" i="8"/>
  <c r="F475" i="6"/>
  <c r="E475" i="6"/>
  <c r="D475" i="6"/>
  <c r="G474" i="6"/>
  <c r="J474" i="6" s="1"/>
  <c r="I475" i="6"/>
  <c r="L475" i="6" s="1"/>
  <c r="H475" i="6"/>
  <c r="K475" i="6" s="1"/>
  <c r="E476" i="7"/>
  <c r="D476" i="7"/>
  <c r="F477" i="7" s="1"/>
  <c r="I476" i="7"/>
  <c r="L476" i="7" s="1"/>
  <c r="H476" i="7"/>
  <c r="K476" i="7" s="1"/>
  <c r="G475" i="7"/>
  <c r="J475" i="7" s="1"/>
  <c r="F474" i="8" l="1"/>
  <c r="I474" i="8"/>
  <c r="K474" i="8"/>
  <c r="M474" i="8"/>
  <c r="Q474" i="8"/>
  <c r="K474" i="9"/>
  <c r="P474" i="9" s="1"/>
  <c r="I474" i="9"/>
  <c r="O474" i="9" s="1"/>
  <c r="G473" i="9"/>
  <c r="N473" i="9" s="1"/>
  <c r="E474" i="9"/>
  <c r="D474" i="9"/>
  <c r="F475" i="9" s="1"/>
  <c r="M474" i="9"/>
  <c r="Q474" i="9" s="1"/>
  <c r="P474" i="8"/>
  <c r="E474" i="8"/>
  <c r="D474" i="8"/>
  <c r="G473" i="8"/>
  <c r="N473" i="8" s="1"/>
  <c r="O474" i="8"/>
  <c r="I476" i="6"/>
  <c r="L476" i="6" s="1"/>
  <c r="H476" i="6"/>
  <c r="K476" i="6" s="1"/>
  <c r="F476" i="6"/>
  <c r="E476" i="6"/>
  <c r="D476" i="6"/>
  <c r="G475" i="6"/>
  <c r="J475" i="6" s="1"/>
  <c r="E477" i="7"/>
  <c r="D477" i="7"/>
  <c r="F478" i="7" s="1"/>
  <c r="I477" i="7"/>
  <c r="L477" i="7" s="1"/>
  <c r="H477" i="7"/>
  <c r="K477" i="7" s="1"/>
  <c r="G476" i="7"/>
  <c r="J476" i="7" s="1"/>
  <c r="F475" i="8" l="1"/>
  <c r="M475" i="8"/>
  <c r="Q475" i="8" s="1"/>
  <c r="K475" i="8"/>
  <c r="I475" i="8"/>
  <c r="M475" i="9"/>
  <c r="Q475" i="9" s="1"/>
  <c r="K475" i="9"/>
  <c r="P475" i="9" s="1"/>
  <c r="I475" i="9"/>
  <c r="O475" i="9" s="1"/>
  <c r="G474" i="9"/>
  <c r="N474" i="9" s="1"/>
  <c r="E475" i="9"/>
  <c r="D475" i="9"/>
  <c r="F476" i="9" s="1"/>
  <c r="P475" i="8"/>
  <c r="O475" i="8"/>
  <c r="E475" i="8"/>
  <c r="D475" i="8"/>
  <c r="G474" i="8"/>
  <c r="N474" i="8" s="1"/>
  <c r="D477" i="6"/>
  <c r="G476" i="6"/>
  <c r="J476" i="6" s="1"/>
  <c r="I477" i="6"/>
  <c r="L477" i="6" s="1"/>
  <c r="H477" i="6"/>
  <c r="K477" i="6" s="1"/>
  <c r="F477" i="6"/>
  <c r="E477" i="6"/>
  <c r="E478" i="7"/>
  <c r="D478" i="7"/>
  <c r="F479" i="7" s="1"/>
  <c r="I478" i="7"/>
  <c r="L478" i="7" s="1"/>
  <c r="H478" i="7"/>
  <c r="K478" i="7" s="1"/>
  <c r="G477" i="7"/>
  <c r="J477" i="7" s="1"/>
  <c r="F476" i="8" l="1"/>
  <c r="M476" i="8"/>
  <c r="Q476" i="8" s="1"/>
  <c r="K476" i="8"/>
  <c r="I476" i="8"/>
  <c r="M476" i="9"/>
  <c r="Q476" i="9" s="1"/>
  <c r="K476" i="9"/>
  <c r="P476" i="9" s="1"/>
  <c r="I476" i="9"/>
  <c r="O476" i="9" s="1"/>
  <c r="G475" i="9"/>
  <c r="N475" i="9" s="1"/>
  <c r="E476" i="9"/>
  <c r="D476" i="9"/>
  <c r="F477" i="9" s="1"/>
  <c r="D476" i="8"/>
  <c r="P476" i="8"/>
  <c r="O476" i="8"/>
  <c r="E476" i="8"/>
  <c r="G475" i="8"/>
  <c r="N475" i="8" s="1"/>
  <c r="I478" i="6"/>
  <c r="L478" i="6" s="1"/>
  <c r="H478" i="6"/>
  <c r="K478" i="6" s="1"/>
  <c r="F478" i="6"/>
  <c r="E478" i="6"/>
  <c r="D478" i="6"/>
  <c r="G477" i="6"/>
  <c r="J477" i="6" s="1"/>
  <c r="E479" i="7"/>
  <c r="D479" i="7"/>
  <c r="F480" i="7" s="1"/>
  <c r="H479" i="7"/>
  <c r="K479" i="7" s="1"/>
  <c r="G478" i="7"/>
  <c r="J478" i="7" s="1"/>
  <c r="F477" i="8" l="1"/>
  <c r="M477" i="8"/>
  <c r="Q477" i="8" s="1"/>
  <c r="I477" i="8"/>
  <c r="K477" i="8"/>
  <c r="M477" i="9"/>
  <c r="Q477" i="9" s="1"/>
  <c r="K477" i="9"/>
  <c r="P477" i="9" s="1"/>
  <c r="I477" i="9"/>
  <c r="O477" i="9" s="1"/>
  <c r="G476" i="9"/>
  <c r="N476" i="9" s="1"/>
  <c r="E477" i="9"/>
  <c r="D477" i="9"/>
  <c r="F478" i="9" s="1"/>
  <c r="G476" i="8"/>
  <c r="N476" i="8" s="1"/>
  <c r="P477" i="8"/>
  <c r="O477" i="8"/>
  <c r="E477" i="8"/>
  <c r="D477" i="8"/>
  <c r="G478" i="6"/>
  <c r="J478" i="6" s="1"/>
  <c r="I479" i="6"/>
  <c r="L479" i="6" s="1"/>
  <c r="H479" i="6"/>
  <c r="K479" i="6" s="1"/>
  <c r="F479" i="6"/>
  <c r="E479" i="6"/>
  <c r="D479" i="6"/>
  <c r="D480" i="7"/>
  <c r="F481" i="7" s="1"/>
  <c r="E480" i="7"/>
  <c r="I480" i="7"/>
  <c r="L480" i="7" s="1"/>
  <c r="H480" i="7"/>
  <c r="K480" i="7" s="1"/>
  <c r="G479" i="7"/>
  <c r="J479" i="7" s="1"/>
  <c r="I479" i="7"/>
  <c r="L479" i="7" s="1"/>
  <c r="F478" i="8" l="1"/>
  <c r="M478" i="8"/>
  <c r="K478" i="8"/>
  <c r="I478" i="8"/>
  <c r="Q478" i="8"/>
  <c r="M478" i="9"/>
  <c r="Q478" i="9" s="1"/>
  <c r="K478" i="9"/>
  <c r="P478" i="9" s="1"/>
  <c r="I478" i="9"/>
  <c r="O478" i="9" s="1"/>
  <c r="G477" i="9"/>
  <c r="N477" i="9" s="1"/>
  <c r="E478" i="9"/>
  <c r="D478" i="9"/>
  <c r="F479" i="9" s="1"/>
  <c r="E478" i="8"/>
  <c r="P478" i="8"/>
  <c r="O478" i="8"/>
  <c r="D478" i="8"/>
  <c r="G477" i="8"/>
  <c r="N477" i="8" s="1"/>
  <c r="I480" i="6"/>
  <c r="L480" i="6" s="1"/>
  <c r="H480" i="6"/>
  <c r="K480" i="6" s="1"/>
  <c r="F480" i="6"/>
  <c r="E480" i="6"/>
  <c r="D480" i="6"/>
  <c r="G479" i="6"/>
  <c r="J479" i="6" s="1"/>
  <c r="E481" i="7"/>
  <c r="D481" i="7"/>
  <c r="F482" i="7" s="1"/>
  <c r="I481" i="7"/>
  <c r="L481" i="7" s="1"/>
  <c r="H481" i="7"/>
  <c r="K481" i="7" s="1"/>
  <c r="G480" i="7"/>
  <c r="J480" i="7" s="1"/>
  <c r="F479" i="8" l="1"/>
  <c r="M479" i="8"/>
  <c r="Q479" i="8" s="1"/>
  <c r="I479" i="8"/>
  <c r="K479" i="8"/>
  <c r="E479" i="9"/>
  <c r="D479" i="9"/>
  <c r="F480" i="9" s="1"/>
  <c r="M479" i="9"/>
  <c r="Q479" i="9" s="1"/>
  <c r="K479" i="9"/>
  <c r="P479" i="9" s="1"/>
  <c r="I479" i="9"/>
  <c r="O479" i="9" s="1"/>
  <c r="G478" i="9"/>
  <c r="N478" i="9" s="1"/>
  <c r="P479" i="8"/>
  <c r="O479" i="8"/>
  <c r="G478" i="8"/>
  <c r="N478" i="8" s="1"/>
  <c r="E479" i="8"/>
  <c r="D479" i="8"/>
  <c r="G480" i="6"/>
  <c r="J480" i="6" s="1"/>
  <c r="I481" i="6"/>
  <c r="L481" i="6" s="1"/>
  <c r="H481" i="6"/>
  <c r="K481" i="6" s="1"/>
  <c r="F481" i="6"/>
  <c r="E481" i="6"/>
  <c r="D481" i="6"/>
  <c r="E482" i="7"/>
  <c r="D482" i="7"/>
  <c r="F483" i="7" s="1"/>
  <c r="I482" i="7"/>
  <c r="L482" i="7" s="1"/>
  <c r="G481" i="7"/>
  <c r="J481" i="7" s="1"/>
  <c r="H482" i="7"/>
  <c r="K482" i="7" s="1"/>
  <c r="F480" i="8" l="1"/>
  <c r="M480" i="8"/>
  <c r="K480" i="8"/>
  <c r="I480" i="8"/>
  <c r="Q480" i="8"/>
  <c r="E480" i="9"/>
  <c r="D480" i="9"/>
  <c r="F481" i="9" s="1"/>
  <c r="M480" i="9"/>
  <c r="Q480" i="9" s="1"/>
  <c r="K480" i="9"/>
  <c r="P480" i="9" s="1"/>
  <c r="I480" i="9"/>
  <c r="O480" i="9" s="1"/>
  <c r="G479" i="9"/>
  <c r="N479" i="9" s="1"/>
  <c r="D480" i="8"/>
  <c r="G479" i="8"/>
  <c r="N479" i="8" s="1"/>
  <c r="P480" i="8"/>
  <c r="O480" i="8"/>
  <c r="E480" i="8"/>
  <c r="F482" i="6"/>
  <c r="E482" i="6"/>
  <c r="D482" i="6"/>
  <c r="G481" i="6"/>
  <c r="J481" i="6" s="1"/>
  <c r="H482" i="6"/>
  <c r="K482" i="6" s="1"/>
  <c r="I482" i="6"/>
  <c r="L482" i="6" s="1"/>
  <c r="D483" i="7"/>
  <c r="F484" i="7" s="1"/>
  <c r="E483" i="7"/>
  <c r="I483" i="7"/>
  <c r="L483" i="7" s="1"/>
  <c r="G482" i="7"/>
  <c r="J482" i="7" s="1"/>
  <c r="H483" i="7"/>
  <c r="K483" i="7" s="1"/>
  <c r="F481" i="8" l="1"/>
  <c r="M481" i="8"/>
  <c r="Q481" i="8" s="1"/>
  <c r="K481" i="8"/>
  <c r="I481" i="8"/>
  <c r="I481" i="9"/>
  <c r="O481" i="9" s="1"/>
  <c r="G480" i="9"/>
  <c r="N480" i="9" s="1"/>
  <c r="E481" i="9"/>
  <c r="D481" i="9"/>
  <c r="F482" i="9" s="1"/>
  <c r="M481" i="9"/>
  <c r="Q481" i="9" s="1"/>
  <c r="K481" i="9"/>
  <c r="P481" i="9" s="1"/>
  <c r="E481" i="8"/>
  <c r="D481" i="8"/>
  <c r="P481" i="8"/>
  <c r="O481" i="8"/>
  <c r="G480" i="8"/>
  <c r="N480" i="8" s="1"/>
  <c r="G482" i="6"/>
  <c r="J482" i="6" s="1"/>
  <c r="I483" i="6"/>
  <c r="L483" i="6" s="1"/>
  <c r="H483" i="6"/>
  <c r="K483" i="6" s="1"/>
  <c r="F483" i="6"/>
  <c r="E483" i="6"/>
  <c r="D483" i="6"/>
  <c r="D484" i="7"/>
  <c r="F485" i="7" s="1"/>
  <c r="E484" i="7"/>
  <c r="I484" i="7"/>
  <c r="L484" i="7" s="1"/>
  <c r="H484" i="7"/>
  <c r="K484" i="7" s="1"/>
  <c r="G483" i="7"/>
  <c r="J483" i="7" s="1"/>
  <c r="F482" i="8" l="1"/>
  <c r="M482" i="8"/>
  <c r="Q482" i="8" s="1"/>
  <c r="K482" i="8"/>
  <c r="I482" i="8"/>
  <c r="K482" i="9"/>
  <c r="P482" i="9" s="1"/>
  <c r="I482" i="9"/>
  <c r="O482" i="9" s="1"/>
  <c r="G481" i="9"/>
  <c r="N481" i="9" s="1"/>
  <c r="E482" i="9"/>
  <c r="D482" i="9"/>
  <c r="F483" i="9" s="1"/>
  <c r="M482" i="9"/>
  <c r="Q482" i="9" s="1"/>
  <c r="G481" i="8"/>
  <c r="N481" i="8" s="1"/>
  <c r="D482" i="8"/>
  <c r="P482" i="8"/>
  <c r="E482" i="8"/>
  <c r="O482" i="8"/>
  <c r="E484" i="6"/>
  <c r="D484" i="6"/>
  <c r="G483" i="6"/>
  <c r="J483" i="6" s="1"/>
  <c r="I484" i="6"/>
  <c r="L484" i="6" s="1"/>
  <c r="H484" i="6"/>
  <c r="K484" i="6" s="1"/>
  <c r="F484" i="6"/>
  <c r="D485" i="7"/>
  <c r="F486" i="7" s="1"/>
  <c r="E485" i="7"/>
  <c r="H485" i="7"/>
  <c r="K485" i="7" s="1"/>
  <c r="I485" i="7"/>
  <c r="L485" i="7" s="1"/>
  <c r="G484" i="7"/>
  <c r="J484" i="7" s="1"/>
  <c r="F483" i="8" l="1"/>
  <c r="M483" i="8"/>
  <c r="Q483" i="8" s="1"/>
  <c r="K483" i="8"/>
  <c r="I483" i="8"/>
  <c r="M483" i="9"/>
  <c r="Q483" i="9" s="1"/>
  <c r="K483" i="9"/>
  <c r="P483" i="9" s="1"/>
  <c r="I483" i="9"/>
  <c r="O483" i="9" s="1"/>
  <c r="G482" i="9"/>
  <c r="N482" i="9" s="1"/>
  <c r="E483" i="9"/>
  <c r="D483" i="9"/>
  <c r="F484" i="9" s="1"/>
  <c r="P483" i="8"/>
  <c r="O483" i="8"/>
  <c r="E483" i="8"/>
  <c r="D483" i="8"/>
  <c r="G482" i="8"/>
  <c r="N482" i="8" s="1"/>
  <c r="I485" i="6"/>
  <c r="L485" i="6" s="1"/>
  <c r="H485" i="6"/>
  <c r="K485" i="6" s="1"/>
  <c r="F485" i="6"/>
  <c r="E485" i="6"/>
  <c r="D485" i="6"/>
  <c r="G484" i="6"/>
  <c r="J484" i="6" s="1"/>
  <c r="E486" i="7"/>
  <c r="D486" i="7"/>
  <c r="F487" i="7" s="1"/>
  <c r="H486" i="7"/>
  <c r="K486" i="7" s="1"/>
  <c r="G485" i="7"/>
  <c r="J485" i="7" s="1"/>
  <c r="F484" i="8" l="1"/>
  <c r="M484" i="8"/>
  <c r="K484" i="8"/>
  <c r="I484" i="8"/>
  <c r="Q484" i="8"/>
  <c r="M484" i="9"/>
  <c r="Q484" i="9" s="1"/>
  <c r="K484" i="9"/>
  <c r="P484" i="9" s="1"/>
  <c r="I484" i="9"/>
  <c r="O484" i="9" s="1"/>
  <c r="G483" i="9"/>
  <c r="N483" i="9" s="1"/>
  <c r="E484" i="9"/>
  <c r="D484" i="9"/>
  <c r="F485" i="9" s="1"/>
  <c r="P484" i="8"/>
  <c r="O484" i="8"/>
  <c r="E484" i="8"/>
  <c r="D484" i="8"/>
  <c r="G483" i="8"/>
  <c r="N483" i="8" s="1"/>
  <c r="G485" i="6"/>
  <c r="J485" i="6" s="1"/>
  <c r="I486" i="6"/>
  <c r="L486" i="6" s="1"/>
  <c r="H486" i="6"/>
  <c r="K486" i="6" s="1"/>
  <c r="F486" i="6"/>
  <c r="E486" i="6"/>
  <c r="D486" i="6"/>
  <c r="E487" i="7"/>
  <c r="D487" i="7"/>
  <c r="F488" i="7" s="1"/>
  <c r="I486" i="7"/>
  <c r="L486" i="7" s="1"/>
  <c r="I487" i="7"/>
  <c r="L487" i="7" s="1"/>
  <c r="H487" i="7"/>
  <c r="K487" i="7" s="1"/>
  <c r="G486" i="7"/>
  <c r="J486" i="7" s="1"/>
  <c r="F485" i="8" l="1"/>
  <c r="M485" i="8"/>
  <c r="Q485" i="8" s="1"/>
  <c r="K485" i="8"/>
  <c r="I485" i="8"/>
  <c r="M485" i="9"/>
  <c r="Q485" i="9" s="1"/>
  <c r="K485" i="9"/>
  <c r="P485" i="9" s="1"/>
  <c r="I485" i="9"/>
  <c r="O485" i="9" s="1"/>
  <c r="G484" i="9"/>
  <c r="N484" i="9" s="1"/>
  <c r="E485" i="9"/>
  <c r="D485" i="9"/>
  <c r="F486" i="9" s="1"/>
  <c r="G484" i="8"/>
  <c r="N484" i="8" s="1"/>
  <c r="O485" i="8"/>
  <c r="E485" i="8"/>
  <c r="D485" i="8"/>
  <c r="P485" i="8"/>
  <c r="I487" i="6"/>
  <c r="L487" i="6" s="1"/>
  <c r="H487" i="6"/>
  <c r="K487" i="6" s="1"/>
  <c r="F487" i="6"/>
  <c r="E487" i="6"/>
  <c r="D487" i="6"/>
  <c r="G486" i="6"/>
  <c r="J486" i="6" s="1"/>
  <c r="D488" i="7"/>
  <c r="F489" i="7" s="1"/>
  <c r="E488" i="7"/>
  <c r="I488" i="7"/>
  <c r="L488" i="7" s="1"/>
  <c r="H488" i="7"/>
  <c r="K488" i="7" s="1"/>
  <c r="G487" i="7"/>
  <c r="J487" i="7" s="1"/>
  <c r="F486" i="8" l="1"/>
  <c r="M486" i="8"/>
  <c r="Q486" i="8" s="1"/>
  <c r="K486" i="8"/>
  <c r="I486" i="8"/>
  <c r="M486" i="9"/>
  <c r="Q486" i="9" s="1"/>
  <c r="K486" i="9"/>
  <c r="P486" i="9" s="1"/>
  <c r="I486" i="9"/>
  <c r="O486" i="9" s="1"/>
  <c r="G485" i="9"/>
  <c r="N485" i="9" s="1"/>
  <c r="E486" i="9"/>
  <c r="D486" i="9"/>
  <c r="F487" i="9" s="1"/>
  <c r="G485" i="8"/>
  <c r="N485" i="8" s="1"/>
  <c r="P486" i="8"/>
  <c r="O486" i="8"/>
  <c r="E486" i="8"/>
  <c r="D486" i="8"/>
  <c r="G487" i="6"/>
  <c r="J487" i="6" s="1"/>
  <c r="I488" i="6"/>
  <c r="L488" i="6" s="1"/>
  <c r="H488" i="6"/>
  <c r="K488" i="6" s="1"/>
  <c r="F488" i="6"/>
  <c r="E488" i="6"/>
  <c r="D488" i="6"/>
  <c r="D489" i="7"/>
  <c r="F490" i="7" s="1"/>
  <c r="E489" i="7"/>
  <c r="I489" i="7"/>
  <c r="L489" i="7" s="1"/>
  <c r="H489" i="7"/>
  <c r="K489" i="7" s="1"/>
  <c r="G488" i="7"/>
  <c r="J488" i="7" s="1"/>
  <c r="F487" i="8" l="1"/>
  <c r="M487" i="8"/>
  <c r="Q487" i="8" s="1"/>
  <c r="I487" i="8"/>
  <c r="K487" i="8"/>
  <c r="E487" i="9"/>
  <c r="D487" i="9"/>
  <c r="F488" i="9" s="1"/>
  <c r="M487" i="9"/>
  <c r="Q487" i="9" s="1"/>
  <c r="K487" i="9"/>
  <c r="P487" i="9" s="1"/>
  <c r="I487" i="9"/>
  <c r="O487" i="9" s="1"/>
  <c r="G486" i="9"/>
  <c r="N486" i="9" s="1"/>
  <c r="E487" i="8"/>
  <c r="D487" i="8"/>
  <c r="G486" i="8"/>
  <c r="N486" i="8" s="1"/>
  <c r="P487" i="8"/>
  <c r="O487" i="8"/>
  <c r="H489" i="6"/>
  <c r="K489" i="6" s="1"/>
  <c r="F489" i="6"/>
  <c r="E489" i="6"/>
  <c r="D489" i="6"/>
  <c r="G488" i="6"/>
  <c r="J488" i="6" s="1"/>
  <c r="I489" i="6"/>
  <c r="L489" i="6" s="1"/>
  <c r="D490" i="7"/>
  <c r="F491" i="7" s="1"/>
  <c r="E490" i="7"/>
  <c r="G489" i="7"/>
  <c r="J489" i="7" s="1"/>
  <c r="F488" i="8" l="1"/>
  <c r="K488" i="8"/>
  <c r="M488" i="8"/>
  <c r="Q488" i="8" s="1"/>
  <c r="I488" i="8"/>
  <c r="E488" i="9"/>
  <c r="D488" i="9"/>
  <c r="F489" i="9" s="1"/>
  <c r="M488" i="9"/>
  <c r="Q488" i="9" s="1"/>
  <c r="K488" i="9"/>
  <c r="P488" i="9" s="1"/>
  <c r="I488" i="9"/>
  <c r="O488" i="9" s="1"/>
  <c r="G487" i="9"/>
  <c r="N487" i="9" s="1"/>
  <c r="O488" i="8"/>
  <c r="E488" i="8"/>
  <c r="G487" i="8"/>
  <c r="N487" i="8" s="1"/>
  <c r="P488" i="8"/>
  <c r="D488" i="8"/>
  <c r="G489" i="6"/>
  <c r="J489" i="6" s="1"/>
  <c r="I490" i="6"/>
  <c r="L490" i="6" s="1"/>
  <c r="H490" i="6"/>
  <c r="K490" i="6" s="1"/>
  <c r="F490" i="6"/>
  <c r="E490" i="6"/>
  <c r="D490" i="6"/>
  <c r="D491" i="7"/>
  <c r="F492" i="7" s="1"/>
  <c r="E491" i="7"/>
  <c r="I490" i="7"/>
  <c r="L490" i="7" s="1"/>
  <c r="H490" i="7"/>
  <c r="K490" i="7" s="1"/>
  <c r="H491" i="7"/>
  <c r="K491" i="7" s="1"/>
  <c r="G490" i="7"/>
  <c r="J490" i="7" s="1"/>
  <c r="F489" i="8" l="1"/>
  <c r="K489" i="8"/>
  <c r="M489" i="8"/>
  <c r="I489" i="8"/>
  <c r="Q489" i="8"/>
  <c r="I489" i="9"/>
  <c r="O489" i="9" s="1"/>
  <c r="G488" i="9"/>
  <c r="N488" i="9" s="1"/>
  <c r="E489" i="9"/>
  <c r="D489" i="9"/>
  <c r="F490" i="9" s="1"/>
  <c r="M489" i="9"/>
  <c r="Q489" i="9" s="1"/>
  <c r="K489" i="9"/>
  <c r="P489" i="9" s="1"/>
  <c r="G488" i="8"/>
  <c r="N488" i="8" s="1"/>
  <c r="P489" i="8"/>
  <c r="O489" i="8"/>
  <c r="E489" i="8"/>
  <c r="D489" i="8"/>
  <c r="F491" i="6"/>
  <c r="E491" i="6"/>
  <c r="D491" i="6"/>
  <c r="G490" i="6"/>
  <c r="J490" i="6" s="1"/>
  <c r="H491" i="6"/>
  <c r="K491" i="6" s="1"/>
  <c r="I491" i="6"/>
  <c r="L491" i="6" s="1"/>
  <c r="D492" i="7"/>
  <c r="F493" i="7" s="1"/>
  <c r="E492" i="7"/>
  <c r="I491" i="7"/>
  <c r="L491" i="7" s="1"/>
  <c r="G491" i="7"/>
  <c r="J491" i="7" s="1"/>
  <c r="F490" i="8" l="1"/>
  <c r="K490" i="8"/>
  <c r="I490" i="8"/>
  <c r="M490" i="8"/>
  <c r="Q490" i="8" s="1"/>
  <c r="K490" i="9"/>
  <c r="P490" i="9" s="1"/>
  <c r="I490" i="9"/>
  <c r="O490" i="9" s="1"/>
  <c r="G489" i="9"/>
  <c r="N489" i="9" s="1"/>
  <c r="E490" i="9"/>
  <c r="D490" i="9"/>
  <c r="F491" i="9" s="1"/>
  <c r="M490" i="9"/>
  <c r="Q490" i="9" s="1"/>
  <c r="P490" i="8"/>
  <c r="E490" i="8"/>
  <c r="D490" i="8"/>
  <c r="O490" i="8"/>
  <c r="G489" i="8"/>
  <c r="N489" i="8" s="1"/>
  <c r="I492" i="6"/>
  <c r="L492" i="6" s="1"/>
  <c r="H492" i="6"/>
  <c r="K492" i="6" s="1"/>
  <c r="F492" i="6"/>
  <c r="E492" i="6"/>
  <c r="D492" i="6"/>
  <c r="G491" i="6"/>
  <c r="J491" i="6" s="1"/>
  <c r="D493" i="7"/>
  <c r="F494" i="7" s="1"/>
  <c r="E493" i="7"/>
  <c r="I492" i="7"/>
  <c r="L492" i="7" s="1"/>
  <c r="H492" i="7"/>
  <c r="K492" i="7" s="1"/>
  <c r="H493" i="7"/>
  <c r="K493" i="7" s="1"/>
  <c r="G492" i="7"/>
  <c r="J492" i="7" s="1"/>
  <c r="F491" i="8" l="1"/>
  <c r="M491" i="8"/>
  <c r="K491" i="8"/>
  <c r="I491" i="8"/>
  <c r="Q491" i="8"/>
  <c r="M491" i="9"/>
  <c r="Q491" i="9" s="1"/>
  <c r="K491" i="9"/>
  <c r="P491" i="9" s="1"/>
  <c r="I491" i="9"/>
  <c r="O491" i="9" s="1"/>
  <c r="G490" i="9"/>
  <c r="N490" i="9" s="1"/>
  <c r="E491" i="9"/>
  <c r="D491" i="9"/>
  <c r="F492" i="9" s="1"/>
  <c r="G490" i="8"/>
  <c r="N490" i="8" s="1"/>
  <c r="P491" i="8"/>
  <c r="O491" i="8"/>
  <c r="E491" i="8"/>
  <c r="D491" i="8"/>
  <c r="D493" i="6"/>
  <c r="G492" i="6"/>
  <c r="J492" i="6" s="1"/>
  <c r="I493" i="6"/>
  <c r="L493" i="6" s="1"/>
  <c r="H493" i="6"/>
  <c r="K493" i="6" s="1"/>
  <c r="F493" i="6"/>
  <c r="E493" i="6"/>
  <c r="D494" i="7"/>
  <c r="F495" i="7" s="1"/>
  <c r="E494" i="7"/>
  <c r="I493" i="7"/>
  <c r="L493" i="7" s="1"/>
  <c r="I494" i="7"/>
  <c r="L494" i="7" s="1"/>
  <c r="H494" i="7"/>
  <c r="K494" i="7" s="1"/>
  <c r="G493" i="7"/>
  <c r="J493" i="7" s="1"/>
  <c r="F492" i="8" l="1"/>
  <c r="M492" i="8"/>
  <c r="Q492" i="8" s="1"/>
  <c r="K492" i="8"/>
  <c r="I492" i="8"/>
  <c r="M492" i="9"/>
  <c r="Q492" i="9" s="1"/>
  <c r="K492" i="9"/>
  <c r="P492" i="9" s="1"/>
  <c r="I492" i="9"/>
  <c r="O492" i="9" s="1"/>
  <c r="G491" i="9"/>
  <c r="N491" i="9" s="1"/>
  <c r="E492" i="9"/>
  <c r="D492" i="9"/>
  <c r="F493" i="9" s="1"/>
  <c r="O492" i="8"/>
  <c r="D492" i="8"/>
  <c r="P492" i="8"/>
  <c r="E492" i="8"/>
  <c r="G491" i="8"/>
  <c r="N491" i="8" s="1"/>
  <c r="I494" i="6"/>
  <c r="L494" i="6" s="1"/>
  <c r="H494" i="6"/>
  <c r="K494" i="6" s="1"/>
  <c r="F494" i="6"/>
  <c r="E494" i="6"/>
  <c r="D494" i="6"/>
  <c r="G493" i="6"/>
  <c r="J493" i="6" s="1"/>
  <c r="D495" i="7"/>
  <c r="F496" i="7" s="1"/>
  <c r="E495" i="7"/>
  <c r="I495" i="7"/>
  <c r="L495" i="7" s="1"/>
  <c r="H495" i="7"/>
  <c r="K495" i="7" s="1"/>
  <c r="G494" i="7"/>
  <c r="J494" i="7" s="1"/>
  <c r="F493" i="8" l="1"/>
  <c r="M493" i="8"/>
  <c r="Q493" i="8" s="1"/>
  <c r="K493" i="8"/>
  <c r="I493" i="8"/>
  <c r="M493" i="9"/>
  <c r="Q493" i="9" s="1"/>
  <c r="K493" i="9"/>
  <c r="P493" i="9" s="1"/>
  <c r="I493" i="9"/>
  <c r="O493" i="9" s="1"/>
  <c r="G492" i="9"/>
  <c r="N492" i="9" s="1"/>
  <c r="E493" i="9"/>
  <c r="D493" i="9"/>
  <c r="F494" i="9" s="1"/>
  <c r="G492" i="8"/>
  <c r="N492" i="8" s="1"/>
  <c r="P493" i="8"/>
  <c r="O493" i="8"/>
  <c r="E493" i="8"/>
  <c r="D493" i="8"/>
  <c r="G494" i="6"/>
  <c r="J494" i="6" s="1"/>
  <c r="I495" i="6"/>
  <c r="L495" i="6" s="1"/>
  <c r="H495" i="6"/>
  <c r="K495" i="6" s="1"/>
  <c r="F495" i="6"/>
  <c r="E495" i="6"/>
  <c r="D495" i="6"/>
  <c r="D496" i="7"/>
  <c r="F497" i="7" s="1"/>
  <c r="E496" i="7"/>
  <c r="I496" i="7"/>
  <c r="L496" i="7" s="1"/>
  <c r="H496" i="7"/>
  <c r="K496" i="7" s="1"/>
  <c r="G495" i="7"/>
  <c r="J495" i="7" s="1"/>
  <c r="F494" i="8" l="1"/>
  <c r="M494" i="8"/>
  <c r="Q494" i="8" s="1"/>
  <c r="K494" i="8"/>
  <c r="I494" i="8"/>
  <c r="M494" i="9"/>
  <c r="Q494" i="9" s="1"/>
  <c r="K494" i="9"/>
  <c r="P494" i="9" s="1"/>
  <c r="I494" i="9"/>
  <c r="O494" i="9" s="1"/>
  <c r="G493" i="9"/>
  <c r="N493" i="9" s="1"/>
  <c r="E494" i="9"/>
  <c r="D494" i="9"/>
  <c r="F495" i="9" s="1"/>
  <c r="E494" i="8"/>
  <c r="P494" i="8"/>
  <c r="D494" i="8"/>
  <c r="G493" i="8"/>
  <c r="N493" i="8" s="1"/>
  <c r="O494" i="8"/>
  <c r="I496" i="6"/>
  <c r="L496" i="6" s="1"/>
  <c r="H496" i="6"/>
  <c r="K496" i="6" s="1"/>
  <c r="F496" i="6"/>
  <c r="E496" i="6"/>
  <c r="D496" i="6"/>
  <c r="G495" i="6"/>
  <c r="J495" i="6" s="1"/>
  <c r="D497" i="7"/>
  <c r="F498" i="7" s="1"/>
  <c r="E497" i="7"/>
  <c r="G496" i="7"/>
  <c r="J496" i="7" s="1"/>
  <c r="F495" i="8" l="1"/>
  <c r="M495" i="8"/>
  <c r="K495" i="8"/>
  <c r="I495" i="8"/>
  <c r="Q495" i="8"/>
  <c r="E495" i="9"/>
  <c r="D495" i="9"/>
  <c r="F496" i="9" s="1"/>
  <c r="M495" i="9"/>
  <c r="Q495" i="9" s="1"/>
  <c r="K495" i="9"/>
  <c r="P495" i="9" s="1"/>
  <c r="I495" i="9"/>
  <c r="O495" i="9" s="1"/>
  <c r="G494" i="9"/>
  <c r="N494" i="9" s="1"/>
  <c r="P495" i="8"/>
  <c r="O495" i="8"/>
  <c r="E495" i="8"/>
  <c r="D495" i="8"/>
  <c r="G494" i="8"/>
  <c r="N494" i="8" s="1"/>
  <c r="G496" i="6"/>
  <c r="J496" i="6" s="1"/>
  <c r="I497" i="6"/>
  <c r="L497" i="6" s="1"/>
  <c r="H497" i="6"/>
  <c r="K497" i="6" s="1"/>
  <c r="F497" i="6"/>
  <c r="E497" i="6"/>
  <c r="D497" i="6"/>
  <c r="E498" i="7"/>
  <c r="D498" i="7"/>
  <c r="F499" i="7" s="1"/>
  <c r="H497" i="7"/>
  <c r="K497" i="7" s="1"/>
  <c r="I497" i="7"/>
  <c r="L497" i="7" s="1"/>
  <c r="I498" i="7"/>
  <c r="L498" i="7" s="1"/>
  <c r="G497" i="7"/>
  <c r="J497" i="7" s="1"/>
  <c r="H498" i="7"/>
  <c r="K498" i="7" s="1"/>
  <c r="F496" i="8" l="1"/>
  <c r="M496" i="8"/>
  <c r="K496" i="8"/>
  <c r="I496" i="8"/>
  <c r="Q496" i="8"/>
  <c r="E496" i="9"/>
  <c r="D496" i="9"/>
  <c r="F497" i="9" s="1"/>
  <c r="M496" i="9"/>
  <c r="Q496" i="9" s="1"/>
  <c r="K496" i="9"/>
  <c r="P496" i="9" s="1"/>
  <c r="I496" i="9"/>
  <c r="O496" i="9" s="1"/>
  <c r="G495" i="9"/>
  <c r="N495" i="9" s="1"/>
  <c r="D496" i="8"/>
  <c r="G495" i="8"/>
  <c r="N495" i="8" s="1"/>
  <c r="E496" i="8"/>
  <c r="P496" i="8"/>
  <c r="O496" i="8"/>
  <c r="F498" i="6"/>
  <c r="E498" i="6"/>
  <c r="D498" i="6"/>
  <c r="G497" i="6"/>
  <c r="J497" i="6" s="1"/>
  <c r="I498" i="6"/>
  <c r="L498" i="6" s="1"/>
  <c r="H498" i="6"/>
  <c r="K498" i="6" s="1"/>
  <c r="D499" i="7"/>
  <c r="F500" i="7" s="1"/>
  <c r="E499" i="7"/>
  <c r="I499" i="7"/>
  <c r="L499" i="7" s="1"/>
  <c r="G498" i="7"/>
  <c r="J498" i="7" s="1"/>
  <c r="H499" i="7"/>
  <c r="K499" i="7" s="1"/>
  <c r="F497" i="8" l="1"/>
  <c r="M497" i="8"/>
  <c r="Q497" i="8" s="1"/>
  <c r="K497" i="8"/>
  <c r="I497" i="8"/>
  <c r="I497" i="9"/>
  <c r="O497" i="9" s="1"/>
  <c r="G496" i="9"/>
  <c r="N496" i="9" s="1"/>
  <c r="E497" i="9"/>
  <c r="D497" i="9"/>
  <c r="F498" i="9" s="1"/>
  <c r="M497" i="9"/>
  <c r="Q497" i="9" s="1"/>
  <c r="K497" i="9"/>
  <c r="P497" i="9" s="1"/>
  <c r="E497" i="8"/>
  <c r="D497" i="8"/>
  <c r="P497" i="8"/>
  <c r="O497" i="8"/>
  <c r="G496" i="8"/>
  <c r="N496" i="8" s="1"/>
  <c r="G498" i="6"/>
  <c r="J498" i="6" s="1"/>
  <c r="I499" i="6"/>
  <c r="L499" i="6" s="1"/>
  <c r="H499" i="6"/>
  <c r="K499" i="6" s="1"/>
  <c r="F499" i="6"/>
  <c r="E499" i="6"/>
  <c r="D499" i="6"/>
  <c r="D500" i="7"/>
  <c r="F501" i="7" s="1"/>
  <c r="E500" i="7"/>
  <c r="G499" i="7"/>
  <c r="J499" i="7" s="1"/>
  <c r="F498" i="8" l="1"/>
  <c r="M498" i="8"/>
  <c r="K498" i="8"/>
  <c r="I498" i="8"/>
  <c r="Q498" i="8"/>
  <c r="K498" i="9"/>
  <c r="P498" i="9" s="1"/>
  <c r="I498" i="9"/>
  <c r="O498" i="9" s="1"/>
  <c r="G497" i="9"/>
  <c r="N497" i="9" s="1"/>
  <c r="E498" i="9"/>
  <c r="D498" i="9"/>
  <c r="F499" i="9" s="1"/>
  <c r="M498" i="9"/>
  <c r="Q498" i="9" s="1"/>
  <c r="G497" i="8"/>
  <c r="N497" i="8" s="1"/>
  <c r="P498" i="8"/>
  <c r="O498" i="8"/>
  <c r="E498" i="8"/>
  <c r="D498" i="8"/>
  <c r="E500" i="6"/>
  <c r="D500" i="6"/>
  <c r="G499" i="6"/>
  <c r="J499" i="6" s="1"/>
  <c r="I500" i="6"/>
  <c r="L500" i="6" s="1"/>
  <c r="B20" i="6" s="1"/>
  <c r="B22" i="6" s="1"/>
  <c r="H500" i="6"/>
  <c r="F500" i="6"/>
  <c r="D501" i="7"/>
  <c r="E501" i="7"/>
  <c r="I500" i="7"/>
  <c r="L500" i="7" s="1"/>
  <c r="B20" i="7" s="1"/>
  <c r="B22" i="7" s="1"/>
  <c r="H500" i="7"/>
  <c r="G501" i="7"/>
  <c r="J501" i="7" s="1"/>
  <c r="H501" i="7"/>
  <c r="K501" i="7" s="1"/>
  <c r="I501" i="7"/>
  <c r="L501" i="7" s="1"/>
  <c r="G500" i="7"/>
  <c r="F499" i="8" l="1"/>
  <c r="M499" i="8"/>
  <c r="Q499" i="8" s="1"/>
  <c r="K499" i="8"/>
  <c r="I499" i="8"/>
  <c r="M499" i="9"/>
  <c r="Q499" i="9" s="1"/>
  <c r="K499" i="9"/>
  <c r="P499" i="9" s="1"/>
  <c r="I499" i="9"/>
  <c r="O499" i="9" s="1"/>
  <c r="G498" i="9"/>
  <c r="N498" i="9" s="1"/>
  <c r="E499" i="9"/>
  <c r="D499" i="9"/>
  <c r="F500" i="9" s="1"/>
  <c r="P499" i="8"/>
  <c r="O499" i="8"/>
  <c r="E499" i="8"/>
  <c r="D499" i="8"/>
  <c r="G498" i="8"/>
  <c r="N498" i="8" s="1"/>
  <c r="K500" i="6"/>
  <c r="B10" i="6"/>
  <c r="I501" i="6"/>
  <c r="L501" i="6" s="1"/>
  <c r="H501" i="6"/>
  <c r="K501" i="6" s="1"/>
  <c r="F501" i="6"/>
  <c r="E501" i="6"/>
  <c r="D501" i="6"/>
  <c r="G501" i="6" s="1"/>
  <c r="J501" i="6" s="1"/>
  <c r="G500" i="6"/>
  <c r="J500" i="7"/>
  <c r="B8" i="7"/>
  <c r="K500" i="7"/>
  <c r="B10" i="7"/>
  <c r="F500" i="8" l="1"/>
  <c r="M500" i="8"/>
  <c r="K500" i="8"/>
  <c r="I500" i="8"/>
  <c r="B10" i="8" s="1"/>
  <c r="Q500" i="8"/>
  <c r="M500" i="9"/>
  <c r="Q500" i="9" s="1"/>
  <c r="K500" i="9"/>
  <c r="P500" i="9" s="1"/>
  <c r="I500" i="9"/>
  <c r="G499" i="9"/>
  <c r="N499" i="9" s="1"/>
  <c r="E500" i="9"/>
  <c r="D500" i="9"/>
  <c r="F501" i="9" s="1"/>
  <c r="P500" i="8"/>
  <c r="E500" i="8"/>
  <c r="D500" i="8"/>
  <c r="G499" i="8"/>
  <c r="N499" i="8" s="1"/>
  <c r="B14" i="7"/>
  <c r="J500" i="6"/>
  <c r="B8" i="6"/>
  <c r="B14" i="6" s="1"/>
  <c r="F501" i="8" l="1"/>
  <c r="M501" i="8"/>
  <c r="K501" i="8"/>
  <c r="I501" i="8"/>
  <c r="Q501" i="8"/>
  <c r="O500" i="9"/>
  <c r="B20" i="9" s="1"/>
  <c r="B10" i="9"/>
  <c r="M501" i="9"/>
  <c r="Q501" i="9" s="1"/>
  <c r="K501" i="9"/>
  <c r="P501" i="9" s="1"/>
  <c r="I501" i="9"/>
  <c r="O501" i="9" s="1"/>
  <c r="G500" i="9"/>
  <c r="E501" i="9"/>
  <c r="D501" i="9"/>
  <c r="G501" i="9" s="1"/>
  <c r="N501" i="9" s="1"/>
  <c r="O501" i="8"/>
  <c r="P501" i="8"/>
  <c r="E501" i="8"/>
  <c r="D501" i="8"/>
  <c r="G501" i="8" s="1"/>
  <c r="N501" i="8" s="1"/>
  <c r="G500" i="8"/>
  <c r="B8" i="8" s="1"/>
  <c r="O500" i="8"/>
  <c r="B20" i="8" s="1"/>
  <c r="N500" i="9" l="1"/>
  <c r="B18" i="9" s="1"/>
  <c r="B26" i="9" s="1"/>
  <c r="B8" i="9"/>
  <c r="B16" i="9" s="1"/>
  <c r="N500" i="8"/>
  <c r="B18" i="8" s="1"/>
  <c r="B26" i="8" s="1"/>
  <c r="B16" i="8"/>
  <c r="Y9" i="4" l="1"/>
  <c r="R9" i="4"/>
  <c r="I9" i="4"/>
  <c r="A9" i="4"/>
  <c r="AB3" i="4"/>
  <c r="AB88" i="4"/>
  <c r="AC88" i="4" s="1"/>
  <c r="AB87" i="4"/>
  <c r="AC87" i="4" s="1"/>
  <c r="AB86" i="4"/>
  <c r="AC86" i="4" s="1"/>
  <c r="AB85" i="4"/>
  <c r="AC85" i="4" s="1"/>
  <c r="AB84" i="4"/>
  <c r="AC84" i="4" s="1"/>
  <c r="AB83" i="4"/>
  <c r="AC83" i="4" s="1"/>
  <c r="AB82" i="4"/>
  <c r="AC82" i="4" s="1"/>
  <c r="AB81" i="4"/>
  <c r="AC81" i="4" s="1"/>
  <c r="AB80" i="4"/>
  <c r="AC80" i="4" s="1"/>
  <c r="AB79" i="4"/>
  <c r="AC79" i="4" s="1"/>
  <c r="AB78" i="4"/>
  <c r="AC78" i="4" s="1"/>
  <c r="AB77" i="4"/>
  <c r="AC77" i="4" s="1"/>
  <c r="AB76" i="4"/>
  <c r="AC76" i="4" s="1"/>
  <c r="AB75" i="4"/>
  <c r="AC75" i="4" s="1"/>
  <c r="AB74" i="4"/>
  <c r="AC74" i="4" s="1"/>
  <c r="AB73" i="4"/>
  <c r="AC73" i="4" s="1"/>
  <c r="AB72" i="4"/>
  <c r="AC72" i="4" s="1"/>
  <c r="AB71" i="4"/>
  <c r="AC71" i="4" s="1"/>
  <c r="AB70" i="4"/>
  <c r="AC70" i="4" s="1"/>
  <c r="AB69" i="4"/>
  <c r="AC69" i="4" s="1"/>
  <c r="AB68" i="4"/>
  <c r="AC68" i="4" s="1"/>
  <c r="AB67" i="4"/>
  <c r="AC67" i="4" s="1"/>
  <c r="AB66" i="4"/>
  <c r="AC66" i="4" s="1"/>
  <c r="AB65" i="4"/>
  <c r="AC65" i="4" s="1"/>
  <c r="AB64" i="4"/>
  <c r="AC64" i="4" s="1"/>
  <c r="AB63" i="4"/>
  <c r="AC63" i="4" s="1"/>
  <c r="AB62" i="4"/>
  <c r="AC62" i="4" s="1"/>
  <c r="AB61" i="4"/>
  <c r="AC61" i="4" s="1"/>
  <c r="AB60" i="4"/>
  <c r="AC60" i="4" s="1"/>
  <c r="AB59" i="4"/>
  <c r="AC59" i="4" s="1"/>
  <c r="AB58" i="4"/>
  <c r="AC58" i="4" s="1"/>
  <c r="AB57" i="4"/>
  <c r="AC57" i="4" s="1"/>
  <c r="AB56" i="4"/>
  <c r="AC56" i="4" s="1"/>
  <c r="AB55" i="4"/>
  <c r="AC55" i="4" s="1"/>
  <c r="AB54" i="4"/>
  <c r="AC54" i="4" s="1"/>
  <c r="AB53" i="4"/>
  <c r="AC53" i="4" s="1"/>
  <c r="AB52" i="4"/>
  <c r="AC52" i="4" s="1"/>
  <c r="AB51" i="4"/>
  <c r="AC51" i="4" s="1"/>
  <c r="AB50" i="4"/>
  <c r="AC50" i="4" s="1"/>
  <c r="AB49" i="4"/>
  <c r="AC49" i="4" s="1"/>
  <c r="AB48" i="4"/>
  <c r="AC48" i="4" s="1"/>
  <c r="AB47" i="4"/>
  <c r="AC47" i="4" s="1"/>
  <c r="AB46" i="4"/>
  <c r="AC46" i="4" s="1"/>
  <c r="AB45" i="4"/>
  <c r="AC45" i="4" s="1"/>
  <c r="AB44" i="4"/>
  <c r="AC44" i="4" s="1"/>
  <c r="AB43" i="4"/>
  <c r="AC43" i="4" s="1"/>
  <c r="AB42" i="4"/>
  <c r="AC42" i="4" s="1"/>
  <c r="AB41" i="4"/>
  <c r="AC41" i="4" s="1"/>
  <c r="AB40" i="4"/>
  <c r="AC40" i="4" s="1"/>
  <c r="AB39" i="4"/>
  <c r="AC39" i="4" s="1"/>
  <c r="AB38" i="4"/>
  <c r="AC38" i="4" s="1"/>
  <c r="AB37" i="4"/>
  <c r="AC37" i="4" s="1"/>
  <c r="AB36" i="4"/>
  <c r="AC36" i="4" s="1"/>
  <c r="AB35" i="4"/>
  <c r="AC35" i="4" s="1"/>
  <c r="AB34" i="4"/>
  <c r="AC34" i="4" s="1"/>
  <c r="AB33" i="4"/>
  <c r="AC33" i="4" s="1"/>
  <c r="AB32" i="4"/>
  <c r="AC32" i="4" s="1"/>
  <c r="AB31" i="4"/>
  <c r="AC31" i="4" s="1"/>
  <c r="AB30" i="4"/>
  <c r="AC30" i="4" s="1"/>
  <c r="AB29" i="4"/>
  <c r="AC29" i="4" s="1"/>
  <c r="AB28" i="4"/>
  <c r="AC28" i="4" s="1"/>
  <c r="AB27" i="4"/>
  <c r="AC27" i="4" s="1"/>
  <c r="AB26" i="4"/>
  <c r="AC26" i="4" s="1"/>
  <c r="AB25" i="4"/>
  <c r="AC25" i="4" s="1"/>
  <c r="AB24" i="4"/>
  <c r="AC24" i="4" s="1"/>
  <c r="AB23" i="4"/>
  <c r="AC23" i="4" s="1"/>
  <c r="AB22" i="4"/>
  <c r="AC22" i="4" s="1"/>
  <c r="AB21" i="4"/>
  <c r="AC21" i="4" s="1"/>
  <c r="AB20" i="4"/>
  <c r="AC20" i="4" s="1"/>
  <c r="AB19" i="4"/>
  <c r="AC19" i="4" s="1"/>
  <c r="AB18" i="4"/>
  <c r="AC18" i="4" s="1"/>
  <c r="AB17" i="4"/>
  <c r="AC17" i="4" s="1"/>
  <c r="AB16" i="4"/>
  <c r="AC16" i="4" s="1"/>
  <c r="AB15" i="4"/>
  <c r="AC15" i="4" s="1"/>
  <c r="AB14" i="4"/>
  <c r="AC14" i="4" s="1"/>
  <c r="AC13" i="4"/>
  <c r="AB13" i="4"/>
  <c r="AB12" i="4"/>
  <c r="AC12" i="4" s="1"/>
  <c r="AB11" i="4"/>
  <c r="AC11" i="4" s="1"/>
  <c r="AB10" i="4"/>
  <c r="AC10" i="4" s="1"/>
  <c r="AB9" i="4"/>
  <c r="AC9" i="4" s="1"/>
  <c r="AB8" i="4"/>
  <c r="AC8" i="4" s="1"/>
  <c r="AB7" i="4"/>
  <c r="AC7" i="4" s="1"/>
  <c r="AC6" i="4"/>
  <c r="AB6" i="4"/>
  <c r="AB5" i="4"/>
  <c r="AC5" i="4" s="1"/>
  <c r="Y5" i="4"/>
  <c r="AB4" i="4"/>
  <c r="AC4" i="4" s="1"/>
  <c r="AC3" i="4"/>
  <c r="Y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R5" i="4"/>
  <c r="R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3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I5" i="4"/>
  <c r="J4" i="4"/>
  <c r="J3" i="4"/>
  <c r="I3" i="4"/>
  <c r="A5" i="4"/>
  <c r="A3" i="4"/>
  <c r="B87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3" i="4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G2" i="3"/>
  <c r="L4" i="3"/>
  <c r="L5" i="3" s="1"/>
  <c r="L3" i="3"/>
  <c r="N4" i="3"/>
  <c r="N2" i="3"/>
  <c r="B9" i="3"/>
  <c r="G3" i="3"/>
  <c r="G4" i="3"/>
  <c r="G5" i="3"/>
  <c r="G6" i="3"/>
  <c r="G7" i="3"/>
  <c r="G8" i="3"/>
  <c r="G9" i="3"/>
  <c r="G10" i="3"/>
  <c r="H10" i="3" s="1"/>
  <c r="I9" i="3" s="1"/>
  <c r="G11" i="3"/>
  <c r="G12" i="3"/>
  <c r="H11" i="3" s="1"/>
  <c r="G13" i="3"/>
  <c r="H12" i="3" s="1"/>
  <c r="I11" i="3" s="1"/>
  <c r="G14" i="3"/>
  <c r="H13" i="3" s="1"/>
  <c r="G15" i="3"/>
  <c r="H14" i="3" s="1"/>
  <c r="I13" i="3" s="1"/>
  <c r="G16" i="3"/>
  <c r="G17" i="3"/>
  <c r="H16" i="3" s="1"/>
  <c r="I15" i="3" s="1"/>
  <c r="G18" i="3"/>
  <c r="H17" i="3" s="1"/>
  <c r="I16" i="3" s="1"/>
  <c r="G19" i="3"/>
  <c r="G20" i="3"/>
  <c r="G21" i="3"/>
  <c r="G22" i="3"/>
  <c r="G23" i="3"/>
  <c r="G24" i="3"/>
  <c r="G25" i="3"/>
  <c r="H3" i="3"/>
  <c r="H4" i="3"/>
  <c r="H5" i="3"/>
  <c r="I4" i="3" s="1"/>
  <c r="H6" i="3"/>
  <c r="H7" i="3"/>
  <c r="H8" i="3"/>
  <c r="I7" i="3" s="1"/>
  <c r="H9" i="3"/>
  <c r="I8" i="3" s="1"/>
  <c r="H15" i="3"/>
  <c r="H19" i="3"/>
  <c r="H20" i="3"/>
  <c r="I19" i="3" s="1"/>
  <c r="H21" i="3"/>
  <c r="I20" i="3" s="1"/>
  <c r="H22" i="3"/>
  <c r="H23" i="3"/>
  <c r="I22" i="3" s="1"/>
  <c r="H24" i="3"/>
  <c r="I23" i="3" s="1"/>
  <c r="H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" i="3"/>
  <c r="C5" i="2"/>
  <c r="D5" i="2"/>
  <c r="E5" i="2"/>
  <c r="C6" i="2"/>
  <c r="D6" i="2"/>
  <c r="E6" i="2" s="1"/>
  <c r="F5" i="2" s="1"/>
  <c r="G4" i="2" s="1"/>
  <c r="C7" i="2"/>
  <c r="C8" i="2" s="1"/>
  <c r="D7" i="2"/>
  <c r="E7" i="2"/>
  <c r="F6" i="2" s="1"/>
  <c r="G5" i="2" s="1"/>
  <c r="H4" i="2" s="1"/>
  <c r="F4" i="2"/>
  <c r="E4" i="2"/>
  <c r="D4" i="2"/>
  <c r="E3" i="2"/>
  <c r="C4" i="2"/>
  <c r="B9" i="2"/>
  <c r="N7" i="1"/>
  <c r="O7" i="1"/>
  <c r="N8" i="1"/>
  <c r="O8" i="1"/>
  <c r="P7" i="1" s="1"/>
  <c r="N9" i="1"/>
  <c r="N10" i="1"/>
  <c r="O9" i="1" s="1"/>
  <c r="P8" i="1" s="1"/>
  <c r="N11" i="1"/>
  <c r="O10" i="1" s="1"/>
  <c r="P9" i="1" s="1"/>
  <c r="N12" i="1"/>
  <c r="O11" i="1" s="1"/>
  <c r="P10" i="1" s="1"/>
  <c r="N13" i="1"/>
  <c r="O12" i="1" s="1"/>
  <c r="P11" i="1" s="1"/>
  <c r="N14" i="1"/>
  <c r="O13" i="1" s="1"/>
  <c r="P12" i="1" s="1"/>
  <c r="N15" i="1"/>
  <c r="O14" i="1" s="1"/>
  <c r="N16" i="1"/>
  <c r="O15" i="1" s="1"/>
  <c r="P14" i="1" s="1"/>
  <c r="N17" i="1"/>
  <c r="O16" i="1" s="1"/>
  <c r="P15" i="1" s="1"/>
  <c r="O17" i="1"/>
  <c r="P16" i="1" s="1"/>
  <c r="N18" i="1"/>
  <c r="O18" i="1"/>
  <c r="P17" i="1" s="1"/>
  <c r="N19" i="1"/>
  <c r="O19" i="1"/>
  <c r="P18" i="1" s="1"/>
  <c r="N20" i="1"/>
  <c r="N21" i="1"/>
  <c r="O20" i="1" s="1"/>
  <c r="P19" i="1" s="1"/>
  <c r="O21" i="1"/>
  <c r="N22" i="1"/>
  <c r="O22" i="1"/>
  <c r="P21" i="1" s="1"/>
  <c r="P22" i="1"/>
  <c r="N23" i="1"/>
  <c r="O23" i="1"/>
  <c r="N24" i="1"/>
  <c r="N25" i="1"/>
  <c r="O24" i="1" s="1"/>
  <c r="P23" i="1" s="1"/>
  <c r="N26" i="1"/>
  <c r="O25" i="1" s="1"/>
  <c r="P24" i="1" s="1"/>
  <c r="O26" i="1"/>
  <c r="P25" i="1" s="1"/>
  <c r="N27" i="1"/>
  <c r="N28" i="1"/>
  <c r="O27" i="1" s="1"/>
  <c r="P26" i="1" s="1"/>
  <c r="N29" i="1"/>
  <c r="O28" i="1" s="1"/>
  <c r="P27" i="1" s="1"/>
  <c r="N30" i="1"/>
  <c r="O29" i="1" s="1"/>
  <c r="O30" i="1"/>
  <c r="N31" i="1"/>
  <c r="N32" i="1"/>
  <c r="O31" i="1" s="1"/>
  <c r="P30" i="1" s="1"/>
  <c r="N33" i="1"/>
  <c r="O32" i="1" s="1"/>
  <c r="P31" i="1" s="1"/>
  <c r="O33" i="1"/>
  <c r="P32" i="1" s="1"/>
  <c r="N34" i="1"/>
  <c r="O34" i="1"/>
  <c r="P33" i="1" s="1"/>
  <c r="N35" i="1"/>
  <c r="O35" i="1"/>
  <c r="P34" i="1" s="1"/>
  <c r="N36" i="1"/>
  <c r="N37" i="1"/>
  <c r="O36" i="1" s="1"/>
  <c r="P35" i="1" s="1"/>
  <c r="O37" i="1"/>
  <c r="P36" i="1" s="1"/>
  <c r="N38" i="1"/>
  <c r="O38" i="1"/>
  <c r="P37" i="1" s="1"/>
  <c r="P38" i="1"/>
  <c r="N39" i="1"/>
  <c r="O39" i="1"/>
  <c r="N40" i="1"/>
  <c r="N41" i="1"/>
  <c r="O40" i="1" s="1"/>
  <c r="P39" i="1" s="1"/>
  <c r="N42" i="1"/>
  <c r="O41" i="1" s="1"/>
  <c r="O42" i="1"/>
  <c r="P41" i="1" s="1"/>
  <c r="N43" i="1"/>
  <c r="N44" i="1"/>
  <c r="O43" i="1" s="1"/>
  <c r="P42" i="1" s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K4" i="1"/>
  <c r="K5" i="1"/>
  <c r="K6" i="1"/>
  <c r="L6" i="1" s="1"/>
  <c r="M6" i="1" s="1"/>
  <c r="N6" i="1" s="1"/>
  <c r="O6" i="1" s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3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J3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E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" i="1"/>
  <c r="E5" i="1"/>
  <c r="E6" i="1"/>
  <c r="E7" i="1"/>
  <c r="E8" i="1"/>
  <c r="E9" i="1"/>
  <c r="E10" i="1"/>
  <c r="E11" i="1"/>
  <c r="E12" i="1"/>
  <c r="E13" i="1"/>
  <c r="C49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3" i="1"/>
  <c r="L3" i="1" l="1"/>
  <c r="L5" i="1"/>
  <c r="P6" i="1"/>
  <c r="L4" i="1"/>
  <c r="M3" i="1" s="1"/>
  <c r="M5" i="1"/>
  <c r="D49" i="1"/>
  <c r="L6" i="3"/>
  <c r="N5" i="3"/>
  <c r="P2" i="3"/>
  <c r="N3" i="3"/>
  <c r="P3" i="3"/>
  <c r="I10" i="3"/>
  <c r="I21" i="3"/>
  <c r="I5" i="3"/>
  <c r="I3" i="3"/>
  <c r="H18" i="3"/>
  <c r="I17" i="3" s="1"/>
  <c r="I14" i="3"/>
  <c r="I2" i="3"/>
  <c r="I12" i="3"/>
  <c r="I6" i="3"/>
  <c r="C9" i="2"/>
  <c r="D8" i="2"/>
  <c r="E8" i="2" s="1"/>
  <c r="F7" i="2" s="1"/>
  <c r="G6" i="2" s="1"/>
  <c r="H5" i="2" s="1"/>
  <c r="F3" i="2"/>
  <c r="G3" i="2" s="1"/>
  <c r="P40" i="1"/>
  <c r="P20" i="1"/>
  <c r="P29" i="1"/>
  <c r="P28" i="1"/>
  <c r="P13" i="1"/>
  <c r="P86" i="4" l="1"/>
  <c r="W80" i="4"/>
  <c r="W72" i="4"/>
  <c r="W64" i="4"/>
  <c r="W56" i="4"/>
  <c r="W48" i="4"/>
  <c r="W40" i="4"/>
  <c r="W32" i="4"/>
  <c r="W24" i="4"/>
  <c r="W16" i="4"/>
  <c r="W8" i="4"/>
  <c r="W88" i="4"/>
  <c r="V80" i="4"/>
  <c r="V72" i="4"/>
  <c r="V64" i="4"/>
  <c r="V56" i="4"/>
  <c r="V48" i="4"/>
  <c r="V40" i="4"/>
  <c r="V32" i="4"/>
  <c r="V24" i="4"/>
  <c r="V16" i="4"/>
  <c r="V8" i="4"/>
  <c r="V66" i="4"/>
  <c r="W81" i="4"/>
  <c r="W87" i="4"/>
  <c r="W79" i="4"/>
  <c r="W71" i="4"/>
  <c r="W63" i="4"/>
  <c r="W55" i="4"/>
  <c r="W47" i="4"/>
  <c r="W39" i="4"/>
  <c r="W31" i="4"/>
  <c r="W23" i="4"/>
  <c r="W15" i="4"/>
  <c r="W7" i="4"/>
  <c r="V58" i="4"/>
  <c r="W73" i="4"/>
  <c r="V49" i="4"/>
  <c r="V87" i="4"/>
  <c r="V79" i="4"/>
  <c r="V71" i="4"/>
  <c r="V63" i="4"/>
  <c r="V55" i="4"/>
  <c r="V47" i="4"/>
  <c r="V39" i="4"/>
  <c r="V31" i="4"/>
  <c r="V23" i="4"/>
  <c r="V15" i="4"/>
  <c r="V7" i="4"/>
  <c r="V26" i="4"/>
  <c r="W49" i="4"/>
  <c r="V57" i="4"/>
  <c r="W86" i="4"/>
  <c r="W78" i="4"/>
  <c r="W70" i="4"/>
  <c r="W62" i="4"/>
  <c r="W54" i="4"/>
  <c r="W46" i="4"/>
  <c r="W38" i="4"/>
  <c r="W30" i="4"/>
  <c r="W22" i="4"/>
  <c r="W14" i="4"/>
  <c r="W6" i="4"/>
  <c r="V74" i="4"/>
  <c r="W25" i="4"/>
  <c r="V25" i="4"/>
  <c r="V86" i="4"/>
  <c r="V78" i="4"/>
  <c r="V70" i="4"/>
  <c r="V62" i="4"/>
  <c r="V54" i="4"/>
  <c r="V46" i="4"/>
  <c r="V38" i="4"/>
  <c r="V30" i="4"/>
  <c r="V22" i="4"/>
  <c r="V14" i="4"/>
  <c r="V6" i="4"/>
  <c r="V50" i="4"/>
  <c r="W33" i="4"/>
  <c r="V65" i="4"/>
  <c r="W85" i="4"/>
  <c r="W77" i="4"/>
  <c r="W69" i="4"/>
  <c r="W61" i="4"/>
  <c r="W53" i="4"/>
  <c r="W45" i="4"/>
  <c r="W37" i="4"/>
  <c r="W29" i="4"/>
  <c r="W21" i="4"/>
  <c r="W13" i="4"/>
  <c r="W5" i="4"/>
  <c r="V34" i="4"/>
  <c r="W65" i="4"/>
  <c r="V41" i="4"/>
  <c r="V85" i="4"/>
  <c r="V77" i="4"/>
  <c r="V69" i="4"/>
  <c r="V61" i="4"/>
  <c r="V53" i="4"/>
  <c r="V45" i="4"/>
  <c r="V37" i="4"/>
  <c r="V29" i="4"/>
  <c r="V21" i="4"/>
  <c r="V13" i="4"/>
  <c r="V5" i="4"/>
  <c r="V18" i="4"/>
  <c r="W57" i="4"/>
  <c r="V81" i="4"/>
  <c r="W84" i="4"/>
  <c r="W76" i="4"/>
  <c r="W68" i="4"/>
  <c r="W60" i="4"/>
  <c r="W52" i="4"/>
  <c r="W44" i="4"/>
  <c r="W36" i="4"/>
  <c r="W28" i="4"/>
  <c r="W20" i="4"/>
  <c r="W12" i="4"/>
  <c r="W4" i="4"/>
  <c r="V42" i="4"/>
  <c r="W17" i="4"/>
  <c r="V9" i="4"/>
  <c r="V84" i="4"/>
  <c r="V76" i="4"/>
  <c r="V68" i="4"/>
  <c r="V60" i="4"/>
  <c r="V52" i="4"/>
  <c r="V44" i="4"/>
  <c r="V36" i="4"/>
  <c r="V28" i="4"/>
  <c r="V20" i="4"/>
  <c r="V12" i="4"/>
  <c r="V4" i="4"/>
  <c r="W9" i="4"/>
  <c r="V17" i="4"/>
  <c r="W83" i="4"/>
  <c r="W75" i="4"/>
  <c r="W67" i="4"/>
  <c r="W59" i="4"/>
  <c r="W51" i="4"/>
  <c r="W43" i="4"/>
  <c r="W35" i="4"/>
  <c r="W27" i="4"/>
  <c r="W19" i="4"/>
  <c r="W11" i="4"/>
  <c r="V10" i="4"/>
  <c r="V83" i="4"/>
  <c r="V75" i="4"/>
  <c r="V67" i="4"/>
  <c r="V59" i="4"/>
  <c r="V51" i="4"/>
  <c r="V43" i="4"/>
  <c r="V35" i="4"/>
  <c r="V27" i="4"/>
  <c r="V19" i="4"/>
  <c r="V11" i="4"/>
  <c r="V33" i="4"/>
  <c r="W82" i="4"/>
  <c r="W74" i="4"/>
  <c r="W66" i="4"/>
  <c r="W58" i="4"/>
  <c r="W50" i="4"/>
  <c r="W42" i="4"/>
  <c r="W34" i="4"/>
  <c r="W26" i="4"/>
  <c r="W18" i="4"/>
  <c r="W10" i="4"/>
  <c r="V82" i="4"/>
  <c r="W41" i="4"/>
  <c r="V73" i="4"/>
  <c r="AD87" i="4"/>
  <c r="AD70" i="4"/>
  <c r="AD37" i="4"/>
  <c r="AD9" i="4"/>
  <c r="AD66" i="4"/>
  <c r="AD33" i="4"/>
  <c r="AD79" i="4"/>
  <c r="AD30" i="4"/>
  <c r="AE44" i="4"/>
  <c r="AD42" i="4"/>
  <c r="AE87" i="4"/>
  <c r="AE70" i="4"/>
  <c r="AE37" i="4"/>
  <c r="AE9" i="4"/>
  <c r="AE66" i="4"/>
  <c r="AE33" i="4"/>
  <c r="AE79" i="4"/>
  <c r="AE30" i="4"/>
  <c r="AD44" i="4"/>
  <c r="AE42" i="4"/>
  <c r="AD71" i="4"/>
  <c r="AD54" i="4"/>
  <c r="AD21" i="4"/>
  <c r="AD83" i="4"/>
  <c r="AD50" i="4"/>
  <c r="AD17" i="4"/>
  <c r="AD63" i="4"/>
  <c r="AD41" i="4"/>
  <c r="AE28" i="4"/>
  <c r="AD26" i="4"/>
  <c r="AE71" i="4"/>
  <c r="AE54" i="4"/>
  <c r="AE21" i="4"/>
  <c r="AE83" i="4"/>
  <c r="AE50" i="4"/>
  <c r="AE17" i="4"/>
  <c r="AE63" i="4"/>
  <c r="AE41" i="4"/>
  <c r="AD28" i="4"/>
  <c r="AE26" i="4"/>
  <c r="AD5" i="4"/>
  <c r="AD55" i="4"/>
  <c r="AD38" i="4"/>
  <c r="AD10" i="4"/>
  <c r="AD67" i="4"/>
  <c r="AD34" i="4"/>
  <c r="AE80" i="4"/>
  <c r="AD47" i="4"/>
  <c r="AD77" i="4"/>
  <c r="AD75" i="4"/>
  <c r="AE88" i="4"/>
  <c r="AD15" i="4"/>
  <c r="AE55" i="4"/>
  <c r="AE38" i="4"/>
  <c r="AE10" i="4"/>
  <c r="AE67" i="4"/>
  <c r="AE34" i="4"/>
  <c r="AD80" i="4"/>
  <c r="AE47" i="4"/>
  <c r="AE77" i="4"/>
  <c r="AE75" i="4"/>
  <c r="AD14" i="4"/>
  <c r="AD39" i="4"/>
  <c r="AD22" i="4"/>
  <c r="AE84" i="4"/>
  <c r="AD51" i="4"/>
  <c r="AD18" i="4"/>
  <c r="AE64" i="4"/>
  <c r="AD31" i="4"/>
  <c r="AD61" i="4"/>
  <c r="AD59" i="4"/>
  <c r="AD6" i="4"/>
  <c r="AE6" i="4"/>
  <c r="AE39" i="4"/>
  <c r="AE22" i="4"/>
  <c r="AD84" i="4"/>
  <c r="AE51" i="4"/>
  <c r="AE18" i="4"/>
  <c r="AD64" i="4"/>
  <c r="AE31" i="4"/>
  <c r="AE61" i="4"/>
  <c r="AE59" i="4"/>
  <c r="AE72" i="4"/>
  <c r="AD23" i="4"/>
  <c r="AD11" i="4"/>
  <c r="AE68" i="4"/>
  <c r="AD35" i="4"/>
  <c r="AD7" i="4"/>
  <c r="AE48" i="4"/>
  <c r="AD25" i="4"/>
  <c r="AD45" i="4"/>
  <c r="AD43" i="4"/>
  <c r="AD13" i="4"/>
  <c r="AD72" i="4"/>
  <c r="AE23" i="4"/>
  <c r="AE11" i="4"/>
  <c r="AD68" i="4"/>
  <c r="AE35" i="4"/>
  <c r="AE7" i="4"/>
  <c r="AD48" i="4"/>
  <c r="AE25" i="4"/>
  <c r="AE45" i="4"/>
  <c r="AE43" i="4"/>
  <c r="AE5" i="4"/>
  <c r="AE56" i="4"/>
  <c r="AD12" i="4"/>
  <c r="AD85" i="4"/>
  <c r="AE52" i="4"/>
  <c r="AD19" i="4"/>
  <c r="AD81" i="4"/>
  <c r="AE32" i="4"/>
  <c r="AD78" i="4"/>
  <c r="AD29" i="4"/>
  <c r="AD27" i="4"/>
  <c r="AD4" i="4"/>
  <c r="AD56" i="4"/>
  <c r="AE12" i="4"/>
  <c r="AE85" i="4"/>
  <c r="AD52" i="4"/>
  <c r="AE19" i="4"/>
  <c r="AE81" i="4"/>
  <c r="AD32" i="4"/>
  <c r="AE78" i="4"/>
  <c r="AE29" i="4"/>
  <c r="AE27" i="4"/>
  <c r="AE4" i="4"/>
  <c r="AE40" i="4"/>
  <c r="AD57" i="4"/>
  <c r="AD69" i="4"/>
  <c r="AE36" i="4"/>
  <c r="AD8" i="4"/>
  <c r="AD65" i="4"/>
  <c r="AE16" i="4"/>
  <c r="AD62" i="4"/>
  <c r="AE76" i="4"/>
  <c r="AD74" i="4"/>
  <c r="AE15" i="4"/>
  <c r="AD40" i="4"/>
  <c r="AE57" i="4"/>
  <c r="AE69" i="4"/>
  <c r="AD36" i="4"/>
  <c r="AE8" i="4"/>
  <c r="AE65" i="4"/>
  <c r="AD16" i="4"/>
  <c r="AE62" i="4"/>
  <c r="AD76" i="4"/>
  <c r="AE74" i="4"/>
  <c r="AD3" i="4"/>
  <c r="AE24" i="4"/>
  <c r="AD86" i="4"/>
  <c r="AD53" i="4"/>
  <c r="AE20" i="4"/>
  <c r="AD82" i="4"/>
  <c r="AD49" i="4"/>
  <c r="AD73" i="4"/>
  <c r="AD46" i="4"/>
  <c r="AE60" i="4"/>
  <c r="AD58" i="4"/>
  <c r="AE14" i="4"/>
  <c r="G82" i="4"/>
  <c r="AD24" i="4"/>
  <c r="AE86" i="4"/>
  <c r="AE53" i="4"/>
  <c r="AD20" i="4"/>
  <c r="AE82" i="4"/>
  <c r="AE49" i="4"/>
  <c r="AE73" i="4"/>
  <c r="AE46" i="4"/>
  <c r="AD60" i="4"/>
  <c r="AE58" i="4"/>
  <c r="AE13" i="4"/>
  <c r="F23" i="4"/>
  <c r="G62" i="4"/>
  <c r="F55" i="4"/>
  <c r="F4" i="4"/>
  <c r="G9" i="4"/>
  <c r="G29" i="4"/>
  <c r="G7" i="4"/>
  <c r="G53" i="4"/>
  <c r="F28" i="4"/>
  <c r="G31" i="4"/>
  <c r="O30" i="4"/>
  <c r="P72" i="4"/>
  <c r="P73" i="4"/>
  <c r="P58" i="4"/>
  <c r="O58" i="4"/>
  <c r="P15" i="4"/>
  <c r="P49" i="4"/>
  <c r="P36" i="4"/>
  <c r="P38" i="4"/>
  <c r="F82" i="4"/>
  <c r="P74" i="4"/>
  <c r="G30" i="4"/>
  <c r="G21" i="4"/>
  <c r="O12" i="4"/>
  <c r="G14" i="4"/>
  <c r="G45" i="4"/>
  <c r="G42" i="4"/>
  <c r="F50" i="4"/>
  <c r="F6" i="4"/>
  <c r="F48" i="4"/>
  <c r="G5" i="4"/>
  <c r="G50" i="4"/>
  <c r="O78" i="4"/>
  <c r="O49" i="4"/>
  <c r="O50" i="4"/>
  <c r="O67" i="4"/>
  <c r="O28" i="4"/>
  <c r="P63" i="4"/>
  <c r="P18" i="4"/>
  <c r="P84" i="4"/>
  <c r="G63" i="4"/>
  <c r="O11" i="4"/>
  <c r="O27" i="4"/>
  <c r="O43" i="4"/>
  <c r="O59" i="4"/>
  <c r="O75" i="4"/>
  <c r="P12" i="4"/>
  <c r="O13" i="4"/>
  <c r="O29" i="4"/>
  <c r="O45" i="4"/>
  <c r="O61" i="4"/>
  <c r="O77" i="4"/>
  <c r="P43" i="4"/>
  <c r="P59" i="4"/>
  <c r="P75" i="4"/>
  <c r="O5" i="4"/>
  <c r="O21" i="4"/>
  <c r="O37" i="4"/>
  <c r="O53" i="4"/>
  <c r="O69" i="4"/>
  <c r="O85" i="4"/>
  <c r="P60" i="4"/>
  <c r="P76" i="4"/>
  <c r="O6" i="4"/>
  <c r="O22" i="4"/>
  <c r="O38" i="4"/>
  <c r="O54" i="4"/>
  <c r="O70" i="4"/>
  <c r="O86" i="4"/>
  <c r="P11" i="4"/>
  <c r="P28" i="4"/>
  <c r="O19" i="4"/>
  <c r="O4" i="4"/>
  <c r="O20" i="4"/>
  <c r="O36" i="4"/>
  <c r="O52" i="4"/>
  <c r="O68" i="4"/>
  <c r="O84" i="4"/>
  <c r="P27" i="4"/>
  <c r="P44" i="4"/>
  <c r="P13" i="4"/>
  <c r="P29" i="4"/>
  <c r="P45" i="4"/>
  <c r="P61" i="4"/>
  <c r="P77" i="4"/>
  <c r="O7" i="4"/>
  <c r="O23" i="4"/>
  <c r="O39" i="4"/>
  <c r="O55" i="4"/>
  <c r="O71" i="4"/>
  <c r="O87" i="4"/>
  <c r="P31" i="4"/>
  <c r="G66" i="4"/>
  <c r="P81" i="4"/>
  <c r="F85" i="4"/>
  <c r="G13" i="4"/>
  <c r="G26" i="4"/>
  <c r="F34" i="4"/>
  <c r="G60" i="4"/>
  <c r="F32" i="4"/>
  <c r="F78" i="4"/>
  <c r="G34" i="4"/>
  <c r="O65" i="4"/>
  <c r="O66" i="4"/>
  <c r="O83" i="4"/>
  <c r="O44" i="4"/>
  <c r="P79" i="4"/>
  <c r="P34" i="4"/>
  <c r="P7" i="4"/>
  <c r="G37" i="4"/>
  <c r="P52" i="4"/>
  <c r="G77" i="4"/>
  <c r="F38" i="4"/>
  <c r="F69" i="4"/>
  <c r="F86" i="4"/>
  <c r="G10" i="4"/>
  <c r="F18" i="4"/>
  <c r="G28" i="4"/>
  <c r="F16" i="4"/>
  <c r="F62" i="4"/>
  <c r="G18" i="4"/>
  <c r="O81" i="4"/>
  <c r="O82" i="4"/>
  <c r="O60" i="4"/>
  <c r="P16" i="4"/>
  <c r="P50" i="4"/>
  <c r="P23" i="4"/>
  <c r="O18" i="4"/>
  <c r="G58" i="4"/>
  <c r="P47" i="4"/>
  <c r="F53" i="4"/>
  <c r="F54" i="4"/>
  <c r="F83" i="4"/>
  <c r="G88" i="4"/>
  <c r="F81" i="4"/>
  <c r="G86" i="4"/>
  <c r="F46" i="4"/>
  <c r="F59" i="4"/>
  <c r="O76" i="4"/>
  <c r="P32" i="4"/>
  <c r="P66" i="4"/>
  <c r="P39" i="4"/>
  <c r="G46" i="4"/>
  <c r="G74" i="4"/>
  <c r="F70" i="4"/>
  <c r="O46" i="4"/>
  <c r="P54" i="4"/>
  <c r="F66" i="4"/>
  <c r="P68" i="4"/>
  <c r="F37" i="4"/>
  <c r="F22" i="4"/>
  <c r="F67" i="4"/>
  <c r="G72" i="4"/>
  <c r="F65" i="4"/>
  <c r="G70" i="4"/>
  <c r="F30" i="4"/>
  <c r="F43" i="4"/>
  <c r="O9" i="4"/>
  <c r="P48" i="4"/>
  <c r="P82" i="4"/>
  <c r="P55" i="4"/>
  <c r="O17" i="4"/>
  <c r="P70" i="4"/>
  <c r="F21" i="4"/>
  <c r="G76" i="4"/>
  <c r="F51" i="4"/>
  <c r="G56" i="4"/>
  <c r="F49" i="4"/>
  <c r="G54" i="4"/>
  <c r="F14" i="4"/>
  <c r="F27" i="4"/>
  <c r="O16" i="4"/>
  <c r="O25" i="4"/>
  <c r="P64" i="4"/>
  <c r="P5" i="4"/>
  <c r="P71" i="4"/>
  <c r="F3" i="4"/>
  <c r="F5" i="4"/>
  <c r="G44" i="4"/>
  <c r="F35" i="4"/>
  <c r="G40" i="4"/>
  <c r="F33" i="4"/>
  <c r="G38" i="4"/>
  <c r="G36" i="4"/>
  <c r="F11" i="4"/>
  <c r="O32" i="4"/>
  <c r="O41" i="4"/>
  <c r="P14" i="4"/>
  <c r="P80" i="4"/>
  <c r="P19" i="4"/>
  <c r="P21" i="4"/>
  <c r="P87" i="4"/>
  <c r="O62" i="4"/>
  <c r="F72" i="4"/>
  <c r="G75" i="4"/>
  <c r="G12" i="4"/>
  <c r="F19" i="4"/>
  <c r="G24" i="4"/>
  <c r="F17" i="4"/>
  <c r="G22" i="4"/>
  <c r="G20" i="4"/>
  <c r="G80" i="4"/>
  <c r="O15" i="4"/>
  <c r="O48" i="4"/>
  <c r="O57" i="4"/>
  <c r="P30" i="4"/>
  <c r="P35" i="4"/>
  <c r="P37" i="4"/>
  <c r="O8" i="4"/>
  <c r="O35" i="4"/>
  <c r="O51" i="4"/>
  <c r="F56" i="4"/>
  <c r="G59" i="4"/>
  <c r="F84" i="4"/>
  <c r="G4" i="4"/>
  <c r="G8" i="4"/>
  <c r="G87" i="4"/>
  <c r="G6" i="4"/>
  <c r="F45" i="4"/>
  <c r="G32" i="4"/>
  <c r="O31" i="4"/>
  <c r="O64" i="4"/>
  <c r="O73" i="4"/>
  <c r="P46" i="4"/>
  <c r="P51" i="4"/>
  <c r="P53" i="4"/>
  <c r="O24" i="4"/>
  <c r="P65" i="4"/>
  <c r="O34" i="4"/>
  <c r="F40" i="4"/>
  <c r="G43" i="4"/>
  <c r="F68" i="4"/>
  <c r="G73" i="4"/>
  <c r="F71" i="4"/>
  <c r="G71" i="4"/>
  <c r="F79" i="4"/>
  <c r="G83" i="4"/>
  <c r="F73" i="4"/>
  <c r="O47" i="4"/>
  <c r="O80" i="4"/>
  <c r="P8" i="4"/>
  <c r="P9" i="4"/>
  <c r="O3" i="4"/>
  <c r="P62" i="4"/>
  <c r="P67" i="4"/>
  <c r="P69" i="4"/>
  <c r="O40" i="4"/>
  <c r="F64" i="4"/>
  <c r="F24" i="4"/>
  <c r="G27" i="4"/>
  <c r="F52" i="4"/>
  <c r="G57" i="4"/>
  <c r="F39" i="4"/>
  <c r="G55" i="4"/>
  <c r="F63" i="4"/>
  <c r="G51" i="4"/>
  <c r="F25" i="4"/>
  <c r="O63" i="4"/>
  <c r="P24" i="4"/>
  <c r="P25" i="4"/>
  <c r="P10" i="4"/>
  <c r="O10" i="4"/>
  <c r="P78" i="4"/>
  <c r="P83" i="4"/>
  <c r="P85" i="4"/>
  <c r="O56" i="4"/>
  <c r="F8" i="4"/>
  <c r="G11" i="4"/>
  <c r="F36" i="4"/>
  <c r="G41" i="4"/>
  <c r="F7" i="4"/>
  <c r="G39" i="4"/>
  <c r="F31" i="4"/>
  <c r="G19" i="4"/>
  <c r="G79" i="4"/>
  <c r="O79" i="4"/>
  <c r="P40" i="4"/>
  <c r="P41" i="4"/>
  <c r="P26" i="4"/>
  <c r="O26" i="4"/>
  <c r="P17" i="4"/>
  <c r="P4" i="4"/>
  <c r="P6" i="4"/>
  <c r="O72" i="4"/>
  <c r="F80" i="4"/>
  <c r="O74" i="4"/>
  <c r="O33" i="4"/>
  <c r="G78" i="4"/>
  <c r="F87" i="4"/>
  <c r="F20" i="4"/>
  <c r="G25" i="4"/>
  <c r="G61" i="4"/>
  <c r="G23" i="4"/>
  <c r="G85" i="4"/>
  <c r="F60" i="4"/>
  <c r="G47" i="4"/>
  <c r="O14" i="4"/>
  <c r="P56" i="4"/>
  <c r="P57" i="4"/>
  <c r="P42" i="4"/>
  <c r="O42" i="4"/>
  <c r="P33" i="4"/>
  <c r="P20" i="4"/>
  <c r="P22" i="4"/>
  <c r="P88" i="4"/>
  <c r="G15" i="4"/>
  <c r="G81" i="4"/>
  <c r="F74" i="4"/>
  <c r="G65" i="4"/>
  <c r="F58" i="4"/>
  <c r="G84" i="4"/>
  <c r="G49" i="4"/>
  <c r="F42" i="4"/>
  <c r="G68" i="4"/>
  <c r="F77" i="4"/>
  <c r="G33" i="4"/>
  <c r="F26" i="4"/>
  <c r="G52" i="4"/>
  <c r="F61" i="4"/>
  <c r="G17" i="4"/>
  <c r="F10" i="4"/>
  <c r="F29" i="4"/>
  <c r="G64" i="4"/>
  <c r="F57" i="4"/>
  <c r="F47" i="4"/>
  <c r="F13" i="4"/>
  <c r="F76" i="4"/>
  <c r="G48" i="4"/>
  <c r="F41" i="4"/>
  <c r="F15" i="4"/>
  <c r="G67" i="4"/>
  <c r="F44" i="4"/>
  <c r="G16" i="4"/>
  <c r="F9" i="4"/>
  <c r="G69" i="4"/>
  <c r="G35" i="4"/>
  <c r="F12" i="4"/>
  <c r="F75" i="4"/>
  <c r="M4" i="1"/>
  <c r="N3" i="1" s="1"/>
  <c r="N5" i="1"/>
  <c r="Q2" i="3"/>
  <c r="L7" i="3"/>
  <c r="N6" i="3"/>
  <c r="P4" i="3"/>
  <c r="Q3" i="3" s="1"/>
  <c r="I18" i="3"/>
  <c r="D9" i="2"/>
  <c r="E9" i="2" s="1"/>
  <c r="F8" i="2" s="1"/>
  <c r="G7" i="2" s="1"/>
  <c r="H6" i="2" s="1"/>
  <c r="C10" i="2"/>
  <c r="D10" i="2"/>
  <c r="E10" i="2" s="1"/>
  <c r="F9" i="2" s="1"/>
  <c r="G8" i="2" s="1"/>
  <c r="H7" i="2" s="1"/>
  <c r="H3" i="2"/>
  <c r="I12" i="4" l="1"/>
  <c r="I16" i="4" s="1"/>
  <c r="Y14" i="4"/>
  <c r="I14" i="4"/>
  <c r="Y12" i="4"/>
  <c r="Y16" i="4" s="1"/>
  <c r="R12" i="4"/>
  <c r="A12" i="4"/>
  <c r="R14" i="4"/>
  <c r="A14" i="4"/>
  <c r="A16" i="4" s="1"/>
  <c r="N4" i="1"/>
  <c r="O3" i="1" s="1"/>
  <c r="O4" i="1"/>
  <c r="P3" i="1" s="1"/>
  <c r="O5" i="1"/>
  <c r="N7" i="3"/>
  <c r="L8" i="3"/>
  <c r="C11" i="2"/>
  <c r="D11" i="2"/>
  <c r="E11" i="2"/>
  <c r="F10" i="2" s="1"/>
  <c r="G9" i="2" s="1"/>
  <c r="H8" i="2" s="1"/>
  <c r="R16" i="4" l="1"/>
  <c r="P4" i="1"/>
  <c r="P5" i="1"/>
  <c r="N8" i="3"/>
  <c r="L9" i="3"/>
  <c r="P6" i="3"/>
  <c r="P5" i="3"/>
  <c r="Q4" i="3" s="1"/>
  <c r="C12" i="2"/>
  <c r="D12" i="2"/>
  <c r="E12" i="2"/>
  <c r="F11" i="2" s="1"/>
  <c r="G10" i="2" s="1"/>
  <c r="H9" i="2" s="1"/>
  <c r="Q5" i="3" l="1"/>
  <c r="L10" i="3"/>
  <c r="N9" i="3"/>
  <c r="P7" i="3"/>
  <c r="Q6" i="3" s="1"/>
  <c r="C13" i="2"/>
  <c r="D13" i="2"/>
  <c r="E13" i="2"/>
  <c r="F12" i="2" s="1"/>
  <c r="G11" i="2" s="1"/>
  <c r="H10" i="2" s="1"/>
  <c r="L11" i="3" l="1"/>
  <c r="N10" i="3"/>
  <c r="P8" i="3"/>
  <c r="Q7" i="3" s="1"/>
  <c r="C14" i="2"/>
  <c r="D14" i="2"/>
  <c r="E14" i="2"/>
  <c r="F13" i="2" s="1"/>
  <c r="G12" i="2" s="1"/>
  <c r="H11" i="2" s="1"/>
  <c r="L12" i="3" l="1"/>
  <c r="N11" i="3"/>
  <c r="C15" i="2"/>
  <c r="D15" i="2"/>
  <c r="E15" i="2" s="1"/>
  <c r="F14" i="2" s="1"/>
  <c r="G13" i="2" s="1"/>
  <c r="H12" i="2" s="1"/>
  <c r="P9" i="3" l="1"/>
  <c r="Q8" i="3" s="1"/>
  <c r="N12" i="3"/>
  <c r="P10" i="3"/>
  <c r="Q9" i="3" s="1"/>
  <c r="L13" i="3"/>
  <c r="C16" i="2"/>
  <c r="D16" i="2"/>
  <c r="E16" i="2"/>
  <c r="F15" i="2" s="1"/>
  <c r="G14" i="2" s="1"/>
  <c r="H13" i="2" s="1"/>
  <c r="N13" i="3" l="1"/>
  <c r="P11" i="3"/>
  <c r="Q10" i="3" s="1"/>
  <c r="L14" i="3"/>
  <c r="C17" i="2"/>
  <c r="D17" i="2"/>
  <c r="E17" i="2"/>
  <c r="F16" i="2" s="1"/>
  <c r="G15" i="2" s="1"/>
  <c r="H14" i="2" s="1"/>
  <c r="N14" i="3" l="1"/>
  <c r="P12" i="3"/>
  <c r="Q11" i="3" s="1"/>
  <c r="L15" i="3"/>
  <c r="C18" i="2"/>
  <c r="D18" i="2"/>
  <c r="E18" i="2" s="1"/>
  <c r="F17" i="2" s="1"/>
  <c r="G16" i="2" s="1"/>
  <c r="H15" i="2" s="1"/>
  <c r="N15" i="3" l="1"/>
  <c r="L16" i="3"/>
  <c r="C19" i="2"/>
  <c r="D19" i="2"/>
  <c r="E19" i="2"/>
  <c r="F18" i="2" s="1"/>
  <c r="G17" i="2" s="1"/>
  <c r="H16" i="2" s="1"/>
  <c r="N16" i="3" l="1"/>
  <c r="L17" i="3"/>
  <c r="P14" i="3"/>
  <c r="P13" i="3"/>
  <c r="Q12" i="3" s="1"/>
  <c r="C20" i="2"/>
  <c r="D20" i="2"/>
  <c r="E20" i="2"/>
  <c r="F19" i="2" s="1"/>
  <c r="G18" i="2" s="1"/>
  <c r="H17" i="2" s="1"/>
  <c r="Q13" i="3" l="1"/>
  <c r="L18" i="3"/>
  <c r="N17" i="3"/>
  <c r="P15" i="3"/>
  <c r="Q14" i="3" s="1"/>
  <c r="C21" i="2"/>
  <c r="D21" i="2"/>
  <c r="E21" i="2"/>
  <c r="F20" i="2" s="1"/>
  <c r="G19" i="2" s="1"/>
  <c r="H18" i="2" s="1"/>
  <c r="N18" i="3" l="1"/>
  <c r="L19" i="3"/>
  <c r="P16" i="3"/>
  <c r="Q15" i="3" s="1"/>
  <c r="C22" i="2"/>
  <c r="D22" i="2"/>
  <c r="E22" i="2"/>
  <c r="F21" i="2" s="1"/>
  <c r="G20" i="2" s="1"/>
  <c r="H19" i="2" s="1"/>
  <c r="L20" i="3" l="1"/>
  <c r="N19" i="3"/>
  <c r="C23" i="2"/>
  <c r="D23" i="2"/>
  <c r="E23" i="2"/>
  <c r="F22" i="2" s="1"/>
  <c r="G21" i="2" s="1"/>
  <c r="H20" i="2" s="1"/>
  <c r="P17" i="3" l="1"/>
  <c r="Q16" i="3" s="1"/>
  <c r="L21" i="3"/>
  <c r="N20" i="3"/>
  <c r="P18" i="3"/>
  <c r="Q17" i="3" s="1"/>
  <c r="C24" i="2"/>
  <c r="D24" i="2"/>
  <c r="E24" i="2"/>
  <c r="F23" i="2" s="1"/>
  <c r="G22" i="2" s="1"/>
  <c r="H21" i="2" s="1"/>
  <c r="L22" i="3" l="1"/>
  <c r="N21" i="3"/>
  <c r="P19" i="3"/>
  <c r="Q18" i="3" s="1"/>
  <c r="C25" i="2"/>
  <c r="D25" i="2"/>
  <c r="E25" i="2"/>
  <c r="F24" i="2" s="1"/>
  <c r="G23" i="2" s="1"/>
  <c r="H22" i="2" s="1"/>
  <c r="N22" i="3" l="1"/>
  <c r="P20" i="3"/>
  <c r="Q19" i="3" s="1"/>
  <c r="L23" i="3"/>
  <c r="C26" i="2"/>
  <c r="D26" i="2"/>
  <c r="E26" i="2" s="1"/>
  <c r="F25" i="2" s="1"/>
  <c r="G24" i="2" s="1"/>
  <c r="H23" i="2" s="1"/>
  <c r="L24" i="3" l="1"/>
  <c r="N23" i="3"/>
  <c r="C27" i="2"/>
  <c r="D27" i="2"/>
  <c r="E27" i="2" s="1"/>
  <c r="F26" i="2" s="1"/>
  <c r="G25" i="2" s="1"/>
  <c r="H24" i="2" s="1"/>
  <c r="P21" i="3" l="1"/>
  <c r="Q20" i="3" s="1"/>
  <c r="L25" i="3"/>
  <c r="N24" i="3"/>
  <c r="P22" i="3"/>
  <c r="Q21" i="3" s="1"/>
  <c r="C28" i="2"/>
  <c r="D28" i="2"/>
  <c r="E28" i="2"/>
  <c r="F27" i="2" s="1"/>
  <c r="G26" i="2" s="1"/>
  <c r="H25" i="2" s="1"/>
  <c r="L26" i="3" l="1"/>
  <c r="N25" i="3"/>
  <c r="P23" i="3"/>
  <c r="Q22" i="3" s="1"/>
  <c r="C29" i="2"/>
  <c r="D29" i="2"/>
  <c r="E29" i="2"/>
  <c r="F28" i="2" s="1"/>
  <c r="G27" i="2" s="1"/>
  <c r="H26" i="2" s="1"/>
  <c r="N26" i="3" l="1"/>
  <c r="P24" i="3"/>
  <c r="Q23" i="3" s="1"/>
  <c r="C30" i="2"/>
  <c r="D30" i="2"/>
  <c r="E30" i="2"/>
  <c r="F29" i="2" s="1"/>
  <c r="G28" i="2" s="1"/>
  <c r="H27" i="2" s="1"/>
  <c r="H30" i="2"/>
  <c r="G31" i="2" l="1"/>
  <c r="H31" i="2"/>
  <c r="C31" i="2"/>
  <c r="D31" i="2"/>
  <c r="E31" i="2" s="1"/>
  <c r="F30" i="2" s="1"/>
  <c r="G29" i="2" s="1"/>
  <c r="H28" i="2" s="1"/>
  <c r="C32" i="2" l="1"/>
  <c r="D32" i="2"/>
  <c r="E32" i="2"/>
  <c r="F31" i="2" s="1"/>
  <c r="G30" i="2" s="1"/>
  <c r="H29" i="2" s="1"/>
  <c r="F32" i="2"/>
  <c r="G32" i="2"/>
  <c r="H32" i="2"/>
  <c r="C33" i="2" l="1"/>
  <c r="D33" i="2"/>
  <c r="E33" i="2"/>
  <c r="F33" i="2"/>
  <c r="G33" i="2"/>
  <c r="H33" i="2"/>
  <c r="E34" i="2" l="1"/>
  <c r="F34" i="2"/>
  <c r="G34" i="2"/>
  <c r="H34" i="2"/>
  <c r="C34" i="2"/>
  <c r="D34" i="2"/>
  <c r="C35" i="2" l="1"/>
  <c r="D35" i="2"/>
  <c r="E35" i="2"/>
  <c r="F35" i="2"/>
  <c r="G35" i="2"/>
  <c r="H35" i="2"/>
  <c r="C36" i="2" l="1"/>
  <c r="D36" i="2"/>
  <c r="E36" i="2"/>
  <c r="F36" i="2"/>
  <c r="G36" i="2"/>
  <c r="H36" i="2"/>
  <c r="C37" i="2" l="1"/>
  <c r="D37" i="2"/>
  <c r="E37" i="2"/>
  <c r="F37" i="2"/>
  <c r="G37" i="2"/>
  <c r="H37" i="2"/>
  <c r="C38" i="2" l="1"/>
  <c r="D38" i="2"/>
  <c r="E38" i="2"/>
  <c r="F38" i="2"/>
  <c r="G38" i="2"/>
  <c r="H38" i="2"/>
  <c r="G39" i="2" l="1"/>
  <c r="H39" i="2"/>
  <c r="C39" i="2"/>
  <c r="D39" i="2"/>
  <c r="E39" i="2"/>
  <c r="F39" i="2"/>
  <c r="C40" i="2" l="1"/>
  <c r="D40" i="2"/>
  <c r="E40" i="2"/>
  <c r="F40" i="2"/>
  <c r="G40" i="2"/>
  <c r="H40" i="2"/>
  <c r="C41" i="2" l="1"/>
  <c r="D41" i="2"/>
  <c r="E41" i="2"/>
  <c r="F41" i="2"/>
  <c r="G41" i="2"/>
  <c r="H41" i="2"/>
  <c r="E42" i="2" l="1"/>
  <c r="F42" i="2"/>
  <c r="G42" i="2"/>
  <c r="H42" i="2"/>
  <c r="C42" i="2"/>
  <c r="D42" i="2"/>
  <c r="C43" i="2" l="1"/>
  <c r="D43" i="2"/>
  <c r="E43" i="2"/>
  <c r="F43" i="2"/>
  <c r="G43" i="2"/>
  <c r="H43" i="2"/>
  <c r="C44" i="2" l="1"/>
  <c r="D44" i="2"/>
  <c r="E44" i="2"/>
  <c r="F44" i="2"/>
  <c r="G44" i="2"/>
  <c r="H44" i="2"/>
  <c r="C45" i="2" l="1"/>
  <c r="D45" i="2"/>
  <c r="E45" i="2"/>
  <c r="F45" i="2"/>
  <c r="G45" i="2"/>
  <c r="H45" i="2"/>
  <c r="C46" i="2" l="1"/>
  <c r="D46" i="2"/>
  <c r="E46" i="2"/>
  <c r="F46" i="2"/>
  <c r="G46" i="2"/>
  <c r="H46" i="2"/>
  <c r="G47" i="2" l="1"/>
  <c r="H47" i="2"/>
  <c r="C47" i="2"/>
  <c r="D47" i="2"/>
  <c r="E47" i="2"/>
  <c r="F47" i="2"/>
  <c r="C48" i="2" l="1"/>
  <c r="D48" i="2"/>
  <c r="E48" i="2"/>
  <c r="F48" i="2"/>
  <c r="G48" i="2"/>
  <c r="H48" i="2"/>
  <c r="C49" i="2" l="1"/>
  <c r="D49" i="2"/>
  <c r="E49" i="2"/>
  <c r="F49" i="2"/>
  <c r="G49" i="2"/>
  <c r="H49" i="2"/>
  <c r="E50" i="2" l="1"/>
  <c r="F50" i="2"/>
  <c r="G50" i="2"/>
  <c r="H50" i="2"/>
  <c r="C50" i="2"/>
  <c r="D50" i="2"/>
  <c r="C51" i="2" l="1"/>
  <c r="D51" i="2"/>
  <c r="E51" i="2"/>
  <c r="F51" i="2"/>
  <c r="G51" i="2"/>
  <c r="H51" i="2"/>
  <c r="C52" i="2" l="1"/>
  <c r="D52" i="2"/>
  <c r="E52" i="2"/>
  <c r="F52" i="2"/>
  <c r="G52" i="2"/>
  <c r="H52" i="2"/>
  <c r="C53" i="2" l="1"/>
  <c r="D53" i="2"/>
  <c r="E53" i="2"/>
  <c r="F53" i="2"/>
  <c r="G53" i="2"/>
  <c r="H53" i="2"/>
  <c r="C54" i="2" l="1"/>
  <c r="D54" i="2"/>
  <c r="E54" i="2"/>
  <c r="F54" i="2"/>
  <c r="G54" i="2"/>
  <c r="H54" i="2"/>
  <c r="G55" i="2" l="1"/>
  <c r="H55" i="2"/>
  <c r="C55" i="2"/>
  <c r="D55" i="2"/>
  <c r="E55" i="2"/>
  <c r="F55" i="2"/>
  <c r="C56" i="2" l="1"/>
  <c r="D56" i="2"/>
  <c r="E56" i="2"/>
  <c r="F56" i="2"/>
  <c r="G56" i="2"/>
  <c r="H56" i="2"/>
  <c r="C57" i="2" l="1"/>
  <c r="D57" i="2"/>
  <c r="E57" i="2"/>
  <c r="F57" i="2"/>
  <c r="G57" i="2"/>
  <c r="H57" i="2"/>
  <c r="E58" i="2" l="1"/>
  <c r="F58" i="2"/>
  <c r="G58" i="2"/>
  <c r="H58" i="2"/>
  <c r="C58" i="2"/>
  <c r="D58" i="2"/>
  <c r="C59" i="2" l="1"/>
  <c r="D59" i="2"/>
  <c r="E59" i="2"/>
  <c r="F59" i="2"/>
  <c r="G59" i="2"/>
  <c r="H59" i="2"/>
  <c r="C60" i="2" l="1"/>
  <c r="D60" i="2"/>
  <c r="E60" i="2"/>
  <c r="F60" i="2"/>
  <c r="G60" i="2"/>
  <c r="H60" i="2"/>
  <c r="C61" i="2" l="1"/>
  <c r="D61" i="2"/>
  <c r="E61" i="2"/>
  <c r="F61" i="2"/>
  <c r="G61" i="2"/>
  <c r="H61" i="2"/>
  <c r="C62" i="2" l="1"/>
  <c r="D62" i="2"/>
  <c r="E62" i="2"/>
  <c r="F62" i="2"/>
  <c r="G62" i="2"/>
  <c r="H62" i="2"/>
  <c r="G63" i="2" l="1"/>
  <c r="H63" i="2"/>
  <c r="C63" i="2"/>
  <c r="D63" i="2"/>
  <c r="E63" i="2"/>
  <c r="F63" i="2"/>
  <c r="C64" i="2" l="1"/>
  <c r="D64" i="2"/>
  <c r="E64" i="2"/>
  <c r="F64" i="2"/>
  <c r="G64" i="2"/>
  <c r="H64" i="2"/>
  <c r="C65" i="2" l="1"/>
  <c r="D65" i="2"/>
  <c r="E65" i="2"/>
  <c r="F65" i="2"/>
  <c r="G65" i="2"/>
  <c r="H65" i="2"/>
  <c r="E66" i="2" l="1"/>
  <c r="F66" i="2"/>
  <c r="G66" i="2"/>
  <c r="H66" i="2"/>
  <c r="C66" i="2"/>
  <c r="D66" i="2"/>
  <c r="C67" i="2" l="1"/>
  <c r="D67" i="2"/>
  <c r="E67" i="2"/>
  <c r="F67" i="2"/>
  <c r="G67" i="2"/>
  <c r="H67" i="2"/>
  <c r="C68" i="2" l="1"/>
  <c r="D68" i="2"/>
  <c r="E68" i="2"/>
  <c r="F68" i="2"/>
  <c r="G68" i="2"/>
  <c r="H68" i="2"/>
  <c r="C69" i="2" l="1"/>
  <c r="D69" i="2"/>
  <c r="E69" i="2"/>
  <c r="F69" i="2"/>
  <c r="G69" i="2"/>
  <c r="H69" i="2"/>
  <c r="C70" i="2" l="1"/>
  <c r="D70" i="2"/>
  <c r="E70" i="2"/>
  <c r="F70" i="2"/>
  <c r="G70" i="2"/>
  <c r="H70" i="2"/>
  <c r="G71" i="2" l="1"/>
  <c r="H71" i="2"/>
  <c r="C71" i="2"/>
  <c r="D71" i="2"/>
  <c r="E71" i="2"/>
  <c r="F71" i="2"/>
  <c r="C72" i="2" l="1"/>
  <c r="D72" i="2"/>
  <c r="E72" i="2"/>
  <c r="F72" i="2"/>
  <c r="G72" i="2"/>
  <c r="H72" i="2"/>
  <c r="C73" i="2" l="1"/>
  <c r="D73" i="2"/>
  <c r="E73" i="2"/>
  <c r="F73" i="2"/>
  <c r="G73" i="2"/>
  <c r="H73" i="2"/>
  <c r="E74" i="2" l="1"/>
  <c r="F74" i="2"/>
  <c r="G74" i="2"/>
  <c r="H74" i="2"/>
  <c r="C74" i="2"/>
  <c r="D74" i="2"/>
  <c r="C75" i="2" l="1"/>
  <c r="D75" i="2"/>
  <c r="E75" i="2"/>
  <c r="F75" i="2"/>
  <c r="G75" i="2"/>
  <c r="H75" i="2"/>
  <c r="C76" i="2" l="1"/>
  <c r="D76" i="2"/>
  <c r="E76" i="2"/>
  <c r="F76" i="2"/>
  <c r="G76" i="2"/>
  <c r="H76" i="2"/>
  <c r="C77" i="2" l="1"/>
  <c r="D77" i="2"/>
  <c r="E77" i="2"/>
  <c r="F77" i="2"/>
  <c r="G77" i="2"/>
  <c r="H77" i="2"/>
  <c r="C78" i="2" l="1"/>
  <c r="D78" i="2"/>
  <c r="E78" i="2"/>
  <c r="F78" i="2"/>
  <c r="G78" i="2"/>
  <c r="H78" i="2"/>
  <c r="G79" i="2" l="1"/>
  <c r="H79" i="2"/>
  <c r="C79" i="2"/>
  <c r="D79" i="2"/>
  <c r="E79" i="2"/>
  <c r="F79" i="2"/>
  <c r="C80" i="2" l="1"/>
  <c r="D80" i="2"/>
  <c r="E80" i="2"/>
  <c r="F80" i="2"/>
  <c r="G80" i="2"/>
  <c r="H80" i="2"/>
  <c r="C81" i="2" l="1"/>
  <c r="D81" i="2"/>
  <c r="E81" i="2"/>
  <c r="F81" i="2"/>
  <c r="G81" i="2"/>
  <c r="H81" i="2"/>
  <c r="E82" i="2" l="1"/>
  <c r="F82" i="2"/>
  <c r="G82" i="2"/>
  <c r="H82" i="2"/>
  <c r="C82" i="2"/>
  <c r="D82" i="2"/>
  <c r="C83" i="2" l="1"/>
  <c r="D83" i="2"/>
  <c r="E83" i="2"/>
  <c r="F83" i="2"/>
  <c r="G83" i="2"/>
  <c r="H83" i="2"/>
  <c r="C84" i="2" l="1"/>
  <c r="D84" i="2"/>
  <c r="E84" i="2"/>
  <c r="F84" i="2"/>
  <c r="G84" i="2"/>
  <c r="H84" i="2"/>
  <c r="C85" i="2" l="1"/>
  <c r="D85" i="2"/>
  <c r="E85" i="2"/>
  <c r="F85" i="2"/>
  <c r="G85" i="2"/>
  <c r="H85" i="2"/>
  <c r="C86" i="2" l="1"/>
  <c r="D86" i="2"/>
  <c r="E86" i="2"/>
  <c r="F86" i="2"/>
  <c r="G86" i="2"/>
  <c r="H86" i="2"/>
  <c r="G87" i="2" l="1"/>
  <c r="H87" i="2"/>
  <c r="C87" i="2"/>
  <c r="D87" i="2"/>
  <c r="E87" i="2"/>
  <c r="F87" i="2"/>
  <c r="C88" i="2" l="1"/>
  <c r="D88" i="2"/>
  <c r="E88" i="2"/>
  <c r="F88" i="2"/>
  <c r="G88" i="2"/>
  <c r="H88" i="2"/>
  <c r="C89" i="2" l="1"/>
  <c r="D89" i="2"/>
  <c r="E89" i="2"/>
  <c r="F89" i="2"/>
  <c r="G89" i="2"/>
  <c r="H89" i="2"/>
  <c r="E90" i="2" l="1"/>
  <c r="F90" i="2"/>
  <c r="G90" i="2"/>
  <c r="H90" i="2"/>
  <c r="C90" i="2"/>
  <c r="D90" i="2"/>
  <c r="C91" i="2" l="1"/>
  <c r="D91" i="2"/>
  <c r="E91" i="2"/>
  <c r="F91" i="2"/>
  <c r="G91" i="2"/>
  <c r="H91" i="2"/>
  <c r="C92" i="2" l="1"/>
  <c r="D92" i="2"/>
  <c r="E92" i="2"/>
  <c r="F92" i="2"/>
  <c r="G92" i="2"/>
  <c r="H92" i="2"/>
  <c r="C93" i="2" l="1"/>
  <c r="D93" i="2"/>
  <c r="E93" i="2"/>
  <c r="F93" i="2"/>
  <c r="G93" i="2"/>
  <c r="H93" i="2"/>
  <c r="C94" i="2" l="1"/>
  <c r="D94" i="2"/>
  <c r="E94" i="2"/>
  <c r="F94" i="2"/>
  <c r="G94" i="2"/>
  <c r="H94" i="2"/>
  <c r="G95" i="2" l="1"/>
  <c r="H95" i="2"/>
  <c r="C95" i="2"/>
  <c r="D95" i="2"/>
  <c r="E95" i="2"/>
  <c r="F95" i="2"/>
  <c r="C96" i="2" l="1"/>
  <c r="D96" i="2"/>
  <c r="E96" i="2"/>
  <c r="F96" i="2"/>
  <c r="G96" i="2"/>
  <c r="H96" i="2"/>
  <c r="D3" i="5"/>
  <c r="A9" i="5"/>
  <c r="L4" i="5" l="1"/>
  <c r="G4" i="5"/>
  <c r="D4" i="5"/>
  <c r="E3" i="5"/>
  <c r="F3" i="5" s="1"/>
  <c r="G5" i="5" l="1"/>
  <c r="D5" i="5"/>
  <c r="N5" i="5"/>
  <c r="P5" i="5" s="1"/>
  <c r="L5" i="5"/>
  <c r="N6" i="5" l="1"/>
  <c r="P6" i="5" s="1"/>
  <c r="L6" i="5"/>
  <c r="D6" i="5"/>
  <c r="G6" i="5"/>
  <c r="D7" i="5" l="1"/>
  <c r="G7" i="5"/>
  <c r="N7" i="5"/>
  <c r="P7" i="5" s="1"/>
  <c r="L7" i="5"/>
  <c r="L8" i="5" l="1"/>
  <c r="N8" i="5"/>
  <c r="P8" i="5" s="1"/>
  <c r="G8" i="5"/>
  <c r="D8" i="5"/>
  <c r="G9" i="5" l="1"/>
  <c r="D9" i="5"/>
  <c r="N9" i="5"/>
  <c r="P9" i="5" s="1"/>
  <c r="L9" i="5"/>
  <c r="L10" i="5" l="1"/>
  <c r="N10" i="5"/>
  <c r="P10" i="5" s="1"/>
  <c r="D10" i="5"/>
  <c r="G10" i="5"/>
  <c r="G11" i="5" l="1"/>
  <c r="D11" i="5"/>
  <c r="N11" i="5"/>
  <c r="P11" i="5" s="1"/>
  <c r="L11" i="5"/>
  <c r="N12" i="5" l="1"/>
  <c r="P12" i="5" s="1"/>
  <c r="L12" i="5"/>
  <c r="G12" i="5"/>
  <c r="D12" i="5"/>
  <c r="N13" i="5" l="1"/>
  <c r="P13" i="5" s="1"/>
  <c r="L13" i="5"/>
  <c r="G13" i="5"/>
  <c r="D13" i="5"/>
  <c r="L14" i="5" l="1"/>
  <c r="N14" i="5"/>
  <c r="P14" i="5" s="1"/>
  <c r="G14" i="5"/>
  <c r="D14" i="5"/>
  <c r="G15" i="5" l="1"/>
  <c r="D15" i="5"/>
  <c r="N15" i="5"/>
  <c r="P15" i="5" s="1"/>
  <c r="L15" i="5"/>
  <c r="N16" i="5" l="1"/>
  <c r="P16" i="5" s="1"/>
  <c r="L16" i="5"/>
  <c r="D16" i="5"/>
  <c r="G16" i="5"/>
  <c r="N17" i="5" l="1"/>
  <c r="P17" i="5" s="1"/>
  <c r="L17" i="5"/>
  <c r="G17" i="5"/>
  <c r="D17" i="5"/>
  <c r="L18" i="5" l="1"/>
  <c r="N18" i="5"/>
  <c r="P18" i="5" s="1"/>
  <c r="G18" i="5"/>
  <c r="D18" i="5"/>
  <c r="G19" i="5" l="1"/>
  <c r="D19" i="5"/>
  <c r="N19" i="5"/>
  <c r="P19" i="5" s="1"/>
  <c r="L19" i="5"/>
  <c r="N20" i="5" l="1"/>
  <c r="P20" i="5" s="1"/>
  <c r="L20" i="5"/>
  <c r="G20" i="5"/>
  <c r="D20" i="5"/>
  <c r="D21" i="5" l="1"/>
  <c r="G21" i="5"/>
  <c r="N21" i="5"/>
  <c r="P21" i="5" s="1"/>
  <c r="L21" i="5"/>
  <c r="L22" i="5" l="1"/>
  <c r="N22" i="5"/>
  <c r="P22" i="5" s="1"/>
  <c r="I14" i="5" s="1"/>
  <c r="D22" i="5"/>
  <c r="G22" i="5" l="1"/>
  <c r="A14" i="5" s="1"/>
  <c r="D23" i="5"/>
  <c r="F23" i="5"/>
  <c r="L23" i="5"/>
  <c r="N23" i="5"/>
  <c r="O23" i="5" s="1"/>
  <c r="I12" i="5" s="1"/>
  <c r="I16" i="5" s="1"/>
  <c r="A16" i="5" l="1"/>
</calcChain>
</file>

<file path=xl/sharedStrings.xml><?xml version="1.0" encoding="utf-8"?>
<sst xmlns="http://schemas.openxmlformats.org/spreadsheetml/2006/main" count="224" uniqueCount="52">
  <si>
    <t>n</t>
  </si>
  <si>
    <t>x</t>
  </si>
  <si>
    <t>y</t>
  </si>
  <si>
    <t>y'</t>
  </si>
  <si>
    <t>y''</t>
  </si>
  <si>
    <t>y'''</t>
  </si>
  <si>
    <t>y''''</t>
  </si>
  <si>
    <t>y'''''</t>
  </si>
  <si>
    <t>y''''''</t>
  </si>
  <si>
    <t>f(x)</t>
  </si>
  <si>
    <t>a=</t>
  </si>
  <si>
    <t>b=</t>
  </si>
  <si>
    <t>n=</t>
  </si>
  <si>
    <t>h=</t>
  </si>
  <si>
    <t>Ai</t>
  </si>
  <si>
    <t>Ad</t>
  </si>
  <si>
    <t>Ls</t>
  </si>
  <si>
    <t>Li</t>
  </si>
  <si>
    <t>h</t>
  </si>
  <si>
    <t>Sumatoria Ai</t>
  </si>
  <si>
    <t>Sumatoria Ad</t>
  </si>
  <si>
    <t>Diferencia A</t>
  </si>
  <si>
    <t>Promedio</t>
  </si>
  <si>
    <t>Area real</t>
  </si>
  <si>
    <t>abs(y)</t>
  </si>
  <si>
    <t>Suma</t>
  </si>
  <si>
    <t>C</t>
  </si>
  <si>
    <t>Límite inferior (a)</t>
  </si>
  <si>
    <t>Límite superior (b)</t>
  </si>
  <si>
    <t>n (par)</t>
  </si>
  <si>
    <t>a1=</t>
  </si>
  <si>
    <t>a2=</t>
  </si>
  <si>
    <t>a3=</t>
  </si>
  <si>
    <t>AT=</t>
  </si>
  <si>
    <t>DF=</t>
  </si>
  <si>
    <t>a1</t>
  </si>
  <si>
    <t>a2</t>
  </si>
  <si>
    <t>a3</t>
  </si>
  <si>
    <t>abs(a1)</t>
  </si>
  <si>
    <t>abs(a2)</t>
  </si>
  <si>
    <t>abs(a3)</t>
  </si>
  <si>
    <t>a4</t>
  </si>
  <si>
    <t>abs(a4)</t>
  </si>
  <si>
    <t>Apoyo</t>
  </si>
  <si>
    <t>a4=</t>
  </si>
  <si>
    <t>abs(a1)=</t>
  </si>
  <si>
    <t>abd(a2)=</t>
  </si>
  <si>
    <t>abs(a3)=</t>
  </si>
  <si>
    <t>abs(a4)=</t>
  </si>
  <si>
    <t>Área real</t>
  </si>
  <si>
    <t>Extremos</t>
  </si>
  <si>
    <t>Internos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</si>
</sst>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6" x14ac:knownFonts="1">
    <font>
      <sz val="11"/>
      <color theme="1"/>
      <name val="Aptos Narrow"/>
      <family val="2"/>
      <scheme val="minor"/>
    </font>
    <font>
      <sz val="13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u/>
      <sz val="13"/>
      <color theme="1"/>
      <name val="Calibri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2"/>
    </xf>
    <xf numFmtId="0" fontId="1" fillId="0" borderId="4" xfId="0" applyFont="1" applyBorder="1" applyAlignment="1">
      <alignment horizontal="left" vertical="center" wrapText="1" indent="2"/>
    </xf>
    <xf numFmtId="0" fontId="1" fillId="0" borderId="4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0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worksheet" Target="worksheets/sheet9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1"/>
            <c:trendlineLbl>
              <c:layout>
                <c:manualLayout>
                  <c:x val="-0.40211964129483813"/>
                  <c:y val="0.164413458734324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'Diferenciación 1'!$B$3:$B$48</c:f>
              <c:numCache>
                <c:formatCode>0.00000</c:formatCode>
                <c:ptCount val="46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</c:numCache>
            </c:numRef>
          </c:xVal>
          <c:yVal>
            <c:numRef>
              <c:f>'Diferenciación 1'!$C$3:$C$48</c:f>
              <c:numCache>
                <c:formatCode>0.00000</c:formatCode>
                <c:ptCount val="46"/>
                <c:pt idx="0">
                  <c:v>21.75</c:v>
                </c:pt>
                <c:pt idx="1">
                  <c:v>23.5451275</c:v>
                </c:pt>
                <c:pt idx="2">
                  <c:v>24.55808</c:v>
                </c:pt>
                <c:pt idx="3">
                  <c:v>24.898732500000001</c:v>
                </c:pt>
                <c:pt idx="4">
                  <c:v>24.668559999999999</c:v>
                </c:pt>
                <c:pt idx="5">
                  <c:v>23.9609375</c:v>
                </c:pt>
                <c:pt idx="6">
                  <c:v>22.861440000000002</c:v>
                </c:pt>
                <c:pt idx="7">
                  <c:v>21.448142499999999</c:v>
                </c:pt>
                <c:pt idx="8">
                  <c:v>19.791920000000001</c:v>
                </c:pt>
                <c:pt idx="9">
                  <c:v>17.956747499999999</c:v>
                </c:pt>
                <c:pt idx="10">
                  <c:v>16</c:v>
                </c:pt>
                <c:pt idx="11">
                  <c:v>13.9727525</c:v>
                </c:pt>
                <c:pt idx="12">
                  <c:v>11.92008</c:v>
                </c:pt>
                <c:pt idx="13">
                  <c:v>9.8813575</c:v>
                </c:pt>
                <c:pt idx="14">
                  <c:v>7.8905599999999998</c:v>
                </c:pt>
                <c:pt idx="15">
                  <c:v>5.9765625</c:v>
                </c:pt>
                <c:pt idx="16">
                  <c:v>4.1634399999999996</c:v>
                </c:pt>
                <c:pt idx="17">
                  <c:v>2.4707675</c:v>
                </c:pt>
                <c:pt idx="18">
                  <c:v>0.91391999999999995</c:v>
                </c:pt>
                <c:pt idx="19">
                  <c:v>-0.4956275</c:v>
                </c:pt>
                <c:pt idx="20">
                  <c:v>-1.75</c:v>
                </c:pt>
                <c:pt idx="21">
                  <c:v>-2.8446224999999998</c:v>
                </c:pt>
                <c:pt idx="22">
                  <c:v>-3.7779199999999999</c:v>
                </c:pt>
                <c:pt idx="23">
                  <c:v>-4.5510175000000004</c:v>
                </c:pt>
                <c:pt idx="24">
                  <c:v>-5.16744</c:v>
                </c:pt>
                <c:pt idx="25">
                  <c:v>-5.6328125</c:v>
                </c:pt>
                <c:pt idx="26">
                  <c:v>-5.9545599999999999</c:v>
                </c:pt>
                <c:pt idx="27">
                  <c:v>-6.1416075000000001</c:v>
                </c:pt>
                <c:pt idx="28">
                  <c:v>-6.2040800000000003</c:v>
                </c:pt>
                <c:pt idx="29">
                  <c:v>-6.1530025000000004</c:v>
                </c:pt>
                <c:pt idx="30">
                  <c:v>-6</c:v>
                </c:pt>
                <c:pt idx="31">
                  <c:v>-5.7569974999999998</c:v>
                </c:pt>
                <c:pt idx="32">
                  <c:v>-5.4359200000000003</c:v>
                </c:pt>
                <c:pt idx="33">
                  <c:v>-5.0483925000000003</c:v>
                </c:pt>
                <c:pt idx="34">
                  <c:v>-4.6054399999999998</c:v>
                </c:pt>
                <c:pt idx="35">
                  <c:v>-4.1171875</c:v>
                </c:pt>
                <c:pt idx="36">
                  <c:v>-3.5925600000000002</c:v>
                </c:pt>
                <c:pt idx="37">
                  <c:v>-3.0389824999999999</c:v>
                </c:pt>
                <c:pt idx="38">
                  <c:v>-2.4620799999999998</c:v>
                </c:pt>
                <c:pt idx="39">
                  <c:v>-1.8653774999999999</c:v>
                </c:pt>
                <c:pt idx="40">
                  <c:v>-1.25</c:v>
                </c:pt>
                <c:pt idx="41">
                  <c:v>-0.61437249999999999</c:v>
                </c:pt>
                <c:pt idx="42">
                  <c:v>4.6080000000000003E-2</c:v>
                </c:pt>
                <c:pt idx="43">
                  <c:v>0.73923249999999996</c:v>
                </c:pt>
                <c:pt idx="44">
                  <c:v>1.4765600000000001</c:v>
                </c:pt>
                <c:pt idx="45">
                  <c:v>2.2734375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4-432D-9ACB-7DF123362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163951"/>
        <c:axId val="652157231"/>
      </c:scatterChart>
      <c:valAx>
        <c:axId val="65216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52157231"/>
        <c:crosses val="autoZero"/>
        <c:crossBetween val="midCat"/>
      </c:valAx>
      <c:valAx>
        <c:axId val="65215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5216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0.29667629046369204"/>
                  <c:y val="0.576702026829979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'Diferenciación 3'!$D$2:$D$26</c:f>
              <c:numCache>
                <c:formatCode>General</c:formatCode>
                <c:ptCount val="25"/>
                <c:pt idx="0">
                  <c:v>-2</c:v>
                </c:pt>
                <c:pt idx="1">
                  <c:v>-1.95</c:v>
                </c:pt>
                <c:pt idx="2">
                  <c:v>-1.9</c:v>
                </c:pt>
                <c:pt idx="3">
                  <c:v>-1.85</c:v>
                </c:pt>
                <c:pt idx="4">
                  <c:v>-1.8</c:v>
                </c:pt>
                <c:pt idx="5">
                  <c:v>-1.75</c:v>
                </c:pt>
                <c:pt idx="6">
                  <c:v>-1.7</c:v>
                </c:pt>
                <c:pt idx="7">
                  <c:v>-1.65</c:v>
                </c:pt>
                <c:pt idx="8">
                  <c:v>-1.6</c:v>
                </c:pt>
                <c:pt idx="9">
                  <c:v>-1.55</c:v>
                </c:pt>
                <c:pt idx="10">
                  <c:v>-1.53</c:v>
                </c:pt>
                <c:pt idx="11">
                  <c:v>-1.51</c:v>
                </c:pt>
                <c:pt idx="12">
                  <c:v>-1.49</c:v>
                </c:pt>
                <c:pt idx="13">
                  <c:v>-1.47</c:v>
                </c:pt>
                <c:pt idx="14">
                  <c:v>-1.45</c:v>
                </c:pt>
                <c:pt idx="15">
                  <c:v>-1.43</c:v>
                </c:pt>
                <c:pt idx="16">
                  <c:v>-1.41</c:v>
                </c:pt>
                <c:pt idx="17">
                  <c:v>-1.36</c:v>
                </c:pt>
                <c:pt idx="18">
                  <c:v>-1.31</c:v>
                </c:pt>
                <c:pt idx="19">
                  <c:v>-1.26</c:v>
                </c:pt>
                <c:pt idx="20">
                  <c:v>-1.25</c:v>
                </c:pt>
                <c:pt idx="21">
                  <c:v>-1.24</c:v>
                </c:pt>
                <c:pt idx="22">
                  <c:v>-1.23</c:v>
                </c:pt>
                <c:pt idx="23">
                  <c:v>-1.22</c:v>
                </c:pt>
                <c:pt idx="24">
                  <c:v>-1.21</c:v>
                </c:pt>
              </c:numCache>
            </c:numRef>
          </c:xVal>
          <c:yVal>
            <c:numRef>
              <c:f>'Diferenciación 3'!$E$2:$E$26</c:f>
              <c:numCache>
                <c:formatCode>General</c:formatCode>
                <c:ptCount val="25"/>
                <c:pt idx="0">
                  <c:v>-2.8</c:v>
                </c:pt>
                <c:pt idx="1">
                  <c:v>-1.2325740000000001</c:v>
                </c:pt>
                <c:pt idx="2">
                  <c:v>0.124824</c:v>
                </c:pt>
                <c:pt idx="3">
                  <c:v>1.2936049999999999</c:v>
                </c:pt>
                <c:pt idx="4">
                  <c:v>2.293555</c:v>
                </c:pt>
                <c:pt idx="5">
                  <c:v>3.1429200000000002</c:v>
                </c:pt>
                <c:pt idx="6">
                  <c:v>3.8584860000000001</c:v>
                </c:pt>
                <c:pt idx="7">
                  <c:v>4.4556630000000004</c:v>
                </c:pt>
                <c:pt idx="8">
                  <c:v>4.9485570000000001</c:v>
                </c:pt>
                <c:pt idx="9">
                  <c:v>5.3500509999999997</c:v>
                </c:pt>
                <c:pt idx="10">
                  <c:v>5.4877209999999996</c:v>
                </c:pt>
                <c:pt idx="11">
                  <c:v>5.6133579999999998</c:v>
                </c:pt>
                <c:pt idx="12">
                  <c:v>5.7276350000000003</c:v>
                </c:pt>
                <c:pt idx="13">
                  <c:v>5.8311999999999999</c:v>
                </c:pt>
                <c:pt idx="14">
                  <c:v>5.924677</c:v>
                </c:pt>
                <c:pt idx="15">
                  <c:v>6.0086630000000003</c:v>
                </c:pt>
                <c:pt idx="16">
                  <c:v>6.0837300000000001</c:v>
                </c:pt>
                <c:pt idx="17">
                  <c:v>6.2359359999999997</c:v>
                </c:pt>
                <c:pt idx="18">
                  <c:v>6.3437570000000001</c:v>
                </c:pt>
                <c:pt idx="19">
                  <c:v>6.414339</c:v>
                </c:pt>
                <c:pt idx="20">
                  <c:v>6.4245609999999997</c:v>
                </c:pt>
                <c:pt idx="21">
                  <c:v>6.4335969999999998</c:v>
                </c:pt>
                <c:pt idx="22">
                  <c:v>6.4414949999999997</c:v>
                </c:pt>
                <c:pt idx="23">
                  <c:v>6.4482989999999996</c:v>
                </c:pt>
                <c:pt idx="24">
                  <c:v>6.4540540000000002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F9-4379-9E83-67B202022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082559"/>
        <c:axId val="703100799"/>
      </c:scatterChart>
      <c:valAx>
        <c:axId val="70308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3100799"/>
        <c:crosses val="autoZero"/>
        <c:crossBetween val="midCat"/>
      </c:valAx>
      <c:valAx>
        <c:axId val="70310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3082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Rectangulos!$A$2</c:f>
              <c:strCache>
                <c:ptCount val="1"/>
                <c:pt idx="0">
                  <c:v>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Rectangulos!$A$3:$A$88</c:f>
              <c:numCache>
                <c:formatCode>General</c:formatCode>
                <c:ptCount val="86"/>
                <c:pt idx="0">
                  <c:v>-2</c:v>
                </c:pt>
                <c:pt idx="1">
                  <c:v>0</c:v>
                </c:pt>
                <c:pt idx="2">
                  <c:v>2.25</c:v>
                </c:pt>
                <c:pt idx="3">
                  <c:v>0</c:v>
                </c:pt>
                <c:pt idx="4">
                  <c:v>85</c:v>
                </c:pt>
                <c:pt idx="5">
                  <c:v>0</c:v>
                </c:pt>
                <c:pt idx="6">
                  <c:v>0.05</c:v>
                </c:pt>
                <c:pt idx="7">
                  <c:v>0</c:v>
                </c:pt>
                <c:pt idx="8">
                  <c:v>0</c:v>
                </c:pt>
                <c:pt idx="9">
                  <c:v>23.162590650000002</c:v>
                </c:pt>
                <c:pt idx="10">
                  <c:v>0</c:v>
                </c:pt>
                <c:pt idx="11">
                  <c:v>22.749502250000003</c:v>
                </c:pt>
                <c:pt idx="12">
                  <c:v>0</c:v>
                </c:pt>
                <c:pt idx="13">
                  <c:v>22.956046450000002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6-45BA-8E7F-CFB8FED6570A}"/>
            </c:ext>
          </c:extLst>
        </c:ser>
        <c:ser>
          <c:idx val="1"/>
          <c:order val="1"/>
          <c:tx>
            <c:strRef>
              <c:f>Rectangulos!$B$2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Rectangulos!$B$3:$B$88</c:f>
              <c:numCache>
                <c:formatCode>General</c:formatCode>
                <c:ptCount val="86"/>
                <c:pt idx="0">
                  <c:v>5.0000000000000044E-2</c:v>
                </c:pt>
                <c:pt idx="1">
                  <c:v>5.0000000000000044E-2</c:v>
                </c:pt>
                <c:pt idx="2">
                  <c:v>4.9999999999999822E-2</c:v>
                </c:pt>
                <c:pt idx="3">
                  <c:v>5.0000000000000044E-2</c:v>
                </c:pt>
                <c:pt idx="4">
                  <c:v>5.0000000000000044E-2</c:v>
                </c:pt>
                <c:pt idx="5">
                  <c:v>5.0000000000000044E-2</c:v>
                </c:pt>
                <c:pt idx="6">
                  <c:v>5.0000000000000044E-2</c:v>
                </c:pt>
                <c:pt idx="7">
                  <c:v>4.9999999999999822E-2</c:v>
                </c:pt>
                <c:pt idx="8">
                  <c:v>5.0000000000000044E-2</c:v>
                </c:pt>
                <c:pt idx="9">
                  <c:v>5.0000000000000044E-2</c:v>
                </c:pt>
                <c:pt idx="10">
                  <c:v>5.0000000000000044E-2</c:v>
                </c:pt>
                <c:pt idx="11">
                  <c:v>5.0000000000000044E-2</c:v>
                </c:pt>
                <c:pt idx="12">
                  <c:v>4.9999999999999822E-2</c:v>
                </c:pt>
                <c:pt idx="13">
                  <c:v>5.0000000000000044E-2</c:v>
                </c:pt>
                <c:pt idx="14">
                  <c:v>5.0000000000000044E-2</c:v>
                </c:pt>
                <c:pt idx="15">
                  <c:v>5.0000000000000044E-2</c:v>
                </c:pt>
                <c:pt idx="16">
                  <c:v>5.0000000000000044E-2</c:v>
                </c:pt>
                <c:pt idx="17">
                  <c:v>4.9999999999999822E-2</c:v>
                </c:pt>
                <c:pt idx="18">
                  <c:v>5.0000000000000044E-2</c:v>
                </c:pt>
                <c:pt idx="19">
                  <c:v>5.0000000000000044E-2</c:v>
                </c:pt>
                <c:pt idx="20">
                  <c:v>5.0000000000000044E-2</c:v>
                </c:pt>
                <c:pt idx="21">
                  <c:v>4.9999999999999933E-2</c:v>
                </c:pt>
                <c:pt idx="22">
                  <c:v>5.0000000000000044E-2</c:v>
                </c:pt>
                <c:pt idx="23">
                  <c:v>4.9999999999999933E-2</c:v>
                </c:pt>
                <c:pt idx="24">
                  <c:v>5.0000000000000044E-2</c:v>
                </c:pt>
                <c:pt idx="25">
                  <c:v>5.0000000000000044E-2</c:v>
                </c:pt>
                <c:pt idx="26">
                  <c:v>4.9999999999999933E-2</c:v>
                </c:pt>
                <c:pt idx="27">
                  <c:v>5.0000000000000044E-2</c:v>
                </c:pt>
                <c:pt idx="28">
                  <c:v>4.9999999999999933E-2</c:v>
                </c:pt>
                <c:pt idx="29">
                  <c:v>5.0000000000000044E-2</c:v>
                </c:pt>
                <c:pt idx="30">
                  <c:v>4.9999999999999989E-2</c:v>
                </c:pt>
                <c:pt idx="31">
                  <c:v>4.9999999999999989E-2</c:v>
                </c:pt>
                <c:pt idx="32">
                  <c:v>5.0000000000000044E-2</c:v>
                </c:pt>
                <c:pt idx="33">
                  <c:v>4.9999999999999989E-2</c:v>
                </c:pt>
                <c:pt idx="34">
                  <c:v>4.9999999999999989E-2</c:v>
                </c:pt>
                <c:pt idx="35">
                  <c:v>4.9999999999999989E-2</c:v>
                </c:pt>
                <c:pt idx="36">
                  <c:v>5.0000000000000017E-2</c:v>
                </c:pt>
                <c:pt idx="37">
                  <c:v>4.9999999999999989E-2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4.9999999999999989E-2</c:v>
                </c:pt>
                <c:pt idx="43">
                  <c:v>5.0000000000000017E-2</c:v>
                </c:pt>
                <c:pt idx="44">
                  <c:v>4.9999999999999989E-2</c:v>
                </c:pt>
                <c:pt idx="45">
                  <c:v>4.9999999999999989E-2</c:v>
                </c:pt>
                <c:pt idx="46">
                  <c:v>4.9999999999999989E-2</c:v>
                </c:pt>
                <c:pt idx="47">
                  <c:v>5.0000000000000044E-2</c:v>
                </c:pt>
                <c:pt idx="48">
                  <c:v>4.9999999999999989E-2</c:v>
                </c:pt>
                <c:pt idx="49">
                  <c:v>4.9999999999999989E-2</c:v>
                </c:pt>
                <c:pt idx="50">
                  <c:v>5.0000000000000044E-2</c:v>
                </c:pt>
                <c:pt idx="51">
                  <c:v>4.9999999999999933E-2</c:v>
                </c:pt>
                <c:pt idx="52">
                  <c:v>5.0000000000000044E-2</c:v>
                </c:pt>
                <c:pt idx="53">
                  <c:v>4.9999999999999933E-2</c:v>
                </c:pt>
                <c:pt idx="54">
                  <c:v>5.0000000000000044E-2</c:v>
                </c:pt>
                <c:pt idx="55">
                  <c:v>5.0000000000000044E-2</c:v>
                </c:pt>
                <c:pt idx="56">
                  <c:v>4.9999999999999933E-2</c:v>
                </c:pt>
                <c:pt idx="57">
                  <c:v>5.0000000000000044E-2</c:v>
                </c:pt>
                <c:pt idx="58">
                  <c:v>4.9999999999999933E-2</c:v>
                </c:pt>
                <c:pt idx="59">
                  <c:v>5.0000000000000044E-2</c:v>
                </c:pt>
                <c:pt idx="60">
                  <c:v>5.0000000000000044E-2</c:v>
                </c:pt>
                <c:pt idx="61">
                  <c:v>5.0000000000000044E-2</c:v>
                </c:pt>
                <c:pt idx="62">
                  <c:v>4.9999999999999822E-2</c:v>
                </c:pt>
                <c:pt idx="63">
                  <c:v>5.0000000000000044E-2</c:v>
                </c:pt>
                <c:pt idx="64">
                  <c:v>5.0000000000000044E-2</c:v>
                </c:pt>
                <c:pt idx="65">
                  <c:v>5.0000000000000044E-2</c:v>
                </c:pt>
                <c:pt idx="66">
                  <c:v>5.0000000000000044E-2</c:v>
                </c:pt>
                <c:pt idx="67">
                  <c:v>4.9999999999999822E-2</c:v>
                </c:pt>
                <c:pt idx="68">
                  <c:v>5.0000000000000044E-2</c:v>
                </c:pt>
                <c:pt idx="69">
                  <c:v>5.0000000000000044E-2</c:v>
                </c:pt>
                <c:pt idx="70">
                  <c:v>5.0000000000000044E-2</c:v>
                </c:pt>
                <c:pt idx="71">
                  <c:v>5.0000000000000044E-2</c:v>
                </c:pt>
                <c:pt idx="72">
                  <c:v>4.9999999999999822E-2</c:v>
                </c:pt>
                <c:pt idx="73">
                  <c:v>5.0000000000000044E-2</c:v>
                </c:pt>
                <c:pt idx="74">
                  <c:v>5.0000000000000044E-2</c:v>
                </c:pt>
                <c:pt idx="75">
                  <c:v>5.0000000000000044E-2</c:v>
                </c:pt>
                <c:pt idx="76">
                  <c:v>5.0000000000000044E-2</c:v>
                </c:pt>
                <c:pt idx="77">
                  <c:v>4.9999999999999822E-2</c:v>
                </c:pt>
                <c:pt idx="78">
                  <c:v>5.0000000000000044E-2</c:v>
                </c:pt>
                <c:pt idx="79">
                  <c:v>5.0000000000000044E-2</c:v>
                </c:pt>
                <c:pt idx="80">
                  <c:v>4.9999999999999822E-2</c:v>
                </c:pt>
                <c:pt idx="81">
                  <c:v>5.0000000000000266E-2</c:v>
                </c:pt>
                <c:pt idx="82">
                  <c:v>4.9999999999999822E-2</c:v>
                </c:pt>
                <c:pt idx="83">
                  <c:v>5.0000000000000266E-2</c:v>
                </c:pt>
                <c:pt idx="84">
                  <c:v>4.9999999999999822E-2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6-45BA-8E7F-CFB8FED6570A}"/>
            </c:ext>
          </c:extLst>
        </c:ser>
        <c:ser>
          <c:idx val="2"/>
          <c:order val="2"/>
          <c:tx>
            <c:strRef>
              <c:f>Rectangulos!$C$2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Rectangulos!$C$3:$C$88</c:f>
              <c:numCache>
                <c:formatCode>General</c:formatCode>
                <c:ptCount val="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B6-45BA-8E7F-CFB8FED6570A}"/>
            </c:ext>
          </c:extLst>
        </c:ser>
        <c:ser>
          <c:idx val="3"/>
          <c:order val="3"/>
          <c:tx>
            <c:strRef>
              <c:f>Rectangulos!$D$2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Rectangulos!$D$3:$D$88</c:f>
              <c:numCache>
                <c:formatCode>General</c:formatCode>
                <c:ptCount val="86"/>
                <c:pt idx="0">
                  <c:v>-2</c:v>
                </c:pt>
                <c:pt idx="1">
                  <c:v>-1.95</c:v>
                </c:pt>
                <c:pt idx="2">
                  <c:v>-1.9</c:v>
                </c:pt>
                <c:pt idx="3">
                  <c:v>-1.85</c:v>
                </c:pt>
                <c:pt idx="4">
                  <c:v>-1.8</c:v>
                </c:pt>
                <c:pt idx="5">
                  <c:v>-1.75</c:v>
                </c:pt>
                <c:pt idx="6">
                  <c:v>-1.7</c:v>
                </c:pt>
                <c:pt idx="7">
                  <c:v>-1.65</c:v>
                </c:pt>
                <c:pt idx="8">
                  <c:v>-1.6</c:v>
                </c:pt>
                <c:pt idx="9">
                  <c:v>-1.55</c:v>
                </c:pt>
                <c:pt idx="10">
                  <c:v>-1.5</c:v>
                </c:pt>
                <c:pt idx="11">
                  <c:v>-1.45</c:v>
                </c:pt>
                <c:pt idx="12">
                  <c:v>-1.4</c:v>
                </c:pt>
                <c:pt idx="13">
                  <c:v>-1.35</c:v>
                </c:pt>
                <c:pt idx="14">
                  <c:v>-1.3</c:v>
                </c:pt>
                <c:pt idx="15">
                  <c:v>-1.25</c:v>
                </c:pt>
                <c:pt idx="16">
                  <c:v>-1.2</c:v>
                </c:pt>
                <c:pt idx="17">
                  <c:v>-1.1499999999999999</c:v>
                </c:pt>
                <c:pt idx="18">
                  <c:v>-1.1000000000000001</c:v>
                </c:pt>
                <c:pt idx="19">
                  <c:v>-1.05</c:v>
                </c:pt>
                <c:pt idx="20">
                  <c:v>-1</c:v>
                </c:pt>
                <c:pt idx="21">
                  <c:v>-0.95</c:v>
                </c:pt>
                <c:pt idx="22">
                  <c:v>-0.9</c:v>
                </c:pt>
                <c:pt idx="23">
                  <c:v>-0.85</c:v>
                </c:pt>
                <c:pt idx="24">
                  <c:v>-0.8</c:v>
                </c:pt>
                <c:pt idx="25">
                  <c:v>-0.75</c:v>
                </c:pt>
                <c:pt idx="26">
                  <c:v>-0.7</c:v>
                </c:pt>
                <c:pt idx="27">
                  <c:v>-0.65</c:v>
                </c:pt>
                <c:pt idx="28">
                  <c:v>-0.6</c:v>
                </c:pt>
                <c:pt idx="29">
                  <c:v>-0.55000000000000004</c:v>
                </c:pt>
                <c:pt idx="30">
                  <c:v>-0.5</c:v>
                </c:pt>
                <c:pt idx="31">
                  <c:v>-0.45</c:v>
                </c:pt>
                <c:pt idx="32">
                  <c:v>-0.4</c:v>
                </c:pt>
                <c:pt idx="33">
                  <c:v>-0.35</c:v>
                </c:pt>
                <c:pt idx="34">
                  <c:v>-0.3</c:v>
                </c:pt>
                <c:pt idx="35">
                  <c:v>-0.25</c:v>
                </c:pt>
                <c:pt idx="36">
                  <c:v>-0.2</c:v>
                </c:pt>
                <c:pt idx="37">
                  <c:v>-0.15</c:v>
                </c:pt>
                <c:pt idx="38">
                  <c:v>-0.1</c:v>
                </c:pt>
                <c:pt idx="39">
                  <c:v>-0.05</c:v>
                </c:pt>
                <c:pt idx="40">
                  <c:v>0</c:v>
                </c:pt>
                <c:pt idx="41">
                  <c:v>0.05</c:v>
                </c:pt>
                <c:pt idx="42">
                  <c:v>0.1</c:v>
                </c:pt>
                <c:pt idx="43">
                  <c:v>0.15</c:v>
                </c:pt>
                <c:pt idx="44">
                  <c:v>0.2</c:v>
                </c:pt>
                <c:pt idx="45">
                  <c:v>0.25</c:v>
                </c:pt>
                <c:pt idx="46">
                  <c:v>0.3</c:v>
                </c:pt>
                <c:pt idx="47">
                  <c:v>0.35</c:v>
                </c:pt>
                <c:pt idx="48">
                  <c:v>0.4</c:v>
                </c:pt>
                <c:pt idx="49">
                  <c:v>0.45</c:v>
                </c:pt>
                <c:pt idx="50">
                  <c:v>0.5</c:v>
                </c:pt>
                <c:pt idx="51">
                  <c:v>0.55000000000000004</c:v>
                </c:pt>
                <c:pt idx="52">
                  <c:v>0.6</c:v>
                </c:pt>
                <c:pt idx="53">
                  <c:v>0.65</c:v>
                </c:pt>
                <c:pt idx="54">
                  <c:v>0.7</c:v>
                </c:pt>
                <c:pt idx="55">
                  <c:v>0.75</c:v>
                </c:pt>
                <c:pt idx="56">
                  <c:v>0.8</c:v>
                </c:pt>
                <c:pt idx="57">
                  <c:v>0.85</c:v>
                </c:pt>
                <c:pt idx="58">
                  <c:v>0.9</c:v>
                </c:pt>
                <c:pt idx="59">
                  <c:v>0.95</c:v>
                </c:pt>
                <c:pt idx="60">
                  <c:v>1</c:v>
                </c:pt>
                <c:pt idx="61">
                  <c:v>1.05</c:v>
                </c:pt>
                <c:pt idx="62">
                  <c:v>1.1000000000000001</c:v>
                </c:pt>
                <c:pt idx="63">
                  <c:v>1.1499999999999999</c:v>
                </c:pt>
                <c:pt idx="64">
                  <c:v>1.2</c:v>
                </c:pt>
                <c:pt idx="65">
                  <c:v>1.25</c:v>
                </c:pt>
                <c:pt idx="66">
                  <c:v>1.3</c:v>
                </c:pt>
                <c:pt idx="67">
                  <c:v>1.35</c:v>
                </c:pt>
                <c:pt idx="68">
                  <c:v>1.4</c:v>
                </c:pt>
                <c:pt idx="69">
                  <c:v>1.45</c:v>
                </c:pt>
                <c:pt idx="70">
                  <c:v>1.5</c:v>
                </c:pt>
                <c:pt idx="71">
                  <c:v>1.55</c:v>
                </c:pt>
                <c:pt idx="72">
                  <c:v>1.6</c:v>
                </c:pt>
                <c:pt idx="73">
                  <c:v>1.65</c:v>
                </c:pt>
                <c:pt idx="74">
                  <c:v>1.7</c:v>
                </c:pt>
                <c:pt idx="75">
                  <c:v>1.75</c:v>
                </c:pt>
                <c:pt idx="76">
                  <c:v>1.8</c:v>
                </c:pt>
                <c:pt idx="77">
                  <c:v>1.85</c:v>
                </c:pt>
                <c:pt idx="78">
                  <c:v>1.9</c:v>
                </c:pt>
                <c:pt idx="79">
                  <c:v>1.95</c:v>
                </c:pt>
                <c:pt idx="80">
                  <c:v>2</c:v>
                </c:pt>
                <c:pt idx="81">
                  <c:v>2.0499999999999998</c:v>
                </c:pt>
                <c:pt idx="82">
                  <c:v>2.1</c:v>
                </c:pt>
                <c:pt idx="83">
                  <c:v>2.15</c:v>
                </c:pt>
                <c:pt idx="84">
                  <c:v>2.2000000000000002</c:v>
                </c:pt>
                <c:pt idx="85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B6-45BA-8E7F-CFB8FED6570A}"/>
            </c:ext>
          </c:extLst>
        </c:ser>
        <c:ser>
          <c:idx val="4"/>
          <c:order val="4"/>
          <c:tx>
            <c:strRef>
              <c:f>Rectangulos!$E$2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Rectangulos!$E$3:$E$88</c:f>
              <c:numCache>
                <c:formatCode>General</c:formatCode>
                <c:ptCount val="86"/>
                <c:pt idx="0">
                  <c:v>-2.8</c:v>
                </c:pt>
                <c:pt idx="1">
                  <c:v>-1.2325740000000001</c:v>
                </c:pt>
                <c:pt idx="2">
                  <c:v>0.124824</c:v>
                </c:pt>
                <c:pt idx="3">
                  <c:v>1.2936049999999999</c:v>
                </c:pt>
                <c:pt idx="4">
                  <c:v>2.293555</c:v>
                </c:pt>
                <c:pt idx="5">
                  <c:v>3.1429200000000002</c:v>
                </c:pt>
                <c:pt idx="6">
                  <c:v>3.8584860000000001</c:v>
                </c:pt>
                <c:pt idx="7">
                  <c:v>4.4556630000000004</c:v>
                </c:pt>
                <c:pt idx="8">
                  <c:v>4.9485570000000001</c:v>
                </c:pt>
                <c:pt idx="9">
                  <c:v>5.3500509999999997</c:v>
                </c:pt>
                <c:pt idx="10">
                  <c:v>5.671875</c:v>
                </c:pt>
                <c:pt idx="11">
                  <c:v>5.924677</c:v>
                </c:pt>
                <c:pt idx="12">
                  <c:v>6.118093</c:v>
                </c:pt>
                <c:pt idx="13">
                  <c:v>6.2608110000000003</c:v>
                </c:pt>
                <c:pt idx="14">
                  <c:v>6.3606379999999998</c:v>
                </c:pt>
                <c:pt idx="15">
                  <c:v>6.4245609999999997</c:v>
                </c:pt>
                <c:pt idx="16">
                  <c:v>6.4588029999999996</c:v>
                </c:pt>
                <c:pt idx="17">
                  <c:v>6.4688879999999997</c:v>
                </c:pt>
                <c:pt idx="18">
                  <c:v>6.4596879999999999</c:v>
                </c:pt>
                <c:pt idx="19">
                  <c:v>6.4354810000000002</c:v>
                </c:pt>
                <c:pt idx="20">
                  <c:v>6.4</c:v>
                </c:pt>
                <c:pt idx="21">
                  <c:v>6.3564819999999997</c:v>
                </c:pt>
                <c:pt idx="22">
                  <c:v>6.3077120000000004</c:v>
                </c:pt>
                <c:pt idx="23">
                  <c:v>6.2560700000000002</c:v>
                </c:pt>
                <c:pt idx="24">
                  <c:v>6.2035710000000002</c:v>
                </c:pt>
                <c:pt idx="25">
                  <c:v>6.151904</c:v>
                </c:pt>
                <c:pt idx="26">
                  <c:v>6.1024700000000003</c:v>
                </c:pt>
                <c:pt idx="27">
                  <c:v>6.0564159999999996</c:v>
                </c:pt>
                <c:pt idx="28">
                  <c:v>6.0146689999999996</c:v>
                </c:pt>
                <c:pt idx="29">
                  <c:v>5.9779640000000001</c:v>
                </c:pt>
                <c:pt idx="30">
                  <c:v>5.9468750000000004</c:v>
                </c:pt>
                <c:pt idx="31">
                  <c:v>5.9218390000000003</c:v>
                </c:pt>
                <c:pt idx="32">
                  <c:v>5.903181</c:v>
                </c:pt>
                <c:pt idx="33">
                  <c:v>5.8911319999999998</c:v>
                </c:pt>
                <c:pt idx="34">
                  <c:v>5.8858540000000001</c:v>
                </c:pt>
                <c:pt idx="35">
                  <c:v>5.8874510000000004</c:v>
                </c:pt>
                <c:pt idx="36">
                  <c:v>5.8959869999999999</c:v>
                </c:pt>
                <c:pt idx="37">
                  <c:v>5.9114979999999999</c:v>
                </c:pt>
                <c:pt idx="38">
                  <c:v>5.9340000000000002</c:v>
                </c:pt>
                <c:pt idx="39">
                  <c:v>5.9634999999999998</c:v>
                </c:pt>
                <c:pt idx="40">
                  <c:v>6</c:v>
                </c:pt>
                <c:pt idx="41">
                  <c:v>6.0434999999999999</c:v>
                </c:pt>
                <c:pt idx="42">
                  <c:v>6.0940000000000003</c:v>
                </c:pt>
                <c:pt idx="43">
                  <c:v>6.1514980000000001</c:v>
                </c:pt>
                <c:pt idx="44">
                  <c:v>6.2159870000000002</c:v>
                </c:pt>
                <c:pt idx="45">
                  <c:v>6.2874509999999999</c:v>
                </c:pt>
                <c:pt idx="46">
                  <c:v>6.3658539999999997</c:v>
                </c:pt>
                <c:pt idx="47">
                  <c:v>6.4511320000000003</c:v>
                </c:pt>
                <c:pt idx="48">
                  <c:v>6.5431809999999997</c:v>
                </c:pt>
                <c:pt idx="49">
                  <c:v>6.641839</c:v>
                </c:pt>
                <c:pt idx="50">
                  <c:v>6.7468750000000002</c:v>
                </c:pt>
                <c:pt idx="51">
                  <c:v>6.8579639999999999</c:v>
                </c:pt>
                <c:pt idx="52">
                  <c:v>6.9746689999999996</c:v>
                </c:pt>
                <c:pt idx="53">
                  <c:v>7.0964159999999996</c:v>
                </c:pt>
                <c:pt idx="54">
                  <c:v>7.2224700000000004</c:v>
                </c:pt>
                <c:pt idx="55">
                  <c:v>7.3519040000000002</c:v>
                </c:pt>
                <c:pt idx="56">
                  <c:v>7.4835710000000004</c:v>
                </c:pt>
                <c:pt idx="57">
                  <c:v>7.6160699999999997</c:v>
                </c:pt>
                <c:pt idx="58">
                  <c:v>7.7477119999999999</c:v>
                </c:pt>
                <c:pt idx="59">
                  <c:v>7.8764820000000002</c:v>
                </c:pt>
                <c:pt idx="60">
                  <c:v>8</c:v>
                </c:pt>
                <c:pt idx="61">
                  <c:v>8.1154810000000008</c:v>
                </c:pt>
                <c:pt idx="62">
                  <c:v>8.2196879999999997</c:v>
                </c:pt>
                <c:pt idx="63">
                  <c:v>8.3088879999999996</c:v>
                </c:pt>
                <c:pt idx="64">
                  <c:v>8.3788029999999996</c:v>
                </c:pt>
                <c:pt idx="65">
                  <c:v>8.4245610000000006</c:v>
                </c:pt>
                <c:pt idx="66">
                  <c:v>8.4406379999999999</c:v>
                </c:pt>
                <c:pt idx="67">
                  <c:v>8.4208110000000005</c:v>
                </c:pt>
                <c:pt idx="68">
                  <c:v>8.3580930000000002</c:v>
                </c:pt>
                <c:pt idx="69">
                  <c:v>8.2446769999999994</c:v>
                </c:pt>
                <c:pt idx="70">
                  <c:v>8.0718750000000004</c:v>
                </c:pt>
                <c:pt idx="71">
                  <c:v>7.8300510000000001</c:v>
                </c:pt>
                <c:pt idx="72">
                  <c:v>7.5085569999999997</c:v>
                </c:pt>
                <c:pt idx="73">
                  <c:v>7.0956630000000001</c:v>
                </c:pt>
                <c:pt idx="74">
                  <c:v>6.5784859999999998</c:v>
                </c:pt>
                <c:pt idx="75">
                  <c:v>5.94292</c:v>
                </c:pt>
                <c:pt idx="76">
                  <c:v>5.1735550000000003</c:v>
                </c:pt>
                <c:pt idx="77">
                  <c:v>4.2536050000000003</c:v>
                </c:pt>
                <c:pt idx="78">
                  <c:v>3.1648239999999999</c:v>
                </c:pt>
                <c:pt idx="79">
                  <c:v>1.887426</c:v>
                </c:pt>
                <c:pt idx="80">
                  <c:v>0.4</c:v>
                </c:pt>
                <c:pt idx="81">
                  <c:v>-1.320576</c:v>
                </c:pt>
                <c:pt idx="82">
                  <c:v>-3.2992240000000002</c:v>
                </c:pt>
                <c:pt idx="83">
                  <c:v>-5.5627599999999999</c:v>
                </c:pt>
                <c:pt idx="84">
                  <c:v>-8.1399810000000006</c:v>
                </c:pt>
                <c:pt idx="85">
                  <c:v>-11.061768000000001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B6-45BA-8E7F-CFB8FED6570A}"/>
            </c:ext>
          </c:extLst>
        </c:ser>
        <c:ser>
          <c:idx val="5"/>
          <c:order val="5"/>
          <c:tx>
            <c:strRef>
              <c:f>Rectangulos!$F$2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Rectangulos!$F$3:$F$88</c:f>
              <c:numCache>
                <c:formatCode>General</c:formatCode>
                <c:ptCount val="86"/>
                <c:pt idx="0">
                  <c:v>-0.13999999999999999</c:v>
                </c:pt>
                <c:pt idx="1">
                  <c:v>-6.1628700000000008E-2</c:v>
                </c:pt>
                <c:pt idx="2">
                  <c:v>6.2412000000000006E-3</c:v>
                </c:pt>
                <c:pt idx="3">
                  <c:v>6.4680249999999995E-2</c:v>
                </c:pt>
                <c:pt idx="4">
                  <c:v>0.11467775000000001</c:v>
                </c:pt>
                <c:pt idx="5">
                  <c:v>0.15714600000000001</c:v>
                </c:pt>
                <c:pt idx="6">
                  <c:v>0.19292430000000002</c:v>
                </c:pt>
                <c:pt idx="7">
                  <c:v>0.22278315000000004</c:v>
                </c:pt>
                <c:pt idx="8">
                  <c:v>0.24742785</c:v>
                </c:pt>
                <c:pt idx="9">
                  <c:v>0.26750255000000001</c:v>
                </c:pt>
                <c:pt idx="10">
                  <c:v>0.28359375000000003</c:v>
                </c:pt>
                <c:pt idx="11">
                  <c:v>0.29623385000000002</c:v>
                </c:pt>
                <c:pt idx="12">
                  <c:v>0.30590465</c:v>
                </c:pt>
                <c:pt idx="13">
                  <c:v>0.31304055000000003</c:v>
                </c:pt>
                <c:pt idx="14">
                  <c:v>0.31803190000000003</c:v>
                </c:pt>
                <c:pt idx="15">
                  <c:v>0.32122804999999999</c:v>
                </c:pt>
                <c:pt idx="16">
                  <c:v>0.32294014999999998</c:v>
                </c:pt>
                <c:pt idx="17">
                  <c:v>0.32344440000000002</c:v>
                </c:pt>
                <c:pt idx="18">
                  <c:v>0.3229844</c:v>
                </c:pt>
                <c:pt idx="19">
                  <c:v>0.32177405000000003</c:v>
                </c:pt>
                <c:pt idx="20">
                  <c:v>0.32000000000000006</c:v>
                </c:pt>
                <c:pt idx="21">
                  <c:v>0.3178241</c:v>
                </c:pt>
                <c:pt idx="22">
                  <c:v>0.31538560000000004</c:v>
                </c:pt>
                <c:pt idx="23">
                  <c:v>0.31280350000000001</c:v>
                </c:pt>
                <c:pt idx="24">
                  <c:v>0.31017855000000005</c:v>
                </c:pt>
                <c:pt idx="25">
                  <c:v>0.30759520000000001</c:v>
                </c:pt>
                <c:pt idx="26">
                  <c:v>0.30512350000000005</c:v>
                </c:pt>
                <c:pt idx="27">
                  <c:v>0.3028208</c:v>
                </c:pt>
                <c:pt idx="28">
                  <c:v>0.30073345000000001</c:v>
                </c:pt>
                <c:pt idx="29">
                  <c:v>0.2988982</c:v>
                </c:pt>
                <c:pt idx="30">
                  <c:v>0.29734375000000002</c:v>
                </c:pt>
                <c:pt idx="31">
                  <c:v>0.29609195000000005</c:v>
                </c:pt>
                <c:pt idx="32">
                  <c:v>0.29515905000000003</c:v>
                </c:pt>
                <c:pt idx="33">
                  <c:v>0.2945566</c:v>
                </c:pt>
                <c:pt idx="34">
                  <c:v>0.29429270000000002</c:v>
                </c:pt>
                <c:pt idx="35">
                  <c:v>0.29437255000000001</c:v>
                </c:pt>
                <c:pt idx="36">
                  <c:v>0.29479935000000002</c:v>
                </c:pt>
                <c:pt idx="37">
                  <c:v>0.29557490000000003</c:v>
                </c:pt>
                <c:pt idx="38">
                  <c:v>0.29670000000000002</c:v>
                </c:pt>
                <c:pt idx="39">
                  <c:v>0.29817500000000002</c:v>
                </c:pt>
                <c:pt idx="40">
                  <c:v>0.30000000000000004</c:v>
                </c:pt>
                <c:pt idx="41">
                  <c:v>0.30217500000000003</c:v>
                </c:pt>
                <c:pt idx="42">
                  <c:v>0.30470000000000003</c:v>
                </c:pt>
                <c:pt idx="43">
                  <c:v>0.30757490000000004</c:v>
                </c:pt>
                <c:pt idx="44">
                  <c:v>0.31079935000000003</c:v>
                </c:pt>
                <c:pt idx="45">
                  <c:v>0.31437255000000003</c:v>
                </c:pt>
                <c:pt idx="46">
                  <c:v>0.31829269999999998</c:v>
                </c:pt>
                <c:pt idx="47">
                  <c:v>0.32255660000000003</c:v>
                </c:pt>
                <c:pt idx="48">
                  <c:v>0.32715905000000001</c:v>
                </c:pt>
                <c:pt idx="49">
                  <c:v>0.33209195000000002</c:v>
                </c:pt>
                <c:pt idx="50">
                  <c:v>0.33734375000000005</c:v>
                </c:pt>
                <c:pt idx="51">
                  <c:v>0.34289820000000004</c:v>
                </c:pt>
                <c:pt idx="52">
                  <c:v>0.34873345</c:v>
                </c:pt>
                <c:pt idx="53">
                  <c:v>0.35482079999999999</c:v>
                </c:pt>
                <c:pt idx="54">
                  <c:v>0.36112350000000004</c:v>
                </c:pt>
                <c:pt idx="55">
                  <c:v>0.36759520000000001</c:v>
                </c:pt>
                <c:pt idx="56">
                  <c:v>0.37417855000000005</c:v>
                </c:pt>
                <c:pt idx="57">
                  <c:v>0.38080350000000002</c:v>
                </c:pt>
                <c:pt idx="58">
                  <c:v>0.3873856</c:v>
                </c:pt>
                <c:pt idx="59">
                  <c:v>0.39382410000000001</c:v>
                </c:pt>
                <c:pt idx="60">
                  <c:v>0.4</c:v>
                </c:pt>
                <c:pt idx="61">
                  <c:v>0.40577405000000005</c:v>
                </c:pt>
                <c:pt idx="62">
                  <c:v>0.41098440000000003</c:v>
                </c:pt>
                <c:pt idx="63">
                  <c:v>0.41544439999999999</c:v>
                </c:pt>
                <c:pt idx="64">
                  <c:v>0.41894015000000001</c:v>
                </c:pt>
                <c:pt idx="65">
                  <c:v>0.42122805000000008</c:v>
                </c:pt>
                <c:pt idx="66">
                  <c:v>0.42203190000000002</c:v>
                </c:pt>
                <c:pt idx="67">
                  <c:v>0.42104055000000007</c:v>
                </c:pt>
                <c:pt idx="68">
                  <c:v>0.41790465000000004</c:v>
                </c:pt>
                <c:pt idx="69">
                  <c:v>0.41223385000000001</c:v>
                </c:pt>
                <c:pt idx="70">
                  <c:v>0.40359375000000003</c:v>
                </c:pt>
                <c:pt idx="71">
                  <c:v>0.39150255</c:v>
                </c:pt>
                <c:pt idx="72">
                  <c:v>0.37542785000000001</c:v>
                </c:pt>
                <c:pt idx="73">
                  <c:v>0.35478315000000005</c:v>
                </c:pt>
                <c:pt idx="74">
                  <c:v>0.3289243</c:v>
                </c:pt>
                <c:pt idx="75">
                  <c:v>0.29714600000000002</c:v>
                </c:pt>
                <c:pt idx="76">
                  <c:v>0.25867775000000004</c:v>
                </c:pt>
                <c:pt idx="77">
                  <c:v>0.21268025000000002</c:v>
                </c:pt>
                <c:pt idx="78">
                  <c:v>0.1582412</c:v>
                </c:pt>
                <c:pt idx="79">
                  <c:v>9.4371300000000005E-2</c:v>
                </c:pt>
                <c:pt idx="80">
                  <c:v>2.0000000000000004E-2</c:v>
                </c:pt>
                <c:pt idx="81">
                  <c:v>-6.6028799999999999E-2</c:v>
                </c:pt>
                <c:pt idx="82">
                  <c:v>-0.16496120000000003</c:v>
                </c:pt>
                <c:pt idx="83">
                  <c:v>-0.278138</c:v>
                </c:pt>
                <c:pt idx="84">
                  <c:v>-0.40699905000000003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B6-45BA-8E7F-CFB8FED6570A}"/>
            </c:ext>
          </c:extLst>
        </c:ser>
        <c:ser>
          <c:idx val="6"/>
          <c:order val="6"/>
          <c:tx>
            <c:strRef>
              <c:f>Rectangulos!$G$2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Rectangulos!$G$3:$G$88</c:f>
              <c:numCache>
                <c:formatCode>General</c:formatCode>
                <c:ptCount val="86"/>
                <c:pt idx="1">
                  <c:v>-6.1628700000000008E-2</c:v>
                </c:pt>
                <c:pt idx="2">
                  <c:v>6.2412000000000006E-3</c:v>
                </c:pt>
                <c:pt idx="3">
                  <c:v>6.4680249999999995E-2</c:v>
                </c:pt>
                <c:pt idx="4">
                  <c:v>0.11467775000000001</c:v>
                </c:pt>
                <c:pt idx="5">
                  <c:v>0.15714600000000001</c:v>
                </c:pt>
                <c:pt idx="6">
                  <c:v>0.19292430000000002</c:v>
                </c:pt>
                <c:pt idx="7">
                  <c:v>0.22278315000000004</c:v>
                </c:pt>
                <c:pt idx="8">
                  <c:v>0.24742785</c:v>
                </c:pt>
                <c:pt idx="9">
                  <c:v>0.26750255000000001</c:v>
                </c:pt>
                <c:pt idx="10">
                  <c:v>0.28359375000000003</c:v>
                </c:pt>
                <c:pt idx="11">
                  <c:v>0.29623385000000002</c:v>
                </c:pt>
                <c:pt idx="12">
                  <c:v>0.30590465</c:v>
                </c:pt>
                <c:pt idx="13">
                  <c:v>0.31304055000000003</c:v>
                </c:pt>
                <c:pt idx="14">
                  <c:v>0.31803190000000003</c:v>
                </c:pt>
                <c:pt idx="15">
                  <c:v>0.32122804999999999</c:v>
                </c:pt>
                <c:pt idx="16">
                  <c:v>0.32294014999999998</c:v>
                </c:pt>
                <c:pt idx="17">
                  <c:v>0.32344440000000002</c:v>
                </c:pt>
                <c:pt idx="18">
                  <c:v>0.3229844</c:v>
                </c:pt>
                <c:pt idx="19">
                  <c:v>0.32177405000000003</c:v>
                </c:pt>
                <c:pt idx="20">
                  <c:v>0.32000000000000006</c:v>
                </c:pt>
                <c:pt idx="21">
                  <c:v>0.3178241</c:v>
                </c:pt>
                <c:pt idx="22">
                  <c:v>0.31538560000000004</c:v>
                </c:pt>
                <c:pt idx="23">
                  <c:v>0.31280350000000001</c:v>
                </c:pt>
                <c:pt idx="24">
                  <c:v>0.31017855000000005</c:v>
                </c:pt>
                <c:pt idx="25">
                  <c:v>0.30759520000000001</c:v>
                </c:pt>
                <c:pt idx="26">
                  <c:v>0.30512350000000005</c:v>
                </c:pt>
                <c:pt idx="27">
                  <c:v>0.3028208</c:v>
                </c:pt>
                <c:pt idx="28">
                  <c:v>0.30073345000000001</c:v>
                </c:pt>
                <c:pt idx="29">
                  <c:v>0.2988982</c:v>
                </c:pt>
                <c:pt idx="30">
                  <c:v>0.29734375000000002</c:v>
                </c:pt>
                <c:pt idx="31">
                  <c:v>0.29609195000000005</c:v>
                </c:pt>
                <c:pt idx="32">
                  <c:v>0.29515905000000003</c:v>
                </c:pt>
                <c:pt idx="33">
                  <c:v>0.2945566</c:v>
                </c:pt>
                <c:pt idx="34">
                  <c:v>0.29429270000000002</c:v>
                </c:pt>
                <c:pt idx="35">
                  <c:v>0.29437255000000001</c:v>
                </c:pt>
                <c:pt idx="36">
                  <c:v>0.29479935000000002</c:v>
                </c:pt>
                <c:pt idx="37">
                  <c:v>0.29557490000000003</c:v>
                </c:pt>
                <c:pt idx="38">
                  <c:v>0.29670000000000002</c:v>
                </c:pt>
                <c:pt idx="39">
                  <c:v>0.29817500000000002</c:v>
                </c:pt>
                <c:pt idx="40">
                  <c:v>0.30000000000000004</c:v>
                </c:pt>
                <c:pt idx="41">
                  <c:v>0.30217500000000003</c:v>
                </c:pt>
                <c:pt idx="42">
                  <c:v>0.30470000000000003</c:v>
                </c:pt>
                <c:pt idx="43">
                  <c:v>0.30757490000000004</c:v>
                </c:pt>
                <c:pt idx="44">
                  <c:v>0.31079935000000003</c:v>
                </c:pt>
                <c:pt idx="45">
                  <c:v>0.31437255000000003</c:v>
                </c:pt>
                <c:pt idx="46">
                  <c:v>0.31829269999999998</c:v>
                </c:pt>
                <c:pt idx="47">
                  <c:v>0.32255660000000003</c:v>
                </c:pt>
                <c:pt idx="48">
                  <c:v>0.32715905000000001</c:v>
                </c:pt>
                <c:pt idx="49">
                  <c:v>0.33209195000000002</c:v>
                </c:pt>
                <c:pt idx="50">
                  <c:v>0.33734375000000005</c:v>
                </c:pt>
                <c:pt idx="51">
                  <c:v>0.34289820000000004</c:v>
                </c:pt>
                <c:pt idx="52">
                  <c:v>0.34873345</c:v>
                </c:pt>
                <c:pt idx="53">
                  <c:v>0.35482079999999999</c:v>
                </c:pt>
                <c:pt idx="54">
                  <c:v>0.36112350000000004</c:v>
                </c:pt>
                <c:pt idx="55">
                  <c:v>0.36759520000000001</c:v>
                </c:pt>
                <c:pt idx="56">
                  <c:v>0.37417855000000005</c:v>
                </c:pt>
                <c:pt idx="57">
                  <c:v>0.38080350000000002</c:v>
                </c:pt>
                <c:pt idx="58">
                  <c:v>0.3873856</c:v>
                </c:pt>
                <c:pt idx="59">
                  <c:v>0.39382410000000001</c:v>
                </c:pt>
                <c:pt idx="60">
                  <c:v>0.4</c:v>
                </c:pt>
                <c:pt idx="61">
                  <c:v>0.40577405000000005</c:v>
                </c:pt>
                <c:pt idx="62">
                  <c:v>0.41098440000000003</c:v>
                </c:pt>
                <c:pt idx="63">
                  <c:v>0.41544439999999999</c:v>
                </c:pt>
                <c:pt idx="64">
                  <c:v>0.41894015000000001</c:v>
                </c:pt>
                <c:pt idx="65">
                  <c:v>0.42122805000000008</c:v>
                </c:pt>
                <c:pt idx="66">
                  <c:v>0.42203190000000002</c:v>
                </c:pt>
                <c:pt idx="67">
                  <c:v>0.42104055000000007</c:v>
                </c:pt>
                <c:pt idx="68">
                  <c:v>0.41790465000000004</c:v>
                </c:pt>
                <c:pt idx="69">
                  <c:v>0.41223385000000001</c:v>
                </c:pt>
                <c:pt idx="70">
                  <c:v>0.40359375000000003</c:v>
                </c:pt>
                <c:pt idx="71">
                  <c:v>0.39150255</c:v>
                </c:pt>
                <c:pt idx="72">
                  <c:v>0.37542785000000001</c:v>
                </c:pt>
                <c:pt idx="73">
                  <c:v>0.35478315000000005</c:v>
                </c:pt>
                <c:pt idx="74">
                  <c:v>0.3289243</c:v>
                </c:pt>
                <c:pt idx="75">
                  <c:v>0.29714600000000002</c:v>
                </c:pt>
                <c:pt idx="76">
                  <c:v>0.25867775000000004</c:v>
                </c:pt>
                <c:pt idx="77">
                  <c:v>0.21268025000000002</c:v>
                </c:pt>
                <c:pt idx="78">
                  <c:v>0.1582412</c:v>
                </c:pt>
                <c:pt idx="79">
                  <c:v>9.4371300000000005E-2</c:v>
                </c:pt>
                <c:pt idx="80">
                  <c:v>2.0000000000000004E-2</c:v>
                </c:pt>
                <c:pt idx="81">
                  <c:v>-6.6028799999999999E-2</c:v>
                </c:pt>
                <c:pt idx="82">
                  <c:v>-0.16496120000000003</c:v>
                </c:pt>
                <c:pt idx="83">
                  <c:v>-0.278138</c:v>
                </c:pt>
                <c:pt idx="84">
                  <c:v>-0.40699905000000003</c:v>
                </c:pt>
                <c:pt idx="85">
                  <c:v>-0.55308840000000004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B6-45BA-8E7F-CFB8FED65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331632"/>
        <c:axId val="295335472"/>
      </c:barChart>
      <c:catAx>
        <c:axId val="295331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5335472"/>
        <c:crosses val="autoZero"/>
        <c:auto val="1"/>
        <c:lblAlgn val="ctr"/>
        <c:lblOffset val="100"/>
        <c:noMultiLvlLbl val="0"/>
      </c:catAx>
      <c:valAx>
        <c:axId val="29533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533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Rectangulos!$L$3:$L$88</c:f>
              <c:numCache>
                <c:formatCode>General</c:formatCode>
                <c:ptCount val="86"/>
                <c:pt idx="0">
                  <c:v>-2</c:v>
                </c:pt>
                <c:pt idx="1">
                  <c:v>-1.95</c:v>
                </c:pt>
                <c:pt idx="2">
                  <c:v>-1.9</c:v>
                </c:pt>
                <c:pt idx="3">
                  <c:v>-1.85</c:v>
                </c:pt>
                <c:pt idx="4">
                  <c:v>-1.8</c:v>
                </c:pt>
                <c:pt idx="5">
                  <c:v>-1.75</c:v>
                </c:pt>
                <c:pt idx="6">
                  <c:v>-1.7</c:v>
                </c:pt>
                <c:pt idx="7">
                  <c:v>-1.65</c:v>
                </c:pt>
                <c:pt idx="8">
                  <c:v>-1.6</c:v>
                </c:pt>
                <c:pt idx="9">
                  <c:v>-1.55</c:v>
                </c:pt>
                <c:pt idx="10">
                  <c:v>-1.5</c:v>
                </c:pt>
                <c:pt idx="11">
                  <c:v>-1.45</c:v>
                </c:pt>
                <c:pt idx="12">
                  <c:v>-1.4</c:v>
                </c:pt>
                <c:pt idx="13">
                  <c:v>-1.35</c:v>
                </c:pt>
                <c:pt idx="14">
                  <c:v>-1.3</c:v>
                </c:pt>
                <c:pt idx="15">
                  <c:v>-1.25</c:v>
                </c:pt>
                <c:pt idx="16">
                  <c:v>-1.2</c:v>
                </c:pt>
                <c:pt idx="17">
                  <c:v>-1.1499999999999999</c:v>
                </c:pt>
                <c:pt idx="18">
                  <c:v>-1.1000000000000001</c:v>
                </c:pt>
                <c:pt idx="19">
                  <c:v>-1.05</c:v>
                </c:pt>
                <c:pt idx="20">
                  <c:v>-1</c:v>
                </c:pt>
                <c:pt idx="21">
                  <c:v>-0.95</c:v>
                </c:pt>
                <c:pt idx="22">
                  <c:v>-0.9</c:v>
                </c:pt>
                <c:pt idx="23">
                  <c:v>-0.85</c:v>
                </c:pt>
                <c:pt idx="24">
                  <c:v>-0.8</c:v>
                </c:pt>
                <c:pt idx="25">
                  <c:v>-0.75</c:v>
                </c:pt>
                <c:pt idx="26">
                  <c:v>-0.7</c:v>
                </c:pt>
                <c:pt idx="27">
                  <c:v>-0.65</c:v>
                </c:pt>
                <c:pt idx="28">
                  <c:v>-0.6</c:v>
                </c:pt>
                <c:pt idx="29">
                  <c:v>-0.55000000000000004</c:v>
                </c:pt>
                <c:pt idx="30">
                  <c:v>-0.5</c:v>
                </c:pt>
                <c:pt idx="31">
                  <c:v>-0.45</c:v>
                </c:pt>
                <c:pt idx="32">
                  <c:v>-0.4</c:v>
                </c:pt>
                <c:pt idx="33">
                  <c:v>-0.35</c:v>
                </c:pt>
                <c:pt idx="34">
                  <c:v>-0.3</c:v>
                </c:pt>
                <c:pt idx="35">
                  <c:v>-0.25</c:v>
                </c:pt>
                <c:pt idx="36">
                  <c:v>-0.2</c:v>
                </c:pt>
                <c:pt idx="37">
                  <c:v>-0.15</c:v>
                </c:pt>
                <c:pt idx="38">
                  <c:v>-0.1</c:v>
                </c:pt>
                <c:pt idx="39">
                  <c:v>-0.05</c:v>
                </c:pt>
                <c:pt idx="40">
                  <c:v>0</c:v>
                </c:pt>
                <c:pt idx="41">
                  <c:v>0.05</c:v>
                </c:pt>
                <c:pt idx="42">
                  <c:v>0.1</c:v>
                </c:pt>
                <c:pt idx="43">
                  <c:v>0.15</c:v>
                </c:pt>
                <c:pt idx="44">
                  <c:v>0.2</c:v>
                </c:pt>
                <c:pt idx="45">
                  <c:v>0.25</c:v>
                </c:pt>
                <c:pt idx="46">
                  <c:v>0.3</c:v>
                </c:pt>
                <c:pt idx="47">
                  <c:v>0.35</c:v>
                </c:pt>
                <c:pt idx="48">
                  <c:v>0.4</c:v>
                </c:pt>
                <c:pt idx="49">
                  <c:v>0.45</c:v>
                </c:pt>
                <c:pt idx="50">
                  <c:v>0.5</c:v>
                </c:pt>
                <c:pt idx="51">
                  <c:v>0.55000000000000004</c:v>
                </c:pt>
                <c:pt idx="52">
                  <c:v>0.6</c:v>
                </c:pt>
                <c:pt idx="53">
                  <c:v>0.65</c:v>
                </c:pt>
                <c:pt idx="54">
                  <c:v>0.7</c:v>
                </c:pt>
                <c:pt idx="55">
                  <c:v>0.75</c:v>
                </c:pt>
                <c:pt idx="56">
                  <c:v>0.8</c:v>
                </c:pt>
                <c:pt idx="57">
                  <c:v>0.85</c:v>
                </c:pt>
                <c:pt idx="58">
                  <c:v>0.9</c:v>
                </c:pt>
                <c:pt idx="59">
                  <c:v>0.95</c:v>
                </c:pt>
                <c:pt idx="60">
                  <c:v>1</c:v>
                </c:pt>
                <c:pt idx="61">
                  <c:v>1.05</c:v>
                </c:pt>
                <c:pt idx="62">
                  <c:v>1.1000000000000001</c:v>
                </c:pt>
                <c:pt idx="63">
                  <c:v>1.1499999999999999</c:v>
                </c:pt>
                <c:pt idx="64">
                  <c:v>1.2</c:v>
                </c:pt>
                <c:pt idx="65">
                  <c:v>1.25</c:v>
                </c:pt>
                <c:pt idx="66">
                  <c:v>1.3</c:v>
                </c:pt>
                <c:pt idx="67">
                  <c:v>1.35</c:v>
                </c:pt>
                <c:pt idx="68">
                  <c:v>1.4</c:v>
                </c:pt>
                <c:pt idx="69">
                  <c:v>1.45</c:v>
                </c:pt>
                <c:pt idx="70">
                  <c:v>1.5</c:v>
                </c:pt>
                <c:pt idx="71">
                  <c:v>1.55</c:v>
                </c:pt>
                <c:pt idx="72">
                  <c:v>1.6</c:v>
                </c:pt>
                <c:pt idx="73">
                  <c:v>1.65</c:v>
                </c:pt>
                <c:pt idx="74">
                  <c:v>1.7</c:v>
                </c:pt>
                <c:pt idx="75">
                  <c:v>1.75</c:v>
                </c:pt>
                <c:pt idx="76">
                  <c:v>1.8</c:v>
                </c:pt>
                <c:pt idx="77">
                  <c:v>1.85</c:v>
                </c:pt>
                <c:pt idx="78">
                  <c:v>1.9</c:v>
                </c:pt>
                <c:pt idx="79">
                  <c:v>1.95</c:v>
                </c:pt>
                <c:pt idx="80">
                  <c:v>2</c:v>
                </c:pt>
                <c:pt idx="81">
                  <c:v>2.0499999999999998</c:v>
                </c:pt>
                <c:pt idx="82">
                  <c:v>2.1</c:v>
                </c:pt>
                <c:pt idx="83">
                  <c:v>2.15</c:v>
                </c:pt>
                <c:pt idx="84">
                  <c:v>2.2000000000000002</c:v>
                </c:pt>
                <c:pt idx="85">
                  <c:v>2.25</c:v>
                </c:pt>
              </c:numCache>
            </c:numRef>
          </c:xVal>
          <c:yVal>
            <c:numRef>
              <c:f>Rectangulos!$M$3:$M$88</c:f>
              <c:numCache>
                <c:formatCode>General</c:formatCode>
                <c:ptCount val="86"/>
                <c:pt idx="0">
                  <c:v>-2.8</c:v>
                </c:pt>
                <c:pt idx="1">
                  <c:v>-1.2325740000000001</c:v>
                </c:pt>
                <c:pt idx="2">
                  <c:v>0.124824</c:v>
                </c:pt>
                <c:pt idx="3">
                  <c:v>1.2936049999999999</c:v>
                </c:pt>
                <c:pt idx="4">
                  <c:v>2.293555</c:v>
                </c:pt>
                <c:pt idx="5">
                  <c:v>3.1429200000000002</c:v>
                </c:pt>
                <c:pt idx="6">
                  <c:v>3.8584860000000001</c:v>
                </c:pt>
                <c:pt idx="7">
                  <c:v>4.4556630000000004</c:v>
                </c:pt>
                <c:pt idx="8">
                  <c:v>4.9485570000000001</c:v>
                </c:pt>
                <c:pt idx="9">
                  <c:v>5.3500509999999997</c:v>
                </c:pt>
                <c:pt idx="10">
                  <c:v>5.671875</c:v>
                </c:pt>
                <c:pt idx="11">
                  <c:v>5.924677</c:v>
                </c:pt>
                <c:pt idx="12">
                  <c:v>6.118093</c:v>
                </c:pt>
                <c:pt idx="13">
                  <c:v>6.2608110000000003</c:v>
                </c:pt>
                <c:pt idx="14">
                  <c:v>6.3606379999999998</c:v>
                </c:pt>
                <c:pt idx="15">
                  <c:v>6.4245609999999997</c:v>
                </c:pt>
                <c:pt idx="16">
                  <c:v>6.4588029999999996</c:v>
                </c:pt>
                <c:pt idx="17">
                  <c:v>6.4688879999999997</c:v>
                </c:pt>
                <c:pt idx="18">
                  <c:v>6.4596879999999999</c:v>
                </c:pt>
                <c:pt idx="19">
                  <c:v>6.4354810000000002</c:v>
                </c:pt>
                <c:pt idx="20">
                  <c:v>6.4</c:v>
                </c:pt>
                <c:pt idx="21">
                  <c:v>6.3564819999999997</c:v>
                </c:pt>
                <c:pt idx="22">
                  <c:v>6.3077120000000004</c:v>
                </c:pt>
                <c:pt idx="23">
                  <c:v>6.2560700000000002</c:v>
                </c:pt>
                <c:pt idx="24">
                  <c:v>6.2035710000000002</c:v>
                </c:pt>
                <c:pt idx="25">
                  <c:v>6.151904</c:v>
                </c:pt>
                <c:pt idx="26">
                  <c:v>6.1024700000000003</c:v>
                </c:pt>
                <c:pt idx="27">
                  <c:v>6.0564159999999996</c:v>
                </c:pt>
                <c:pt idx="28">
                  <c:v>6.0146689999999996</c:v>
                </c:pt>
                <c:pt idx="29">
                  <c:v>5.9779640000000001</c:v>
                </c:pt>
                <c:pt idx="30">
                  <c:v>5.9468750000000004</c:v>
                </c:pt>
                <c:pt idx="31">
                  <c:v>5.9218390000000003</c:v>
                </c:pt>
                <c:pt idx="32">
                  <c:v>5.903181</c:v>
                </c:pt>
                <c:pt idx="33">
                  <c:v>5.8911319999999998</c:v>
                </c:pt>
                <c:pt idx="34">
                  <c:v>5.8858540000000001</c:v>
                </c:pt>
                <c:pt idx="35">
                  <c:v>5.8874510000000004</c:v>
                </c:pt>
                <c:pt idx="36">
                  <c:v>5.8959869999999999</c:v>
                </c:pt>
                <c:pt idx="37">
                  <c:v>5.9114979999999999</c:v>
                </c:pt>
                <c:pt idx="38">
                  <c:v>5.9340000000000002</c:v>
                </c:pt>
                <c:pt idx="39">
                  <c:v>5.9634999999999998</c:v>
                </c:pt>
                <c:pt idx="40">
                  <c:v>6</c:v>
                </c:pt>
                <c:pt idx="41">
                  <c:v>6.0434999999999999</c:v>
                </c:pt>
                <c:pt idx="42">
                  <c:v>6.0940000000000003</c:v>
                </c:pt>
                <c:pt idx="43">
                  <c:v>6.1514980000000001</c:v>
                </c:pt>
                <c:pt idx="44">
                  <c:v>6.2159870000000002</c:v>
                </c:pt>
                <c:pt idx="45">
                  <c:v>6.2874509999999999</c:v>
                </c:pt>
                <c:pt idx="46">
                  <c:v>6.3658539999999997</c:v>
                </c:pt>
                <c:pt idx="47">
                  <c:v>6.4511320000000003</c:v>
                </c:pt>
                <c:pt idx="48">
                  <c:v>6.5431809999999997</c:v>
                </c:pt>
                <c:pt idx="49">
                  <c:v>6.641839</c:v>
                </c:pt>
                <c:pt idx="50">
                  <c:v>6.7468750000000002</c:v>
                </c:pt>
                <c:pt idx="51">
                  <c:v>6.8579639999999999</c:v>
                </c:pt>
                <c:pt idx="52">
                  <c:v>6.9746689999999996</c:v>
                </c:pt>
                <c:pt idx="53">
                  <c:v>7.0964159999999996</c:v>
                </c:pt>
                <c:pt idx="54">
                  <c:v>7.2224700000000004</c:v>
                </c:pt>
                <c:pt idx="55">
                  <c:v>7.3519040000000002</c:v>
                </c:pt>
                <c:pt idx="56">
                  <c:v>7.4835710000000004</c:v>
                </c:pt>
                <c:pt idx="57">
                  <c:v>7.6160699999999997</c:v>
                </c:pt>
                <c:pt idx="58">
                  <c:v>7.7477119999999999</c:v>
                </c:pt>
                <c:pt idx="59">
                  <c:v>7.8764820000000002</c:v>
                </c:pt>
                <c:pt idx="60">
                  <c:v>8</c:v>
                </c:pt>
                <c:pt idx="61">
                  <c:v>8.1154810000000008</c:v>
                </c:pt>
                <c:pt idx="62">
                  <c:v>8.2196879999999997</c:v>
                </c:pt>
                <c:pt idx="63">
                  <c:v>8.3088879999999996</c:v>
                </c:pt>
                <c:pt idx="64">
                  <c:v>8.3788029999999996</c:v>
                </c:pt>
                <c:pt idx="65">
                  <c:v>8.4245610000000006</c:v>
                </c:pt>
                <c:pt idx="66">
                  <c:v>8.4406379999999999</c:v>
                </c:pt>
                <c:pt idx="67">
                  <c:v>8.4208110000000005</c:v>
                </c:pt>
                <c:pt idx="68">
                  <c:v>8.3580930000000002</c:v>
                </c:pt>
                <c:pt idx="69">
                  <c:v>8.2446769999999994</c:v>
                </c:pt>
                <c:pt idx="70">
                  <c:v>8.0718750000000004</c:v>
                </c:pt>
                <c:pt idx="71">
                  <c:v>7.8300510000000001</c:v>
                </c:pt>
                <c:pt idx="72">
                  <c:v>7.5085569999999997</c:v>
                </c:pt>
                <c:pt idx="73">
                  <c:v>7.0956630000000001</c:v>
                </c:pt>
                <c:pt idx="74">
                  <c:v>6.5784859999999998</c:v>
                </c:pt>
                <c:pt idx="75">
                  <c:v>5.94292</c:v>
                </c:pt>
                <c:pt idx="76">
                  <c:v>5.1735550000000003</c:v>
                </c:pt>
                <c:pt idx="77">
                  <c:v>4.2536050000000003</c:v>
                </c:pt>
                <c:pt idx="78">
                  <c:v>3.1648239999999999</c:v>
                </c:pt>
                <c:pt idx="79">
                  <c:v>1.887426</c:v>
                </c:pt>
                <c:pt idx="80">
                  <c:v>0.4</c:v>
                </c:pt>
                <c:pt idx="81">
                  <c:v>-1.320576</c:v>
                </c:pt>
                <c:pt idx="82">
                  <c:v>-3.2992240000000002</c:v>
                </c:pt>
                <c:pt idx="83">
                  <c:v>-5.5627599999999999</c:v>
                </c:pt>
                <c:pt idx="84">
                  <c:v>-8.1399810000000006</c:v>
                </c:pt>
                <c:pt idx="85">
                  <c:v>-11.061768000000001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2C-4BBA-B9DA-5AC19B59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935231"/>
        <c:axId val="971934751"/>
      </c:scatterChart>
      <c:valAx>
        <c:axId val="97193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71934751"/>
        <c:crosses val="autoZero"/>
        <c:crossBetween val="midCat"/>
      </c:valAx>
      <c:valAx>
        <c:axId val="97193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71935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60B4038-11B9-451F-9560-1B936665007D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530225</xdr:colOff>
      <xdr:row>8</xdr:row>
      <xdr:rowOff>136525</xdr:rowOff>
    </xdr:from>
    <xdr:to>
      <xdr:col>20</xdr:col>
      <xdr:colOff>708025</xdr:colOff>
      <xdr:row>20</xdr:row>
      <xdr:rowOff>212725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360D91-D9F2-3253-B26D-FD039CAB7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482600</xdr:colOff>
      <xdr:row>7</xdr:row>
      <xdr:rowOff>209550</xdr:rowOff>
    </xdr:from>
    <xdr:to>
      <xdr:col>14</xdr:col>
      <xdr:colOff>302238</xdr:colOff>
      <xdr:row>13</xdr:row>
      <xdr:rowOff>181157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CDAEBF-F5BB-B3CE-9581-9EA57C607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2950" y="1727200"/>
          <a:ext cx="4391638" cy="13051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650875</xdr:colOff>
      <xdr:row>11</xdr:row>
      <xdr:rowOff>130175</xdr:rowOff>
    </xdr:from>
    <xdr:to>
      <xdr:col>9</xdr:col>
      <xdr:colOff>542925</xdr:colOff>
      <xdr:row>25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B81E82-B6F2-ADAC-F7F3-3AA9BDE9C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7683" cy="628030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8ABB68-5D93-4C59-0F61-3855578127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206375</xdr:colOff>
      <xdr:row>12</xdr:row>
      <xdr:rowOff>142875</xdr:rowOff>
    </xdr:from>
    <xdr:to>
      <xdr:col>22</xdr:col>
      <xdr:colOff>533400</xdr:colOff>
      <xdr:row>24</xdr:row>
      <xdr:rowOff>219075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D2B51F-2635-461A-8F44-586F3BC9B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1741-2290-49FF-A3D3-85F258F4E353}">
  <dimension ref="A2:P49"/>
  <sheetViews>
    <sheetView workbookViewId="0">
      <selection activeCell="C9" sqref="C9"/>
    </sheetView>
  </sheetViews>
  <sheetFormatPr baseColWidth="10" defaultRowHeight="14.5" x14ac:dyDescent="0.35"/>
  <cols>
    <col min="3" max="3" width="12.26953125" bestFit="1" customWidth="1"/>
    <col min="4" max="4" width="13.453125" hidden="1" customWidth="1"/>
    <col min="5" max="10" width="0" hidden="1" customWidth="1"/>
    <col min="11" max="11" width="11.08984375" bestFit="1" customWidth="1"/>
    <col min="12" max="12" width="14.1796875" bestFit="1" customWidth="1"/>
    <col min="13" max="13" width="13.453125" bestFit="1" customWidth="1"/>
    <col min="16" max="16" width="13.7265625" bestFit="1" customWidth="1"/>
  </cols>
  <sheetData>
    <row r="2" spans="1:16" ht="17.5" thickBot="1" x14ac:dyDescent="0.4">
      <c r="A2" s="1" t="s">
        <v>0</v>
      </c>
      <c r="B2" s="2" t="s">
        <v>1</v>
      </c>
      <c r="C2" s="2" t="s">
        <v>2</v>
      </c>
      <c r="D2" s="2" t="s">
        <v>9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</row>
    <row r="3" spans="1:16" ht="17.5" thickBot="1" x14ac:dyDescent="0.4">
      <c r="A3" s="1">
        <v>1</v>
      </c>
      <c r="B3" s="6">
        <v>-3</v>
      </c>
      <c r="C3" s="6">
        <v>21.75</v>
      </c>
      <c r="D3" s="6">
        <f>0.25*B3^5-2*B3^3+4.5*B3^2+2*B3-6</f>
        <v>21.75</v>
      </c>
      <c r="E3" s="6">
        <f>1.25*B3^4-6*B3^2+9*B3+2</f>
        <v>22.25</v>
      </c>
      <c r="F3" s="6">
        <f>5*B3^3-12*B3+9</f>
        <v>-90</v>
      </c>
      <c r="G3" s="6">
        <f>15*B3^2-12</f>
        <v>123</v>
      </c>
      <c r="H3" s="6">
        <f>30*B3</f>
        <v>-90</v>
      </c>
      <c r="I3" s="6">
        <f>30</f>
        <v>30</v>
      </c>
      <c r="J3" s="6">
        <f>0</f>
        <v>0</v>
      </c>
      <c r="K3" s="6">
        <f>(C4-C3)/(B4-B3)</f>
        <v>17.951274999999981</v>
      </c>
      <c r="L3" s="6">
        <f>(K4-K3)/(B4-B3)</f>
        <v>-78.217499999999745</v>
      </c>
      <c r="M3" s="6">
        <f>(L4-L3)/(B4-B3)</f>
        <v>109.87500000000016</v>
      </c>
      <c r="N3" s="6">
        <f>(M4-M3)/(B4-B3)</f>
        <v>-84.000000000088235</v>
      </c>
      <c r="O3" s="6">
        <f>(N4-N3)/(B4-B3)</f>
        <v>30.000000002691223</v>
      </c>
      <c r="P3" s="6">
        <f>(O4-O3)/(B4-B3)</f>
        <v>-5.6026294714683847E-8</v>
      </c>
    </row>
    <row r="4" spans="1:16" ht="17.5" thickBot="1" x14ac:dyDescent="0.4">
      <c r="A4" s="1">
        <v>2</v>
      </c>
      <c r="B4" s="6">
        <v>-2.9</v>
      </c>
      <c r="C4" s="6">
        <v>23.5451275</v>
      </c>
      <c r="D4" s="6">
        <f t="shared" ref="D4:D48" si="0">0.25*B4^5-2*B4^3+4.5*B4^2+2*B4-6</f>
        <v>23.545127500000003</v>
      </c>
      <c r="E4" s="6">
        <f t="shared" ref="E4:E47" si="1">1.25*B4^4-6*B4^2+9*B4+2</f>
        <v>13.850124999999995</v>
      </c>
      <c r="F4" s="6">
        <f t="shared" ref="F4:F46" si="2">5*B4^3-12*B4+9</f>
        <v>-78.144999999999996</v>
      </c>
      <c r="G4" s="6">
        <f t="shared" ref="G4:G45" si="3">15*B4^2-12</f>
        <v>114.15</v>
      </c>
      <c r="H4" s="6">
        <f t="shared" ref="H4:H44" si="4">30*B4</f>
        <v>-87</v>
      </c>
      <c r="I4" s="6">
        <f>30</f>
        <v>30</v>
      </c>
      <c r="J4" s="6">
        <f>0</f>
        <v>0</v>
      </c>
      <c r="K4" s="6">
        <f t="shared" ref="K4:K47" si="5">(C5-C4)/(B5-B4)</f>
        <v>10.129524999999999</v>
      </c>
      <c r="L4" s="6">
        <f t="shared" ref="L4:L46" si="6">(K5-K4)/(B5-B4)</f>
        <v>-67.22999999999972</v>
      </c>
      <c r="M4" s="6">
        <f t="shared" ref="M4:M45" si="7">(L5-L4)/(B5-B4)</f>
        <v>101.47499999999133</v>
      </c>
      <c r="N4" s="6">
        <f t="shared" ref="N4:N44" si="8">(M5-M4)/(B5-B4)</f>
        <v>-80.99999999981911</v>
      </c>
      <c r="O4" s="6">
        <f t="shared" ref="O4:O43" si="9">(N5-N4)/(B5-B4)</f>
        <v>29.999999997088594</v>
      </c>
      <c r="P4" s="6">
        <f t="shared" ref="P4:P42" si="10">(O5-O4)/(B5-B4)</f>
        <v>3.6452192375691051E-8</v>
      </c>
    </row>
    <row r="5" spans="1:16" ht="17.5" thickBot="1" x14ac:dyDescent="0.4">
      <c r="A5" s="1">
        <v>3</v>
      </c>
      <c r="B5" s="6">
        <v>-2.8</v>
      </c>
      <c r="C5" s="6">
        <v>24.55808</v>
      </c>
      <c r="D5" s="6">
        <f t="shared" si="0"/>
        <v>24.558079999999997</v>
      </c>
      <c r="E5" s="6">
        <f t="shared" si="1"/>
        <v>6.5919999999999881</v>
      </c>
      <c r="F5" s="6">
        <f t="shared" si="2"/>
        <v>-67.159999999999982</v>
      </c>
      <c r="G5" s="6">
        <f t="shared" si="3"/>
        <v>105.59999999999998</v>
      </c>
      <c r="H5" s="6">
        <f t="shared" si="4"/>
        <v>-84</v>
      </c>
      <c r="I5" s="6">
        <f>30</f>
        <v>30</v>
      </c>
      <c r="J5" s="6">
        <f>0</f>
        <v>0</v>
      </c>
      <c r="K5" s="6">
        <f t="shared" si="5"/>
        <v>3.4065250000000211</v>
      </c>
      <c r="L5" s="6">
        <f t="shared" si="6"/>
        <v>-57.082500000000579</v>
      </c>
      <c r="M5" s="6">
        <f t="shared" si="7"/>
        <v>93.375000000009408</v>
      </c>
      <c r="N5" s="6">
        <f t="shared" si="8"/>
        <v>-78.000000000110248</v>
      </c>
      <c r="O5" s="6">
        <f t="shared" si="9"/>
        <v>30.000000000733813</v>
      </c>
      <c r="P5" s="6">
        <f t="shared" si="10"/>
        <v>1.8801671330948077E-9</v>
      </c>
    </row>
    <row r="6" spans="1:16" ht="17.5" thickBot="1" x14ac:dyDescent="0.4">
      <c r="A6" s="1">
        <v>4</v>
      </c>
      <c r="B6" s="6">
        <v>-2.7</v>
      </c>
      <c r="C6" s="6">
        <v>24.898732500000001</v>
      </c>
      <c r="D6" s="6">
        <f t="shared" si="0"/>
        <v>24.898732500000001</v>
      </c>
      <c r="E6" s="6">
        <f t="shared" si="1"/>
        <v>0.39012500000000827</v>
      </c>
      <c r="F6" s="6">
        <f t="shared" si="2"/>
        <v>-57.015000000000015</v>
      </c>
      <c r="G6" s="6">
        <f t="shared" si="3"/>
        <v>97.350000000000009</v>
      </c>
      <c r="H6" s="6">
        <f t="shared" si="4"/>
        <v>-81</v>
      </c>
      <c r="I6" s="6">
        <f>30</f>
        <v>30</v>
      </c>
      <c r="J6" s="6">
        <f>0</f>
        <v>0</v>
      </c>
      <c r="K6" s="6">
        <f t="shared" si="5"/>
        <v>-2.3017250000000167</v>
      </c>
      <c r="L6" s="6">
        <f t="shared" si="6"/>
        <v>-47.744999999999671</v>
      </c>
      <c r="M6" s="6">
        <f t="shared" si="7"/>
        <v>85.574999999998411</v>
      </c>
      <c r="N6" s="6">
        <f t="shared" si="8"/>
        <v>-75.000000000036877</v>
      </c>
      <c r="O6" s="6">
        <f t="shared" si="9"/>
        <v>30.00000000092183</v>
      </c>
      <c r="P6" s="6">
        <f t="shared" si="10"/>
        <v>-8.6743057181592948E-9</v>
      </c>
    </row>
    <row r="7" spans="1:16" ht="17.5" thickBot="1" x14ac:dyDescent="0.4">
      <c r="A7" s="1">
        <v>5</v>
      </c>
      <c r="B7" s="6">
        <v>-2.6</v>
      </c>
      <c r="C7" s="6">
        <v>24.668559999999999</v>
      </c>
      <c r="D7" s="6">
        <f t="shared" si="0"/>
        <v>24.668560000000003</v>
      </c>
      <c r="E7" s="6">
        <f t="shared" si="1"/>
        <v>-4.8379999999999903</v>
      </c>
      <c r="F7" s="6">
        <f t="shared" si="2"/>
        <v>-47.680000000000021</v>
      </c>
      <c r="G7" s="6">
        <f t="shared" si="3"/>
        <v>89.4</v>
      </c>
      <c r="H7" s="6">
        <f t="shared" si="4"/>
        <v>-78</v>
      </c>
      <c r="I7" s="6">
        <f>30</f>
        <v>30</v>
      </c>
      <c r="J7" s="6">
        <f>0</f>
        <v>0</v>
      </c>
      <c r="K7" s="6">
        <f t="shared" si="5"/>
        <v>-7.0762249999999876</v>
      </c>
      <c r="L7" s="6">
        <f t="shared" si="6"/>
        <v>-39.187499999999822</v>
      </c>
      <c r="M7" s="6">
        <f t="shared" si="7"/>
        <v>78.074999999994716</v>
      </c>
      <c r="N7" s="6">
        <f t="shared" si="8"/>
        <v>-71.999999999944691</v>
      </c>
      <c r="O7" s="6">
        <f t="shared" si="9"/>
        <v>30.000000000054399</v>
      </c>
      <c r="P7" s="6">
        <f t="shared" si="10"/>
        <v>-1.2285283901292121E-8</v>
      </c>
    </row>
    <row r="8" spans="1:16" ht="17.5" thickBot="1" x14ac:dyDescent="0.4">
      <c r="A8" s="1">
        <v>6</v>
      </c>
      <c r="B8" s="6">
        <v>-2.5</v>
      </c>
      <c r="C8" s="6">
        <v>23.9609375</v>
      </c>
      <c r="D8" s="6">
        <f t="shared" si="0"/>
        <v>23.9609375</v>
      </c>
      <c r="E8" s="6">
        <f t="shared" si="1"/>
        <v>-9.171875</v>
      </c>
      <c r="F8" s="6">
        <f t="shared" si="2"/>
        <v>-39.125</v>
      </c>
      <c r="G8" s="6">
        <f t="shared" si="3"/>
        <v>81.75</v>
      </c>
      <c r="H8" s="6">
        <f t="shared" si="4"/>
        <v>-75</v>
      </c>
      <c r="I8" s="6">
        <f>30</f>
        <v>30</v>
      </c>
      <c r="J8" s="6">
        <f>0</f>
        <v>0</v>
      </c>
      <c r="K8" s="6">
        <f t="shared" si="5"/>
        <v>-10.994974999999974</v>
      </c>
      <c r="L8" s="6">
        <f t="shared" si="6"/>
        <v>-31.380000000000344</v>
      </c>
      <c r="M8" s="6">
        <f t="shared" si="7"/>
        <v>70.875000000000242</v>
      </c>
      <c r="N8" s="6">
        <f t="shared" si="8"/>
        <v>-68.999999999939249</v>
      </c>
      <c r="O8" s="6">
        <f t="shared" si="9"/>
        <v>29.999999998825871</v>
      </c>
      <c r="P8" s="6">
        <f t="shared" si="10"/>
        <v>1.2192913345643308E-8</v>
      </c>
    </row>
    <row r="9" spans="1:16" ht="17.5" thickBot="1" x14ac:dyDescent="0.4">
      <c r="A9" s="1">
        <v>7</v>
      </c>
      <c r="B9" s="6">
        <v>-2.4</v>
      </c>
      <c r="C9" s="6">
        <v>22.861440000000002</v>
      </c>
      <c r="D9" s="6">
        <f t="shared" si="0"/>
        <v>22.861439999999998</v>
      </c>
      <c r="E9" s="6">
        <f t="shared" si="1"/>
        <v>-12.688000000000006</v>
      </c>
      <c r="F9" s="6">
        <f t="shared" si="2"/>
        <v>-31.320000000000007</v>
      </c>
      <c r="G9" s="6">
        <f t="shared" si="3"/>
        <v>74.399999999999991</v>
      </c>
      <c r="H9" s="6">
        <f t="shared" si="4"/>
        <v>-72</v>
      </c>
      <c r="I9" s="6">
        <f>30</f>
        <v>30</v>
      </c>
      <c r="J9" s="6">
        <f>0</f>
        <v>0</v>
      </c>
      <c r="K9" s="6">
        <f t="shared" si="5"/>
        <v>-14.132975000000011</v>
      </c>
      <c r="L9" s="6">
        <f t="shared" si="6"/>
        <v>-24.292500000000313</v>
      </c>
      <c r="M9" s="6">
        <f t="shared" si="7"/>
        <v>63.975000000006311</v>
      </c>
      <c r="N9" s="6">
        <f t="shared" si="8"/>
        <v>-66.000000000056659</v>
      </c>
      <c r="O9" s="6">
        <f t="shared" si="9"/>
        <v>30.000000000045162</v>
      </c>
      <c r="P9" s="6">
        <f t="shared" si="10"/>
        <v>5.2664717031802816E-9</v>
      </c>
    </row>
    <row r="10" spans="1:16" ht="17.5" thickBot="1" x14ac:dyDescent="0.4">
      <c r="A10" s="1">
        <v>8</v>
      </c>
      <c r="B10" s="6">
        <v>-2.2999999999999998</v>
      </c>
      <c r="C10" s="6">
        <v>21.448142499999999</v>
      </c>
      <c r="D10" s="6">
        <f t="shared" si="0"/>
        <v>21.448142499999996</v>
      </c>
      <c r="E10" s="6">
        <f t="shared" si="1"/>
        <v>-15.459875000000007</v>
      </c>
      <c r="F10" s="6">
        <f t="shared" si="2"/>
        <v>-24.234999999999985</v>
      </c>
      <c r="G10" s="6">
        <f t="shared" si="3"/>
        <v>67.349999999999994</v>
      </c>
      <c r="H10" s="6">
        <f t="shared" si="4"/>
        <v>-69</v>
      </c>
      <c r="I10" s="6">
        <f>30</f>
        <v>30</v>
      </c>
      <c r="J10" s="6">
        <f>0</f>
        <v>0</v>
      </c>
      <c r="K10" s="6">
        <f t="shared" si="5"/>
        <v>-16.562225000000044</v>
      </c>
      <c r="L10" s="6">
        <f t="shared" si="6"/>
        <v>-17.894999999999676</v>
      </c>
      <c r="M10" s="6">
        <f t="shared" si="7"/>
        <v>57.375000000000639</v>
      </c>
      <c r="N10" s="6">
        <f t="shared" si="8"/>
        <v>-63.00000000005214</v>
      </c>
      <c r="O10" s="6">
        <f t="shared" si="9"/>
        <v>30.000000000571809</v>
      </c>
      <c r="P10" s="6">
        <f t="shared" si="10"/>
        <v>6.7480954157872715E-9</v>
      </c>
    </row>
    <row r="11" spans="1:16" ht="17.5" thickBot="1" x14ac:dyDescent="0.4">
      <c r="A11" s="1">
        <v>9</v>
      </c>
      <c r="B11" s="6">
        <v>-2.2000000000000002</v>
      </c>
      <c r="C11" s="6">
        <v>19.791920000000001</v>
      </c>
      <c r="D11" s="6">
        <f t="shared" si="0"/>
        <v>19.791920000000005</v>
      </c>
      <c r="E11" s="6">
        <f t="shared" si="1"/>
        <v>-17.558</v>
      </c>
      <c r="F11" s="6">
        <f t="shared" si="2"/>
        <v>-17.840000000000014</v>
      </c>
      <c r="G11" s="6">
        <f t="shared" si="3"/>
        <v>60.600000000000009</v>
      </c>
      <c r="H11" s="6">
        <f t="shared" si="4"/>
        <v>-66</v>
      </c>
      <c r="I11" s="6">
        <f>30</f>
        <v>30</v>
      </c>
      <c r="J11" s="6">
        <f>0</f>
        <v>0</v>
      </c>
      <c r="K11" s="6">
        <f t="shared" si="5"/>
        <v>-18.351725000000005</v>
      </c>
      <c r="L11" s="6">
        <f t="shared" si="6"/>
        <v>-12.157499999999633</v>
      </c>
      <c r="M11" s="6">
        <f t="shared" si="7"/>
        <v>51.074999999995448</v>
      </c>
      <c r="N11" s="6">
        <f t="shared" si="8"/>
        <v>-59.999999999994969</v>
      </c>
      <c r="O11" s="6">
        <f t="shared" si="9"/>
        <v>30.000000001246619</v>
      </c>
      <c r="P11" s="6">
        <f t="shared" si="10"/>
        <v>-4.2660275312300615E-8</v>
      </c>
    </row>
    <row r="12" spans="1:16" ht="17.5" thickBot="1" x14ac:dyDescent="0.4">
      <c r="A12" s="1">
        <v>10</v>
      </c>
      <c r="B12" s="6">
        <v>-2.1</v>
      </c>
      <c r="C12" s="6">
        <v>17.956747499999999</v>
      </c>
      <c r="D12" s="6">
        <f t="shared" si="0"/>
        <v>17.956747500000002</v>
      </c>
      <c r="E12" s="6">
        <f t="shared" si="1"/>
        <v>-19.049875000000004</v>
      </c>
      <c r="F12" s="6">
        <f t="shared" si="2"/>
        <v>-12.105000000000004</v>
      </c>
      <c r="G12" s="6">
        <f t="shared" si="3"/>
        <v>54.150000000000006</v>
      </c>
      <c r="H12" s="6">
        <f t="shared" si="4"/>
        <v>-63</v>
      </c>
      <c r="I12" s="6">
        <f>30</f>
        <v>30</v>
      </c>
      <c r="J12" s="6">
        <f>0</f>
        <v>0</v>
      </c>
      <c r="K12" s="6">
        <f t="shared" si="5"/>
        <v>-19.56747499999997</v>
      </c>
      <c r="L12" s="6">
        <f t="shared" si="6"/>
        <v>-7.0500000000000833</v>
      </c>
      <c r="M12" s="6">
        <f t="shared" si="7"/>
        <v>45.074999999995946</v>
      </c>
      <c r="N12" s="6">
        <f t="shared" si="8"/>
        <v>-56.999999999870305</v>
      </c>
      <c r="O12" s="6">
        <f t="shared" si="9"/>
        <v>29.999999996980591</v>
      </c>
      <c r="P12" s="6">
        <f t="shared" si="10"/>
        <v>6.4764549279061559E-8</v>
      </c>
    </row>
    <row r="13" spans="1:16" ht="17.5" thickBot="1" x14ac:dyDescent="0.4">
      <c r="A13" s="1">
        <v>11</v>
      </c>
      <c r="B13" s="6">
        <v>-2</v>
      </c>
      <c r="C13" s="6">
        <v>16</v>
      </c>
      <c r="D13" s="6">
        <f t="shared" si="0"/>
        <v>16</v>
      </c>
      <c r="E13" s="6">
        <f t="shared" si="1"/>
        <v>-20</v>
      </c>
      <c r="F13" s="6">
        <f t="shared" si="2"/>
        <v>-7</v>
      </c>
      <c r="G13" s="6">
        <f t="shared" si="3"/>
        <v>48</v>
      </c>
      <c r="H13" s="6">
        <f t="shared" si="4"/>
        <v>-60</v>
      </c>
      <c r="I13" s="6">
        <f>30</f>
        <v>30</v>
      </c>
      <c r="J13" s="6">
        <f>0</f>
        <v>0</v>
      </c>
      <c r="K13" s="6">
        <f t="shared" si="5"/>
        <v>-20.272474999999979</v>
      </c>
      <c r="L13" s="6">
        <f t="shared" si="6"/>
        <v>-2.5425000000004849</v>
      </c>
      <c r="M13" s="6">
        <f t="shared" si="7"/>
        <v>39.37500000000891</v>
      </c>
      <c r="N13" s="6">
        <f t="shared" si="8"/>
        <v>-54.000000000172243</v>
      </c>
      <c r="O13" s="6">
        <f t="shared" si="9"/>
        <v>30.000000003457046</v>
      </c>
      <c r="P13" s="6">
        <f t="shared" si="10"/>
        <v>-6.6237539897429034E-8</v>
      </c>
    </row>
    <row r="14" spans="1:16" ht="17.5" thickBot="1" x14ac:dyDescent="0.4">
      <c r="A14" s="1">
        <v>12</v>
      </c>
      <c r="B14" s="6">
        <v>-1.9</v>
      </c>
      <c r="C14" s="6">
        <v>13.9727525</v>
      </c>
      <c r="D14" s="6">
        <f t="shared" si="0"/>
        <v>13.972752499999999</v>
      </c>
      <c r="E14" s="6">
        <f t="shared" si="1"/>
        <v>-20.469874999999998</v>
      </c>
      <c r="F14" s="6">
        <f t="shared" si="2"/>
        <v>-2.4949999999999974</v>
      </c>
      <c r="G14" s="6">
        <f t="shared" si="3"/>
        <v>42.15</v>
      </c>
      <c r="H14" s="6">
        <f t="shared" si="4"/>
        <v>-57</v>
      </c>
      <c r="I14" s="6">
        <f>30</f>
        <v>30</v>
      </c>
      <c r="J14" s="6">
        <f>0</f>
        <v>0</v>
      </c>
      <c r="K14" s="6">
        <f t="shared" si="5"/>
        <v>-20.526725000000027</v>
      </c>
      <c r="L14" s="6">
        <f t="shared" si="6"/>
        <v>1.3950000000004099</v>
      </c>
      <c r="M14" s="6">
        <f t="shared" si="7"/>
        <v>33.974999999991681</v>
      </c>
      <c r="N14" s="6">
        <f t="shared" si="8"/>
        <v>-50.999999999826535</v>
      </c>
      <c r="O14" s="6">
        <f t="shared" si="9"/>
        <v>29.999999996833292</v>
      </c>
      <c r="P14" s="6">
        <f t="shared" si="10"/>
        <v>4.8426365140130722E-8</v>
      </c>
    </row>
    <row r="15" spans="1:16" ht="17.5" thickBot="1" x14ac:dyDescent="0.4">
      <c r="A15" s="1">
        <v>13</v>
      </c>
      <c r="B15" s="6">
        <v>-1.8</v>
      </c>
      <c r="C15" s="6">
        <v>11.92008</v>
      </c>
      <c r="D15" s="6">
        <f t="shared" si="0"/>
        <v>11.920079999999999</v>
      </c>
      <c r="E15" s="6">
        <f t="shared" si="1"/>
        <v>-20.517999999999997</v>
      </c>
      <c r="F15" s="6">
        <f t="shared" si="2"/>
        <v>1.4399999999999977</v>
      </c>
      <c r="G15" s="6">
        <f t="shared" si="3"/>
        <v>36.6</v>
      </c>
      <c r="H15" s="6">
        <f t="shared" si="4"/>
        <v>-54</v>
      </c>
      <c r="I15" s="6">
        <f>30</f>
        <v>30</v>
      </c>
      <c r="J15" s="6">
        <f>0</f>
        <v>0</v>
      </c>
      <c r="K15" s="6">
        <f t="shared" si="5"/>
        <v>-20.387224999999987</v>
      </c>
      <c r="L15" s="6">
        <f t="shared" si="6"/>
        <v>4.7924999999995732</v>
      </c>
      <c r="M15" s="6">
        <f t="shared" si="7"/>
        <v>28.875000000009035</v>
      </c>
      <c r="N15" s="6">
        <f t="shared" si="8"/>
        <v>-48.00000000014321</v>
      </c>
      <c r="O15" s="6">
        <f t="shared" si="9"/>
        <v>30.000000001675929</v>
      </c>
      <c r="P15" s="6">
        <f t="shared" si="10"/>
        <v>-9.4552277118964329E-9</v>
      </c>
    </row>
    <row r="16" spans="1:16" ht="17.5" thickBot="1" x14ac:dyDescent="0.4">
      <c r="A16" s="1">
        <v>14</v>
      </c>
      <c r="B16" s="6">
        <v>-1.7</v>
      </c>
      <c r="C16" s="6">
        <v>9.8813575</v>
      </c>
      <c r="D16" s="6">
        <f t="shared" si="0"/>
        <v>9.8813574999999982</v>
      </c>
      <c r="E16" s="6">
        <f t="shared" si="1"/>
        <v>-20.199874999999999</v>
      </c>
      <c r="F16" s="6">
        <f t="shared" si="2"/>
        <v>4.8350000000000009</v>
      </c>
      <c r="G16" s="6">
        <f t="shared" si="3"/>
        <v>31.349999999999994</v>
      </c>
      <c r="H16" s="6">
        <f t="shared" si="4"/>
        <v>-51</v>
      </c>
      <c r="I16" s="6">
        <f>30</f>
        <v>30</v>
      </c>
      <c r="J16" s="6">
        <f>0</f>
        <v>0</v>
      </c>
      <c r="K16" s="6">
        <f t="shared" si="5"/>
        <v>-19.907975000000029</v>
      </c>
      <c r="L16" s="6">
        <f t="shared" si="6"/>
        <v>7.6800000000004793</v>
      </c>
      <c r="M16" s="6">
        <f t="shared" si="7"/>
        <v>24.074999999994709</v>
      </c>
      <c r="N16" s="6">
        <f t="shared" si="8"/>
        <v>-44.999999999975614</v>
      </c>
      <c r="O16" s="6">
        <f t="shared" si="9"/>
        <v>30.000000000730406</v>
      </c>
      <c r="P16" s="6">
        <f t="shared" si="10"/>
        <v>-3.0892230995505127E-8</v>
      </c>
    </row>
    <row r="17" spans="1:16" ht="17.5" thickBot="1" x14ac:dyDescent="0.4">
      <c r="A17" s="1">
        <v>15</v>
      </c>
      <c r="B17" s="6">
        <v>-1.6</v>
      </c>
      <c r="C17" s="6">
        <v>7.8905599999999998</v>
      </c>
      <c r="D17" s="6">
        <f t="shared" si="0"/>
        <v>7.8905600000000042</v>
      </c>
      <c r="E17" s="6">
        <f t="shared" si="1"/>
        <v>-19.567999999999998</v>
      </c>
      <c r="F17" s="6">
        <f t="shared" si="2"/>
        <v>7.7199999999999989</v>
      </c>
      <c r="G17" s="6">
        <f t="shared" si="3"/>
        <v>26.400000000000006</v>
      </c>
      <c r="H17" s="6">
        <f t="shared" si="4"/>
        <v>-48</v>
      </c>
      <c r="I17" s="6">
        <f>30</f>
        <v>30</v>
      </c>
      <c r="J17" s="6">
        <f>0</f>
        <v>0</v>
      </c>
      <c r="K17" s="6">
        <f t="shared" si="5"/>
        <v>-19.139974999999982</v>
      </c>
      <c r="L17" s="6">
        <f t="shared" si="6"/>
        <v>10.087499999999947</v>
      </c>
      <c r="M17" s="6">
        <f t="shared" si="7"/>
        <v>19.574999999997154</v>
      </c>
      <c r="N17" s="6">
        <f t="shared" si="8"/>
        <v>-41.999999999902577</v>
      </c>
      <c r="O17" s="6">
        <f t="shared" si="9"/>
        <v>29.999999997641183</v>
      </c>
      <c r="P17" s="6">
        <f t="shared" si="10"/>
        <v>5.0876280965894647E-8</v>
      </c>
    </row>
    <row r="18" spans="1:16" ht="17.5" thickBot="1" x14ac:dyDescent="0.4">
      <c r="A18" s="1">
        <v>16</v>
      </c>
      <c r="B18" s="6">
        <v>-1.5</v>
      </c>
      <c r="C18" s="6">
        <v>5.9765625</v>
      </c>
      <c r="D18" s="6">
        <f t="shared" si="0"/>
        <v>5.9765625</v>
      </c>
      <c r="E18" s="6">
        <f t="shared" si="1"/>
        <v>-18.671875</v>
      </c>
      <c r="F18" s="6">
        <f t="shared" si="2"/>
        <v>10.125</v>
      </c>
      <c r="G18" s="6">
        <f t="shared" si="3"/>
        <v>21.75</v>
      </c>
      <c r="H18" s="6">
        <f t="shared" si="4"/>
        <v>-45</v>
      </c>
      <c r="I18" s="6">
        <f>30</f>
        <v>30</v>
      </c>
      <c r="J18" s="6">
        <f>0</f>
        <v>0</v>
      </c>
      <c r="K18" s="6">
        <f t="shared" si="5"/>
        <v>-18.131224999999986</v>
      </c>
      <c r="L18" s="6">
        <f t="shared" si="6"/>
        <v>12.044999999999664</v>
      </c>
      <c r="M18" s="6">
        <f t="shared" si="7"/>
        <v>15.375000000006892</v>
      </c>
      <c r="N18" s="6">
        <f t="shared" si="8"/>
        <v>-39.000000000138456</v>
      </c>
      <c r="O18" s="6">
        <f t="shared" si="9"/>
        <v>30.000000002728811</v>
      </c>
      <c r="P18" s="6">
        <f t="shared" si="10"/>
        <v>-5.147956727569176E-8</v>
      </c>
    </row>
    <row r="19" spans="1:16" ht="17.5" thickBot="1" x14ac:dyDescent="0.4">
      <c r="A19" s="1">
        <v>17</v>
      </c>
      <c r="B19" s="6">
        <v>-1.4</v>
      </c>
      <c r="C19" s="6">
        <v>4.1634399999999996</v>
      </c>
      <c r="D19" s="6">
        <f t="shared" si="0"/>
        <v>4.1634399999999978</v>
      </c>
      <c r="E19" s="6">
        <f t="shared" si="1"/>
        <v>-17.558</v>
      </c>
      <c r="F19" s="6">
        <f t="shared" si="2"/>
        <v>12.08</v>
      </c>
      <c r="G19" s="6">
        <f t="shared" si="3"/>
        <v>17.399999999999995</v>
      </c>
      <c r="H19" s="6">
        <f t="shared" si="4"/>
        <v>-42</v>
      </c>
      <c r="I19" s="6">
        <f>30</f>
        <v>30</v>
      </c>
      <c r="J19" s="6">
        <f>0</f>
        <v>0</v>
      </c>
      <c r="K19" s="6">
        <f t="shared" si="5"/>
        <v>-16.926725000000019</v>
      </c>
      <c r="L19" s="6">
        <f t="shared" si="6"/>
        <v>13.582500000000355</v>
      </c>
      <c r="M19" s="6">
        <f t="shared" si="7"/>
        <v>11.474999999993043</v>
      </c>
      <c r="N19" s="6">
        <f t="shared" si="8"/>
        <v>-35.999999999865572</v>
      </c>
      <c r="O19" s="6">
        <f t="shared" si="9"/>
        <v>29.999999997580854</v>
      </c>
      <c r="P19" s="6">
        <f t="shared" si="10"/>
        <v>4.0144279012110981E-8</v>
      </c>
    </row>
    <row r="20" spans="1:16" ht="17.5" thickBot="1" x14ac:dyDescent="0.4">
      <c r="A20" s="1">
        <v>18</v>
      </c>
      <c r="B20" s="6">
        <v>-1.3</v>
      </c>
      <c r="C20" s="6">
        <v>2.4707675</v>
      </c>
      <c r="D20" s="6">
        <f t="shared" si="0"/>
        <v>2.4707675000000027</v>
      </c>
      <c r="E20" s="6">
        <f t="shared" si="1"/>
        <v>-16.269874999999999</v>
      </c>
      <c r="F20" s="6">
        <f t="shared" si="2"/>
        <v>13.614999999999998</v>
      </c>
      <c r="G20" s="6">
        <f t="shared" si="3"/>
        <v>13.350000000000001</v>
      </c>
      <c r="H20" s="6">
        <f t="shared" si="4"/>
        <v>-39</v>
      </c>
      <c r="I20" s="6">
        <f>30</f>
        <v>30</v>
      </c>
      <c r="J20" s="6">
        <f>0</f>
        <v>0</v>
      </c>
      <c r="K20" s="6">
        <f t="shared" si="5"/>
        <v>-15.568474999999985</v>
      </c>
      <c r="L20" s="6">
        <f t="shared" si="6"/>
        <v>14.729999999999658</v>
      </c>
      <c r="M20" s="6">
        <f t="shared" si="7"/>
        <v>7.8750000000064908</v>
      </c>
      <c r="N20" s="6">
        <f t="shared" si="8"/>
        <v>-33.000000000107491</v>
      </c>
      <c r="O20" s="6">
        <f t="shared" si="9"/>
        <v>30.000000001595282</v>
      </c>
      <c r="P20" s="6">
        <f t="shared" si="10"/>
        <v>-2.1255566196032285E-8</v>
      </c>
    </row>
    <row r="21" spans="1:16" ht="17.5" thickBot="1" x14ac:dyDescent="0.4">
      <c r="A21" s="1">
        <v>19</v>
      </c>
      <c r="B21" s="6">
        <v>-1.2</v>
      </c>
      <c r="C21" s="6">
        <v>0.91391999999999995</v>
      </c>
      <c r="D21" s="6">
        <f t="shared" si="0"/>
        <v>0.91391999999999918</v>
      </c>
      <c r="E21" s="6">
        <f t="shared" si="1"/>
        <v>-14.847999999999999</v>
      </c>
      <c r="F21" s="6">
        <f t="shared" si="2"/>
        <v>14.759999999999998</v>
      </c>
      <c r="G21" s="6">
        <f t="shared" si="3"/>
        <v>9.5999999999999979</v>
      </c>
      <c r="H21" s="6">
        <f t="shared" si="4"/>
        <v>-36</v>
      </c>
      <c r="I21" s="6">
        <f>30</f>
        <v>30</v>
      </c>
      <c r="J21" s="6">
        <f>0</f>
        <v>0</v>
      </c>
      <c r="K21" s="6">
        <f t="shared" si="5"/>
        <v>-14.095475000000018</v>
      </c>
      <c r="L21" s="6">
        <f t="shared" si="6"/>
        <v>15.517500000000307</v>
      </c>
      <c r="M21" s="6">
        <f t="shared" si="7"/>
        <v>4.5749999999957387</v>
      </c>
      <c r="N21" s="6">
        <f t="shared" si="8"/>
        <v>-29.99999999994796</v>
      </c>
      <c r="O21" s="6">
        <f t="shared" si="9"/>
        <v>29.999999999469726</v>
      </c>
      <c r="P21" s="6">
        <f t="shared" si="10"/>
        <v>3.7104896932760361E-9</v>
      </c>
    </row>
    <row r="22" spans="1:16" ht="17.5" thickBot="1" x14ac:dyDescent="0.4">
      <c r="A22" s="1">
        <v>20</v>
      </c>
      <c r="B22" s="6">
        <v>-1.1000000000000001</v>
      </c>
      <c r="C22" s="6">
        <v>-0.4956275</v>
      </c>
      <c r="D22" s="6">
        <f t="shared" si="0"/>
        <v>-0.49562749999999856</v>
      </c>
      <c r="E22" s="6">
        <f t="shared" si="1"/>
        <v>-13.329875000000001</v>
      </c>
      <c r="F22" s="6">
        <f t="shared" si="2"/>
        <v>15.544999999999998</v>
      </c>
      <c r="G22" s="6">
        <f t="shared" si="3"/>
        <v>6.1500000000000021</v>
      </c>
      <c r="H22" s="6">
        <f t="shared" si="4"/>
        <v>-33</v>
      </c>
      <c r="I22" s="6">
        <f>30</f>
        <v>30</v>
      </c>
      <c r="J22" s="6">
        <f>0</f>
        <v>0</v>
      </c>
      <c r="K22" s="6">
        <f t="shared" si="5"/>
        <v>-12.54372499999999</v>
      </c>
      <c r="L22" s="6">
        <f t="shared" si="6"/>
        <v>15.974999999999881</v>
      </c>
      <c r="M22" s="6">
        <f t="shared" si="7"/>
        <v>1.5750000000009465</v>
      </c>
      <c r="N22" s="6">
        <f t="shared" si="8"/>
        <v>-27.000000000000991</v>
      </c>
      <c r="O22" s="6">
        <f t="shared" si="9"/>
        <v>29.999999999840774</v>
      </c>
      <c r="P22" s="6">
        <f t="shared" si="10"/>
        <v>4.186517799098507E-9</v>
      </c>
    </row>
    <row r="23" spans="1:16" ht="17.5" thickBot="1" x14ac:dyDescent="0.4">
      <c r="A23" s="1">
        <v>21</v>
      </c>
      <c r="B23" s="6">
        <v>-1</v>
      </c>
      <c r="C23" s="6">
        <v>-1.75</v>
      </c>
      <c r="D23" s="6">
        <f t="shared" si="0"/>
        <v>-1.75</v>
      </c>
      <c r="E23" s="6">
        <f t="shared" si="1"/>
        <v>-11.75</v>
      </c>
      <c r="F23" s="6">
        <f t="shared" si="2"/>
        <v>16</v>
      </c>
      <c r="G23" s="6">
        <f t="shared" si="3"/>
        <v>3</v>
      </c>
      <c r="H23" s="6">
        <f t="shared" si="4"/>
        <v>-30</v>
      </c>
      <c r="I23" s="6">
        <f>30</f>
        <v>30</v>
      </c>
      <c r="J23" s="6">
        <f>0</f>
        <v>0</v>
      </c>
      <c r="K23" s="6">
        <f t="shared" si="5"/>
        <v>-10.946225</v>
      </c>
      <c r="L23" s="6">
        <f t="shared" si="6"/>
        <v>16.132499999999975</v>
      </c>
      <c r="M23" s="6">
        <f t="shared" si="7"/>
        <v>-1.1249999999991547</v>
      </c>
      <c r="N23" s="6">
        <f t="shared" si="8"/>
        <v>-24.000000000016911</v>
      </c>
      <c r="O23" s="6">
        <f t="shared" si="9"/>
        <v>30.000000000259426</v>
      </c>
      <c r="P23" s="6">
        <f t="shared" si="10"/>
        <v>-3.2159164220502143E-9</v>
      </c>
    </row>
    <row r="24" spans="1:16" ht="17.5" thickBot="1" x14ac:dyDescent="0.4">
      <c r="A24" s="1">
        <v>22</v>
      </c>
      <c r="B24" s="6">
        <v>-0.9</v>
      </c>
      <c r="C24" s="6">
        <v>-2.8446224999999998</v>
      </c>
      <c r="D24" s="6">
        <f t="shared" si="0"/>
        <v>-2.8446224999999989</v>
      </c>
      <c r="E24" s="6">
        <f t="shared" si="1"/>
        <v>-10.139875</v>
      </c>
      <c r="F24" s="6">
        <f t="shared" si="2"/>
        <v>16.155000000000001</v>
      </c>
      <c r="G24" s="6">
        <f t="shared" si="3"/>
        <v>0.15000000000000036</v>
      </c>
      <c r="H24" s="6">
        <f t="shared" si="4"/>
        <v>-27</v>
      </c>
      <c r="I24" s="6">
        <f>30</f>
        <v>30</v>
      </c>
      <c r="J24" s="6">
        <f>0</f>
        <v>0</v>
      </c>
      <c r="K24" s="6">
        <f t="shared" si="5"/>
        <v>-9.3329750000000029</v>
      </c>
      <c r="L24" s="6">
        <f t="shared" si="6"/>
        <v>16.02000000000006</v>
      </c>
      <c r="M24" s="6">
        <f t="shared" si="7"/>
        <v>-3.525000000000845</v>
      </c>
      <c r="N24" s="6">
        <f t="shared" si="8"/>
        <v>-20.999999999990969</v>
      </c>
      <c r="O24" s="6">
        <f t="shared" si="9"/>
        <v>29.999999999937835</v>
      </c>
      <c r="P24" s="6">
        <f t="shared" si="10"/>
        <v>-3.744560217455729E-10</v>
      </c>
    </row>
    <row r="25" spans="1:16" ht="17.5" thickBot="1" x14ac:dyDescent="0.4">
      <c r="A25" s="1">
        <v>23</v>
      </c>
      <c r="B25" s="6">
        <v>-0.8</v>
      </c>
      <c r="C25" s="6">
        <v>-3.7779199999999999</v>
      </c>
      <c r="D25" s="6">
        <f t="shared" si="0"/>
        <v>-3.7779199999999991</v>
      </c>
      <c r="E25" s="6">
        <f t="shared" si="1"/>
        <v>-8.5280000000000005</v>
      </c>
      <c r="F25" s="6">
        <f t="shared" si="2"/>
        <v>16.04</v>
      </c>
      <c r="G25" s="6">
        <f t="shared" si="3"/>
        <v>-2.3999999999999986</v>
      </c>
      <c r="H25" s="6">
        <f t="shared" si="4"/>
        <v>-24</v>
      </c>
      <c r="I25" s="6">
        <f>30</f>
        <v>30</v>
      </c>
      <c r="J25" s="6">
        <f>0</f>
        <v>0</v>
      </c>
      <c r="K25" s="6">
        <f t="shared" si="5"/>
        <v>-7.7309749999999973</v>
      </c>
      <c r="L25" s="6">
        <f t="shared" si="6"/>
        <v>15.667499999999976</v>
      </c>
      <c r="M25" s="6">
        <f t="shared" si="7"/>
        <v>-5.6249999999999414</v>
      </c>
      <c r="N25" s="6">
        <f t="shared" si="8"/>
        <v>-17.999999999997186</v>
      </c>
      <c r="O25" s="6">
        <f t="shared" si="9"/>
        <v>29.999999999900389</v>
      </c>
      <c r="P25" s="6">
        <f t="shared" si="10"/>
        <v>2.2865265236760003E-9</v>
      </c>
    </row>
    <row r="26" spans="1:16" ht="17.5" thickBot="1" x14ac:dyDescent="0.4">
      <c r="A26" s="1">
        <v>24</v>
      </c>
      <c r="B26" s="6">
        <v>-0.7</v>
      </c>
      <c r="C26" s="6">
        <v>-4.5510175000000004</v>
      </c>
      <c r="D26" s="6">
        <f t="shared" si="0"/>
        <v>-4.5510175000000004</v>
      </c>
      <c r="E26" s="6">
        <f t="shared" si="1"/>
        <v>-6.9398749999999989</v>
      </c>
      <c r="F26" s="6">
        <f t="shared" si="2"/>
        <v>15.684999999999999</v>
      </c>
      <c r="G26" s="6">
        <f t="shared" si="3"/>
        <v>-4.6500000000000012</v>
      </c>
      <c r="H26" s="6">
        <f t="shared" si="4"/>
        <v>-21</v>
      </c>
      <c r="I26" s="6">
        <f>30</f>
        <v>30</v>
      </c>
      <c r="J26" s="6">
        <f>0</f>
        <v>0</v>
      </c>
      <c r="K26" s="6">
        <f t="shared" si="5"/>
        <v>-6.1642249999999983</v>
      </c>
      <c r="L26" s="6">
        <f t="shared" si="6"/>
        <v>15.104999999999981</v>
      </c>
      <c r="M26" s="6">
        <f t="shared" si="7"/>
        <v>-7.4249999999996614</v>
      </c>
      <c r="N26" s="6">
        <f t="shared" si="8"/>
        <v>-15.000000000007145</v>
      </c>
      <c r="O26" s="6">
        <f t="shared" si="9"/>
        <v>30.000000000129042</v>
      </c>
      <c r="P26" s="6">
        <f t="shared" si="10"/>
        <v>-1.9840129539261402E-9</v>
      </c>
    </row>
    <row r="27" spans="1:16" ht="17.5" thickBot="1" x14ac:dyDescent="0.4">
      <c r="A27" s="1">
        <v>25</v>
      </c>
      <c r="B27" s="6">
        <v>-0.6</v>
      </c>
      <c r="C27" s="6">
        <v>-5.16744</v>
      </c>
      <c r="D27" s="6">
        <f t="shared" si="0"/>
        <v>-5.16744</v>
      </c>
      <c r="E27" s="6">
        <f t="shared" si="1"/>
        <v>-5.3979999999999997</v>
      </c>
      <c r="F27" s="6">
        <f t="shared" si="2"/>
        <v>15.12</v>
      </c>
      <c r="G27" s="6">
        <f t="shared" si="3"/>
        <v>-6.6000000000000005</v>
      </c>
      <c r="H27" s="6">
        <f t="shared" si="4"/>
        <v>-18</v>
      </c>
      <c r="I27" s="6">
        <f>30</f>
        <v>30</v>
      </c>
      <c r="J27" s="6">
        <f>0</f>
        <v>0</v>
      </c>
      <c r="K27" s="6">
        <f t="shared" si="5"/>
        <v>-4.6537250000000006</v>
      </c>
      <c r="L27" s="6">
        <f t="shared" si="6"/>
        <v>14.362500000000015</v>
      </c>
      <c r="M27" s="6">
        <f t="shared" si="7"/>
        <v>-8.9250000000003755</v>
      </c>
      <c r="N27" s="6">
        <f t="shared" si="8"/>
        <v>-11.999999999994241</v>
      </c>
      <c r="O27" s="6">
        <f t="shared" si="9"/>
        <v>29.99999999993064</v>
      </c>
      <c r="P27" s="6">
        <f t="shared" si="10"/>
        <v>1.1565859381335033E-9</v>
      </c>
    </row>
    <row r="28" spans="1:16" ht="17.5" thickBot="1" x14ac:dyDescent="0.4">
      <c r="A28" s="4">
        <v>26</v>
      </c>
      <c r="B28" s="7">
        <v>-0.5</v>
      </c>
      <c r="C28" s="7">
        <v>-5.6328125</v>
      </c>
      <c r="D28" s="6">
        <f t="shared" si="0"/>
        <v>-5.6328125</v>
      </c>
      <c r="E28" s="6">
        <f t="shared" si="1"/>
        <v>-3.921875</v>
      </c>
      <c r="F28" s="6">
        <f t="shared" si="2"/>
        <v>14.375</v>
      </c>
      <c r="G28" s="6">
        <f t="shared" si="3"/>
        <v>-8.25</v>
      </c>
      <c r="H28" s="6">
        <f t="shared" si="4"/>
        <v>-15</v>
      </c>
      <c r="I28" s="6">
        <f>30</f>
        <v>30</v>
      </c>
      <c r="J28" s="6">
        <f>0</f>
        <v>0</v>
      </c>
      <c r="K28" s="6">
        <f t="shared" si="5"/>
        <v>-3.2174749999999994</v>
      </c>
      <c r="L28" s="6">
        <f t="shared" si="6"/>
        <v>13.469999999999978</v>
      </c>
      <c r="M28" s="6">
        <f t="shared" si="7"/>
        <v>-10.124999999999799</v>
      </c>
      <c r="N28" s="6">
        <f t="shared" si="8"/>
        <v>-9.0000000000011777</v>
      </c>
      <c r="O28" s="6">
        <f t="shared" si="9"/>
        <v>30.000000000046299</v>
      </c>
      <c r="P28" s="6">
        <f t="shared" si="10"/>
        <v>-1.8659562783795995E-9</v>
      </c>
    </row>
    <row r="29" spans="1:16" ht="17.5" thickBot="1" x14ac:dyDescent="0.4">
      <c r="A29" s="1">
        <v>27</v>
      </c>
      <c r="B29" s="6">
        <v>-0.4</v>
      </c>
      <c r="C29" s="6">
        <v>-5.9545599999999999</v>
      </c>
      <c r="D29" s="6">
        <f t="shared" si="0"/>
        <v>-5.9545599999999999</v>
      </c>
      <c r="E29" s="6">
        <f t="shared" si="1"/>
        <v>-2.5280000000000005</v>
      </c>
      <c r="F29" s="6">
        <f t="shared" si="2"/>
        <v>13.48</v>
      </c>
      <c r="G29" s="6">
        <f t="shared" si="3"/>
        <v>-9.6</v>
      </c>
      <c r="H29" s="6">
        <f t="shared" si="4"/>
        <v>-12</v>
      </c>
      <c r="I29" s="6">
        <f>30</f>
        <v>30</v>
      </c>
      <c r="J29" s="6">
        <f>0</f>
        <v>0</v>
      </c>
      <c r="K29" s="6">
        <f t="shared" si="5"/>
        <v>-1.8704750000000019</v>
      </c>
      <c r="L29" s="6">
        <f t="shared" si="6"/>
        <v>12.457499999999998</v>
      </c>
      <c r="M29" s="6">
        <f t="shared" si="7"/>
        <v>-11.024999999999917</v>
      </c>
      <c r="N29" s="6">
        <f t="shared" si="8"/>
        <v>-5.9999999999965485</v>
      </c>
      <c r="O29" s="6">
        <f t="shared" si="9"/>
        <v>29.999999999859703</v>
      </c>
      <c r="P29" s="6">
        <f t="shared" si="10"/>
        <v>2.4607516024843781E-9</v>
      </c>
    </row>
    <row r="30" spans="1:16" ht="17.5" thickBot="1" x14ac:dyDescent="0.4">
      <c r="A30" s="1">
        <v>28</v>
      </c>
      <c r="B30" s="6">
        <v>-0.3</v>
      </c>
      <c r="C30" s="6">
        <v>-6.1416075000000001</v>
      </c>
      <c r="D30" s="6">
        <f t="shared" si="0"/>
        <v>-6.1416075000000001</v>
      </c>
      <c r="E30" s="6">
        <f t="shared" si="1"/>
        <v>-1.2298749999999998</v>
      </c>
      <c r="F30" s="6">
        <f t="shared" si="2"/>
        <v>12.465</v>
      </c>
      <c r="G30" s="6">
        <f t="shared" si="3"/>
        <v>-10.65</v>
      </c>
      <c r="H30" s="6">
        <f t="shared" si="4"/>
        <v>-9</v>
      </c>
      <c r="I30" s="6">
        <f>30</f>
        <v>30</v>
      </c>
      <c r="J30" s="6">
        <f>0</f>
        <v>0</v>
      </c>
      <c r="K30" s="6">
        <f t="shared" si="5"/>
        <v>-0.62472500000000164</v>
      </c>
      <c r="L30" s="6">
        <f t="shared" si="6"/>
        <v>11.355000000000006</v>
      </c>
      <c r="M30" s="6">
        <f t="shared" si="7"/>
        <v>-11.624999999999572</v>
      </c>
      <c r="N30" s="6">
        <f t="shared" si="8"/>
        <v>-3.0000000000105773</v>
      </c>
      <c r="O30" s="6">
        <f t="shared" si="9"/>
        <v>30.000000000105778</v>
      </c>
      <c r="P30" s="6">
        <f t="shared" si="10"/>
        <v>9.963940783563887E-10</v>
      </c>
    </row>
    <row r="31" spans="1:16" ht="17.5" thickBot="1" x14ac:dyDescent="0.4">
      <c r="A31" s="1">
        <v>29</v>
      </c>
      <c r="B31" s="6">
        <v>-0.2</v>
      </c>
      <c r="C31" s="6">
        <v>-6.2040800000000003</v>
      </c>
      <c r="D31" s="6">
        <f t="shared" si="0"/>
        <v>-6.2040800000000003</v>
      </c>
      <c r="E31" s="6">
        <f t="shared" si="1"/>
        <v>-3.8000000000000256E-2</v>
      </c>
      <c r="F31" s="6">
        <f t="shared" si="2"/>
        <v>11.36</v>
      </c>
      <c r="G31" s="6">
        <f t="shared" si="3"/>
        <v>-11.4</v>
      </c>
      <c r="H31" s="6">
        <f t="shared" si="4"/>
        <v>-6</v>
      </c>
      <c r="I31" s="6">
        <f>30</f>
        <v>30</v>
      </c>
      <c r="J31" s="6">
        <f>0</f>
        <v>0</v>
      </c>
      <c r="K31" s="6">
        <f t="shared" si="5"/>
        <v>0.51077499999999887</v>
      </c>
      <c r="L31" s="6">
        <f t="shared" si="6"/>
        <v>10.192500000000049</v>
      </c>
      <c r="M31" s="6">
        <f t="shared" si="7"/>
        <v>-11.92500000000063</v>
      </c>
      <c r="N31" s="6">
        <f t="shared" si="8"/>
        <v>0</v>
      </c>
      <c r="O31" s="6">
        <f t="shared" si="9"/>
        <v>30.000000000205418</v>
      </c>
      <c r="P31" s="6">
        <f t="shared" si="10"/>
        <v>-5.9419136277938378E-9</v>
      </c>
    </row>
    <row r="32" spans="1:16" ht="17.5" thickBot="1" x14ac:dyDescent="0.4">
      <c r="A32" s="1">
        <v>30</v>
      </c>
      <c r="B32" s="6">
        <v>-0.1</v>
      </c>
      <c r="C32" s="6">
        <v>-6.1530025000000004</v>
      </c>
      <c r="D32" s="6">
        <f t="shared" si="0"/>
        <v>-6.1530025000000004</v>
      </c>
      <c r="E32" s="6">
        <f t="shared" si="1"/>
        <v>1.040125</v>
      </c>
      <c r="F32" s="6">
        <f t="shared" si="2"/>
        <v>10.195</v>
      </c>
      <c r="G32" s="6">
        <f t="shared" si="3"/>
        <v>-11.85</v>
      </c>
      <c r="H32" s="6">
        <f t="shared" si="4"/>
        <v>-3</v>
      </c>
      <c r="I32" s="6">
        <f>30</f>
        <v>30</v>
      </c>
      <c r="J32" s="6">
        <f>0</f>
        <v>0</v>
      </c>
      <c r="K32" s="6">
        <f t="shared" si="5"/>
        <v>1.5300250000000037</v>
      </c>
      <c r="L32" s="6">
        <f t="shared" si="6"/>
        <v>8.9999999999999858</v>
      </c>
      <c r="M32" s="6">
        <f t="shared" si="7"/>
        <v>-11.92500000000063</v>
      </c>
      <c r="N32" s="6">
        <f t="shared" si="8"/>
        <v>3.0000000000205418</v>
      </c>
      <c r="O32" s="6">
        <f t="shared" si="9"/>
        <v>29.999999999611227</v>
      </c>
      <c r="P32" s="6">
        <f t="shared" si="10"/>
        <v>5.3628212981493562E-9</v>
      </c>
    </row>
    <row r="33" spans="1:16" ht="17.5" thickBot="1" x14ac:dyDescent="0.4">
      <c r="A33" s="1">
        <v>31</v>
      </c>
      <c r="B33" s="6">
        <v>0</v>
      </c>
      <c r="C33" s="6">
        <v>-6</v>
      </c>
      <c r="D33" s="6">
        <f t="shared" si="0"/>
        <v>-6</v>
      </c>
      <c r="E33" s="6">
        <f t="shared" si="1"/>
        <v>2</v>
      </c>
      <c r="F33" s="6">
        <f t="shared" si="2"/>
        <v>9</v>
      </c>
      <c r="G33" s="6">
        <f t="shared" si="3"/>
        <v>-12</v>
      </c>
      <c r="H33" s="6">
        <f t="shared" si="4"/>
        <v>0</v>
      </c>
      <c r="I33" s="6">
        <f>30</f>
        <v>30</v>
      </c>
      <c r="J33" s="6">
        <f>0</f>
        <v>0</v>
      </c>
      <c r="K33" s="6">
        <f t="shared" si="5"/>
        <v>2.4300250000000023</v>
      </c>
      <c r="L33" s="6">
        <f t="shared" si="6"/>
        <v>7.8074999999999228</v>
      </c>
      <c r="M33" s="6">
        <f t="shared" si="7"/>
        <v>-11.624999999998575</v>
      </c>
      <c r="N33" s="6">
        <f t="shared" si="8"/>
        <v>5.9999999999816644</v>
      </c>
      <c r="O33" s="6">
        <f t="shared" si="9"/>
        <v>30.000000000147509</v>
      </c>
      <c r="P33" s="6">
        <f t="shared" si="10"/>
        <v>2.3128166048991261E-10</v>
      </c>
    </row>
    <row r="34" spans="1:16" ht="17.5" thickBot="1" x14ac:dyDescent="0.4">
      <c r="A34" s="1">
        <v>32</v>
      </c>
      <c r="B34" s="6">
        <v>0.1</v>
      </c>
      <c r="C34" s="6">
        <v>-5.7569974999999998</v>
      </c>
      <c r="D34" s="6">
        <f t="shared" si="0"/>
        <v>-5.7569974999999998</v>
      </c>
      <c r="E34" s="6">
        <f t="shared" si="1"/>
        <v>2.840125</v>
      </c>
      <c r="F34" s="6">
        <f t="shared" si="2"/>
        <v>7.8049999999999997</v>
      </c>
      <c r="G34" s="6">
        <f t="shared" si="3"/>
        <v>-11.85</v>
      </c>
      <c r="H34" s="6">
        <f t="shared" si="4"/>
        <v>3</v>
      </c>
      <c r="I34" s="6">
        <f>30</f>
        <v>30</v>
      </c>
      <c r="J34" s="6">
        <f>0</f>
        <v>0</v>
      </c>
      <c r="K34" s="6">
        <f t="shared" si="5"/>
        <v>3.2107749999999946</v>
      </c>
      <c r="L34" s="6">
        <f t="shared" si="6"/>
        <v>6.6450000000000653</v>
      </c>
      <c r="M34" s="6">
        <f t="shared" si="7"/>
        <v>-11.025000000000409</v>
      </c>
      <c r="N34" s="6">
        <f t="shared" si="8"/>
        <v>8.9999999999964153</v>
      </c>
      <c r="O34" s="6">
        <f t="shared" si="9"/>
        <v>30.000000000170637</v>
      </c>
      <c r="P34" s="6">
        <f t="shared" si="10"/>
        <v>-3.2119373827299569E-9</v>
      </c>
    </row>
    <row r="35" spans="1:16" ht="17.5" thickBot="1" x14ac:dyDescent="0.4">
      <c r="A35" s="1">
        <v>33</v>
      </c>
      <c r="B35" s="6">
        <v>0.2</v>
      </c>
      <c r="C35" s="6">
        <v>-5.4359200000000003</v>
      </c>
      <c r="D35" s="6">
        <f t="shared" si="0"/>
        <v>-5.4359199999999994</v>
      </c>
      <c r="E35" s="6">
        <f t="shared" si="1"/>
        <v>3.5620000000000003</v>
      </c>
      <c r="F35" s="6">
        <f t="shared" si="2"/>
        <v>6.64</v>
      </c>
      <c r="G35" s="6">
        <f t="shared" si="3"/>
        <v>-11.4</v>
      </c>
      <c r="H35" s="6">
        <f t="shared" si="4"/>
        <v>6</v>
      </c>
      <c r="I35" s="6">
        <f>30</f>
        <v>30</v>
      </c>
      <c r="J35" s="6">
        <f>0</f>
        <v>0</v>
      </c>
      <c r="K35" s="6">
        <f t="shared" si="5"/>
        <v>3.8752750000000011</v>
      </c>
      <c r="L35" s="6">
        <f t="shared" si="6"/>
        <v>5.5425000000000244</v>
      </c>
      <c r="M35" s="6">
        <f t="shared" si="7"/>
        <v>-10.125000000000767</v>
      </c>
      <c r="N35" s="6">
        <f t="shared" si="8"/>
        <v>12.000000000013479</v>
      </c>
      <c r="O35" s="6">
        <f t="shared" si="9"/>
        <v>29.999999999849443</v>
      </c>
      <c r="P35" s="6">
        <f t="shared" si="10"/>
        <v>-3.9257486150745542E-11</v>
      </c>
    </row>
    <row r="36" spans="1:16" ht="17.5" thickBot="1" x14ac:dyDescent="0.4">
      <c r="A36" s="1">
        <v>34</v>
      </c>
      <c r="B36" s="6">
        <v>0.3</v>
      </c>
      <c r="C36" s="6">
        <v>-5.0483925000000003</v>
      </c>
      <c r="D36" s="6">
        <f t="shared" si="0"/>
        <v>-5.0483925000000003</v>
      </c>
      <c r="E36" s="6">
        <f t="shared" si="1"/>
        <v>4.1701249999999996</v>
      </c>
      <c r="F36" s="6">
        <f t="shared" si="2"/>
        <v>5.5350000000000001</v>
      </c>
      <c r="G36" s="6">
        <f t="shared" si="3"/>
        <v>-10.65</v>
      </c>
      <c r="H36" s="6">
        <f t="shared" si="4"/>
        <v>9</v>
      </c>
      <c r="I36" s="6">
        <f>30</f>
        <v>30</v>
      </c>
      <c r="J36" s="6">
        <f>0</f>
        <v>0</v>
      </c>
      <c r="K36" s="6">
        <f t="shared" si="5"/>
        <v>4.4295250000000035</v>
      </c>
      <c r="L36" s="6">
        <f t="shared" si="6"/>
        <v>4.5299999999999478</v>
      </c>
      <c r="M36" s="6">
        <f t="shared" si="7"/>
        <v>-8.9249999999994198</v>
      </c>
      <c r="N36" s="6">
        <f t="shared" si="8"/>
        <v>14.999999999998423</v>
      </c>
      <c r="O36" s="6">
        <f t="shared" si="9"/>
        <v>29.999999999845517</v>
      </c>
      <c r="P36" s="6">
        <f t="shared" si="10"/>
        <v>5.792166746232395E-9</v>
      </c>
    </row>
    <row r="37" spans="1:16" ht="17.5" thickBot="1" x14ac:dyDescent="0.4">
      <c r="A37" s="1">
        <v>35</v>
      </c>
      <c r="B37" s="6">
        <v>0.4</v>
      </c>
      <c r="C37" s="6">
        <v>-4.6054399999999998</v>
      </c>
      <c r="D37" s="6">
        <f t="shared" si="0"/>
        <v>-4.6054399999999998</v>
      </c>
      <c r="E37" s="6">
        <f t="shared" si="1"/>
        <v>4.6719999999999997</v>
      </c>
      <c r="F37" s="6">
        <f t="shared" si="2"/>
        <v>4.5199999999999996</v>
      </c>
      <c r="G37" s="6">
        <f t="shared" si="3"/>
        <v>-9.6</v>
      </c>
      <c r="H37" s="6">
        <f t="shared" si="4"/>
        <v>12</v>
      </c>
      <c r="I37" s="6">
        <f>30</f>
        <v>30</v>
      </c>
      <c r="J37" s="6">
        <f>0</f>
        <v>0</v>
      </c>
      <c r="K37" s="6">
        <f t="shared" si="5"/>
        <v>4.8825249999999984</v>
      </c>
      <c r="L37" s="6">
        <f t="shared" si="6"/>
        <v>3.6375000000000055</v>
      </c>
      <c r="M37" s="6">
        <f t="shared" si="7"/>
        <v>-7.424999999999577</v>
      </c>
      <c r="N37" s="6">
        <f t="shared" si="8"/>
        <v>17.999999999982975</v>
      </c>
      <c r="O37" s="6">
        <f t="shared" si="9"/>
        <v>30.000000000424734</v>
      </c>
      <c r="P37" s="6">
        <f t="shared" si="10"/>
        <v>-8.5194074017636029E-9</v>
      </c>
    </row>
    <row r="38" spans="1:16" ht="17.5" thickBot="1" x14ac:dyDescent="0.4">
      <c r="A38" s="1">
        <v>36</v>
      </c>
      <c r="B38" s="6">
        <v>0.5</v>
      </c>
      <c r="C38" s="6">
        <v>-4.1171875</v>
      </c>
      <c r="D38" s="6">
        <f t="shared" si="0"/>
        <v>-4.1171875</v>
      </c>
      <c r="E38" s="6">
        <f t="shared" si="1"/>
        <v>5.078125</v>
      </c>
      <c r="F38" s="6">
        <f t="shared" si="2"/>
        <v>3.625</v>
      </c>
      <c r="G38" s="6">
        <f t="shared" si="3"/>
        <v>-8.25</v>
      </c>
      <c r="H38" s="6">
        <f t="shared" si="4"/>
        <v>15</v>
      </c>
      <c r="I38" s="6">
        <f>30</f>
        <v>30</v>
      </c>
      <c r="J38" s="6">
        <f>0</f>
        <v>0</v>
      </c>
      <c r="K38" s="6">
        <f t="shared" si="5"/>
        <v>5.2462749999999989</v>
      </c>
      <c r="L38" s="6">
        <f t="shared" si="6"/>
        <v>2.895000000000048</v>
      </c>
      <c r="M38" s="6">
        <f t="shared" si="7"/>
        <v>-5.6250000000012799</v>
      </c>
      <c r="N38" s="6">
        <f t="shared" si="8"/>
        <v>21.000000000025448</v>
      </c>
      <c r="O38" s="6">
        <f t="shared" si="9"/>
        <v>29.999999999572793</v>
      </c>
      <c r="P38" s="6">
        <f t="shared" si="10"/>
        <v>5.8992810636482334E-9</v>
      </c>
    </row>
    <row r="39" spans="1:16" ht="17.5" thickBot="1" x14ac:dyDescent="0.4">
      <c r="A39" s="1">
        <v>37</v>
      </c>
      <c r="B39" s="6">
        <v>0.6</v>
      </c>
      <c r="C39" s="6">
        <v>-3.5925600000000002</v>
      </c>
      <c r="D39" s="6">
        <f t="shared" si="0"/>
        <v>-3.5925600000000002</v>
      </c>
      <c r="E39" s="6">
        <f t="shared" si="1"/>
        <v>5.4019999999999992</v>
      </c>
      <c r="F39" s="6">
        <f t="shared" si="2"/>
        <v>2.8800000000000008</v>
      </c>
      <c r="G39" s="6">
        <f t="shared" si="3"/>
        <v>-6.6000000000000005</v>
      </c>
      <c r="H39" s="6">
        <f t="shared" si="4"/>
        <v>18</v>
      </c>
      <c r="I39" s="6">
        <f>30</f>
        <v>30</v>
      </c>
      <c r="J39" s="6">
        <f>0</f>
        <v>0</v>
      </c>
      <c r="K39" s="6">
        <f t="shared" si="5"/>
        <v>5.5357750000000037</v>
      </c>
      <c r="L39" s="6">
        <f t="shared" si="6"/>
        <v>2.3324999999999201</v>
      </c>
      <c r="M39" s="6">
        <f t="shared" si="7"/>
        <v>-3.5249999999987356</v>
      </c>
      <c r="N39" s="6">
        <f t="shared" si="8"/>
        <v>23.999999999982727</v>
      </c>
      <c r="O39" s="6">
        <f t="shared" si="9"/>
        <v>30.000000000162721</v>
      </c>
      <c r="P39" s="6">
        <f t="shared" si="10"/>
        <v>9.5887742190825541E-10</v>
      </c>
    </row>
    <row r="40" spans="1:16" ht="17.5" thickBot="1" x14ac:dyDescent="0.4">
      <c r="A40" s="1">
        <v>38</v>
      </c>
      <c r="B40" s="6">
        <v>0.7</v>
      </c>
      <c r="C40" s="6">
        <v>-3.0389824999999999</v>
      </c>
      <c r="D40" s="6">
        <f t="shared" si="0"/>
        <v>-3.0389825000000004</v>
      </c>
      <c r="E40" s="6">
        <f t="shared" si="1"/>
        <v>5.6601250000000007</v>
      </c>
      <c r="F40" s="6">
        <f t="shared" si="2"/>
        <v>2.3150000000000013</v>
      </c>
      <c r="G40" s="6">
        <f t="shared" si="3"/>
        <v>-4.6500000000000012</v>
      </c>
      <c r="H40" s="6">
        <f t="shared" si="4"/>
        <v>21</v>
      </c>
      <c r="I40" s="6">
        <f>30</f>
        <v>30</v>
      </c>
      <c r="J40" s="6">
        <f>0</f>
        <v>0</v>
      </c>
      <c r="K40" s="6">
        <f t="shared" si="5"/>
        <v>5.7690249999999956</v>
      </c>
      <c r="L40" s="6">
        <f t="shared" si="6"/>
        <v>1.9800000000000466</v>
      </c>
      <c r="M40" s="6">
        <f t="shared" si="7"/>
        <v>-1.1250000000004636</v>
      </c>
      <c r="N40" s="6">
        <f t="shared" si="8"/>
        <v>26.999999999998998</v>
      </c>
      <c r="O40" s="6">
        <f t="shared" si="9"/>
        <v>30.000000000258609</v>
      </c>
      <c r="P40" s="6">
        <f t="shared" si="10"/>
        <v>-9.8349772770234185E-9</v>
      </c>
    </row>
    <row r="41" spans="1:16" ht="17.5" thickBot="1" x14ac:dyDescent="0.4">
      <c r="A41" s="1">
        <v>39</v>
      </c>
      <c r="B41" s="6">
        <v>0.8</v>
      </c>
      <c r="C41" s="6">
        <v>-2.4620799999999998</v>
      </c>
      <c r="D41" s="6">
        <f t="shared" si="0"/>
        <v>-2.4620799999999994</v>
      </c>
      <c r="E41" s="6">
        <f t="shared" si="1"/>
        <v>5.8719999999999999</v>
      </c>
      <c r="F41" s="6">
        <f t="shared" si="2"/>
        <v>1.9599999999999991</v>
      </c>
      <c r="G41" s="6">
        <f t="shared" si="3"/>
        <v>-2.3999999999999986</v>
      </c>
      <c r="H41" s="6">
        <f t="shared" si="4"/>
        <v>24</v>
      </c>
      <c r="I41" s="6">
        <f>30</f>
        <v>30</v>
      </c>
      <c r="J41" s="6">
        <f>0</f>
        <v>0</v>
      </c>
      <c r="K41" s="6">
        <f t="shared" si="5"/>
        <v>5.9670250000000005</v>
      </c>
      <c r="L41" s="6">
        <f t="shared" si="6"/>
        <v>1.8675000000000002</v>
      </c>
      <c r="M41" s="6">
        <f t="shared" si="7"/>
        <v>1.5749999999994384</v>
      </c>
      <c r="N41" s="6">
        <f t="shared" si="8"/>
        <v>30.000000000024862</v>
      </c>
      <c r="O41" s="6">
        <f t="shared" si="9"/>
        <v>29.999999999275111</v>
      </c>
      <c r="P41" s="6">
        <f t="shared" si="10"/>
        <v>1.806128580028599E-8</v>
      </c>
    </row>
    <row r="42" spans="1:16" ht="17.5" thickBot="1" x14ac:dyDescent="0.4">
      <c r="A42" s="1">
        <v>40</v>
      </c>
      <c r="B42" s="6">
        <v>0.9</v>
      </c>
      <c r="C42" s="6">
        <v>-1.8653774999999999</v>
      </c>
      <c r="D42" s="6">
        <f t="shared" si="0"/>
        <v>-1.8653775000000001</v>
      </c>
      <c r="E42" s="6">
        <f t="shared" si="1"/>
        <v>6.0601249999999993</v>
      </c>
      <c r="F42" s="6">
        <f t="shared" si="2"/>
        <v>1.8449999999999998</v>
      </c>
      <c r="G42" s="6">
        <f t="shared" si="3"/>
        <v>0.15000000000000036</v>
      </c>
      <c r="H42" s="6">
        <f t="shared" si="4"/>
        <v>27</v>
      </c>
      <c r="I42" s="6">
        <f>30</f>
        <v>30</v>
      </c>
      <c r="J42" s="6">
        <f>0</f>
        <v>0</v>
      </c>
      <c r="K42" s="6">
        <f t="shared" si="5"/>
        <v>6.1537750000000004</v>
      </c>
      <c r="L42" s="6">
        <f t="shared" si="6"/>
        <v>2.024999999999944</v>
      </c>
      <c r="M42" s="6">
        <f t="shared" si="7"/>
        <v>4.575000000001924</v>
      </c>
      <c r="N42" s="6">
        <f t="shared" si="8"/>
        <v>32.999999999952372</v>
      </c>
      <c r="O42" s="6">
        <f t="shared" si="9"/>
        <v>30.00000000108124</v>
      </c>
      <c r="P42" s="6">
        <f t="shared" si="10"/>
        <v>-2.3649349145671301E-8</v>
      </c>
    </row>
    <row r="43" spans="1:16" ht="17.5" thickBot="1" x14ac:dyDescent="0.4">
      <c r="A43" s="1">
        <v>41</v>
      </c>
      <c r="B43" s="6">
        <v>1</v>
      </c>
      <c r="C43" s="6">
        <v>-1.25</v>
      </c>
      <c r="D43" s="6">
        <f t="shared" si="0"/>
        <v>-1.25</v>
      </c>
      <c r="E43" s="6">
        <f t="shared" si="1"/>
        <v>6.25</v>
      </c>
      <c r="F43" s="6">
        <f t="shared" si="2"/>
        <v>2</v>
      </c>
      <c r="G43" s="6">
        <f t="shared" si="3"/>
        <v>3</v>
      </c>
      <c r="H43" s="6">
        <f t="shared" si="4"/>
        <v>30</v>
      </c>
      <c r="I43" s="6">
        <f>30</f>
        <v>30</v>
      </c>
      <c r="J43" s="6"/>
      <c r="K43" s="6">
        <f t="shared" si="5"/>
        <v>6.3562749999999948</v>
      </c>
      <c r="L43" s="6">
        <f t="shared" si="6"/>
        <v>2.4825000000001363</v>
      </c>
      <c r="M43" s="6">
        <f t="shared" si="7"/>
        <v>7.8749999999971605</v>
      </c>
      <c r="N43" s="6">
        <f t="shared" si="8"/>
        <v>36.000000000060496</v>
      </c>
      <c r="O43" s="6">
        <f t="shared" si="9"/>
        <v>29.999999998716305</v>
      </c>
      <c r="P43" s="6"/>
    </row>
    <row r="44" spans="1:16" ht="17.5" thickBot="1" x14ac:dyDescent="0.4">
      <c r="A44" s="1">
        <v>42</v>
      </c>
      <c r="B44" s="6">
        <v>1.1000000000000001</v>
      </c>
      <c r="C44" s="6">
        <v>-0.61437249999999999</v>
      </c>
      <c r="D44" s="6">
        <f t="shared" si="0"/>
        <v>-0.6143724999999991</v>
      </c>
      <c r="E44" s="6">
        <f t="shared" si="1"/>
        <v>6.4701249999999995</v>
      </c>
      <c r="F44" s="6">
        <f t="shared" si="2"/>
        <v>2.455000000000001</v>
      </c>
      <c r="G44" s="6">
        <f t="shared" si="3"/>
        <v>6.1500000000000021</v>
      </c>
      <c r="H44" s="6">
        <f t="shared" si="4"/>
        <v>33</v>
      </c>
      <c r="I44" s="6"/>
      <c r="J44" s="6"/>
      <c r="K44" s="6">
        <f t="shared" si="5"/>
        <v>6.6045250000000086</v>
      </c>
      <c r="L44" s="6">
        <f t="shared" si="6"/>
        <v>3.269999999999853</v>
      </c>
      <c r="M44" s="6">
        <f t="shared" si="7"/>
        <v>11.475000000003213</v>
      </c>
      <c r="N44" s="6">
        <f t="shared" si="8"/>
        <v>38.999999999932129</v>
      </c>
      <c r="O44" s="6"/>
      <c r="P44" s="6"/>
    </row>
    <row r="45" spans="1:16" ht="17.5" thickBot="1" x14ac:dyDescent="0.4">
      <c r="A45" s="1">
        <v>43</v>
      </c>
      <c r="B45" s="6">
        <v>1.2</v>
      </c>
      <c r="C45" s="6">
        <v>4.6080000000000003E-2</v>
      </c>
      <c r="D45" s="6">
        <f t="shared" si="0"/>
        <v>4.6079999999999899E-2</v>
      </c>
      <c r="E45" s="6">
        <f t="shared" si="1"/>
        <v>6.751999999999998</v>
      </c>
      <c r="F45" s="6">
        <f t="shared" si="2"/>
        <v>3.240000000000002</v>
      </c>
      <c r="G45" s="6">
        <f t="shared" si="3"/>
        <v>9.5999999999999979</v>
      </c>
      <c r="H45" s="6"/>
      <c r="I45" s="6"/>
      <c r="J45" s="6"/>
      <c r="K45" s="6">
        <f t="shared" si="5"/>
        <v>6.9315249999999935</v>
      </c>
      <c r="L45" s="6">
        <f t="shared" si="6"/>
        <v>4.4175000000001727</v>
      </c>
      <c r="M45" s="6">
        <f t="shared" si="7"/>
        <v>15.374999999996421</v>
      </c>
      <c r="N45" s="6"/>
      <c r="O45" s="6"/>
      <c r="P45" s="6"/>
    </row>
    <row r="46" spans="1:16" ht="17.5" thickBot="1" x14ac:dyDescent="0.4">
      <c r="A46" s="1">
        <v>44</v>
      </c>
      <c r="B46" s="6">
        <v>1.3</v>
      </c>
      <c r="C46" s="6">
        <v>0.73923249999999996</v>
      </c>
      <c r="D46" s="6">
        <f t="shared" si="0"/>
        <v>0.73923249999999996</v>
      </c>
      <c r="E46" s="6">
        <f t="shared" si="1"/>
        <v>7.1301250000000014</v>
      </c>
      <c r="F46" s="6">
        <f t="shared" si="2"/>
        <v>4.3850000000000016</v>
      </c>
      <c r="G46" s="6"/>
      <c r="H46" s="6"/>
      <c r="I46" s="6"/>
      <c r="J46" s="6"/>
      <c r="K46" s="6">
        <f t="shared" si="5"/>
        <v>7.3732750000000111</v>
      </c>
      <c r="L46" s="6">
        <f t="shared" si="6"/>
        <v>5.9549999999998162</v>
      </c>
      <c r="M46" s="6"/>
      <c r="N46" s="6"/>
      <c r="O46" s="6"/>
      <c r="P46" s="6"/>
    </row>
    <row r="47" spans="1:16" ht="17.5" thickBot="1" x14ac:dyDescent="0.4">
      <c r="A47" s="1">
        <v>45</v>
      </c>
      <c r="B47" s="6">
        <v>1.4</v>
      </c>
      <c r="C47" s="6">
        <v>1.4765600000000001</v>
      </c>
      <c r="D47" s="6">
        <f t="shared" si="0"/>
        <v>1.4765599999999992</v>
      </c>
      <c r="E47" s="6">
        <f t="shared" si="1"/>
        <v>7.6420000000000003</v>
      </c>
      <c r="F47" s="6"/>
      <c r="G47" s="6"/>
      <c r="H47" s="6"/>
      <c r="I47" s="6"/>
      <c r="J47" s="6"/>
      <c r="K47" s="6">
        <f t="shared" si="5"/>
        <v>7.9687749999999919</v>
      </c>
      <c r="L47" s="6"/>
      <c r="M47" s="6"/>
      <c r="N47" s="6"/>
      <c r="O47" s="6"/>
      <c r="P47" s="6"/>
    </row>
    <row r="48" spans="1:16" ht="17.5" thickBot="1" x14ac:dyDescent="0.4">
      <c r="A48" s="1">
        <v>46</v>
      </c>
      <c r="B48" s="6">
        <v>1.5</v>
      </c>
      <c r="C48" s="6">
        <v>2.2734375</v>
      </c>
      <c r="D48" s="6">
        <f t="shared" si="0"/>
        <v>2.2734375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3:4" x14ac:dyDescent="0.35">
      <c r="C49">
        <f>SUM(C3:C48)</f>
        <v>210.70443749999998</v>
      </c>
      <c r="D49">
        <f>SUM(D3:D48)</f>
        <v>210.70443749999993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389C-C16F-4A1D-9839-DFF67E980CE7}">
  <dimension ref="A2:H96"/>
  <sheetViews>
    <sheetView topLeftCell="J1" workbookViewId="0">
      <selection activeCell="E3" sqref="E3"/>
    </sheetView>
  </sheetViews>
  <sheetFormatPr baseColWidth="10" defaultRowHeight="14.5" x14ac:dyDescent="0.35"/>
  <cols>
    <col min="5" max="5" width="12.26953125" bestFit="1" customWidth="1"/>
    <col min="6" max="6" width="11.08984375" bestFit="1" customWidth="1"/>
    <col min="7" max="7" width="14.1796875" bestFit="1" customWidth="1"/>
    <col min="8" max="8" width="13.453125" bestFit="1" customWidth="1"/>
  </cols>
  <sheetData>
    <row r="2" spans="1:8" ht="17.5" thickBot="1" x14ac:dyDescent="0.4">
      <c r="C2" s="1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</row>
    <row r="3" spans="1:8" ht="17.5" thickBot="1" x14ac:dyDescent="0.4">
      <c r="C3" s="1">
        <v>1</v>
      </c>
      <c r="D3" s="6">
        <v>-2</v>
      </c>
      <c r="E3" s="6">
        <f>((3*D3^2)-(4*D3)*(SIN(1.4*D3^3)^2))/((0.4*D3^2+1)^(1/4))</f>
        <v>15.490588454337948</v>
      </c>
      <c r="F3" s="6">
        <f>(E4-E3)/(D4-D3)</f>
        <v>-22.503009005427494</v>
      </c>
      <c r="G3" s="6">
        <f>(F4-F3)/(D4-D3)</f>
        <v>-29.498278806347553</v>
      </c>
      <c r="H3" s="6">
        <f>(G4-G3)/(D4-D3)</f>
        <v>1827.7014971050944</v>
      </c>
    </row>
    <row r="4" spans="1:8" ht="17.5" thickBot="1" x14ac:dyDescent="0.4">
      <c r="C4" s="1">
        <f>IF(C3&lt;$B$7,C3+1,"")</f>
        <v>2</v>
      </c>
      <c r="D4" s="6">
        <f>IF(C3&lt;$B$7,D3+$B$9,"")</f>
        <v>-1.8275862068965516</v>
      </c>
      <c r="E4" s="6">
        <f>IF(C3&lt;$B$7,((3*D4^2)-(4*D4)*(SIN(1.4*D4^3)^2))/((0.4*D4^2+1)^(1/4)),"")</f>
        <v>11.610759315471135</v>
      </c>
      <c r="F4" s="6">
        <f>IF(C3&lt;$B$7-1,(E5-E4)/(D5-D4),"")</f>
        <v>-27.588919144452937</v>
      </c>
      <c r="G4" s="6">
        <f>IF(C3&lt;$B$7-2,(F5-F4)/(D5-D4),"")</f>
        <v>285.62266897039308</v>
      </c>
      <c r="H4" s="6">
        <f>IF(C3&lt;$B$7-3,(G5-G4)/(D5-D4),"")</f>
        <v>-3569.0166205642445</v>
      </c>
    </row>
    <row r="5" spans="1:8" ht="17.5" thickBot="1" x14ac:dyDescent="0.4">
      <c r="A5" t="s">
        <v>10</v>
      </c>
      <c r="B5">
        <v>-2</v>
      </c>
      <c r="C5" s="1">
        <f t="shared" ref="C5:C68" si="0">IF(C4&lt;$B$7,C4+1,"")</f>
        <v>3</v>
      </c>
      <c r="D5" s="6">
        <f t="shared" ref="D5:D68" si="1">IF(C4&lt;$B$7,D4+$B$9,"")</f>
        <v>-1.6551724137931032</v>
      </c>
      <c r="E5" s="6">
        <f t="shared" ref="E5:E68" si="2">IF(C4&lt;$B$7,((3*D5^2)-(4*D5)*(SIN(1.4*D5^3)^2))/((0.4*D5^2+1)^(1/4)),"")</f>
        <v>6.8540491181516598</v>
      </c>
      <c r="F5" s="6">
        <f t="shared" ref="F5:F68" si="3">IF(C4&lt;$B$7-1,(E6-E5)/(D6-D5),"")</f>
        <v>21.656368609063144</v>
      </c>
      <c r="G5" s="6">
        <f t="shared" ref="G5:G68" si="4">IF(C4&lt;$B$7-2,(F6-F5)/(D6-D5),"")</f>
        <v>-329.72502423033916</v>
      </c>
      <c r="H5" s="6">
        <f t="shared" ref="H5:H68" si="5">IF(C4&lt;$B$7-3,(G6-G5)/(D6-D5),"")</f>
        <v>3518.6886120252116</v>
      </c>
    </row>
    <row r="6" spans="1:8" ht="17.5" thickBot="1" x14ac:dyDescent="0.4">
      <c r="A6" t="s">
        <v>11</v>
      </c>
      <c r="B6">
        <v>3</v>
      </c>
      <c r="C6" s="1">
        <f t="shared" si="0"/>
        <v>4</v>
      </c>
      <c r="D6" s="6">
        <f t="shared" si="1"/>
        <v>-1.4827586206896548</v>
      </c>
      <c r="E6" s="6">
        <f t="shared" si="2"/>
        <v>10.587905774886687</v>
      </c>
      <c r="F6" s="6">
        <f t="shared" si="3"/>
        <v>-35.192773499616059</v>
      </c>
      <c r="G6" s="6">
        <f t="shared" si="4"/>
        <v>276.94542611883571</v>
      </c>
      <c r="H6" s="6">
        <f t="shared" si="5"/>
        <v>-2197.8472325568728</v>
      </c>
    </row>
    <row r="7" spans="1:8" ht="17.5" thickBot="1" x14ac:dyDescent="0.4">
      <c r="A7" t="s">
        <v>12</v>
      </c>
      <c r="B7">
        <v>30</v>
      </c>
      <c r="C7" s="1">
        <f t="shared" si="0"/>
        <v>5</v>
      </c>
      <c r="D7" s="6">
        <f t="shared" si="1"/>
        <v>-1.3103448275862064</v>
      </c>
      <c r="E7" s="6">
        <f t="shared" si="2"/>
        <v>4.520186205987363</v>
      </c>
      <c r="F7" s="6">
        <f t="shared" si="3"/>
        <v>12.556437900183237</v>
      </c>
      <c r="G7" s="6">
        <f t="shared" si="4"/>
        <v>-101.99375190821161</v>
      </c>
      <c r="H7" s="6">
        <f t="shared" si="5"/>
        <v>215.60722281091495</v>
      </c>
    </row>
    <row r="8" spans="1:8" ht="17.5" thickBot="1" x14ac:dyDescent="0.4">
      <c r="C8" s="1">
        <f t="shared" si="0"/>
        <v>6</v>
      </c>
      <c r="D8" s="6">
        <f t="shared" si="1"/>
        <v>-1.137931034482758</v>
      </c>
      <c r="E8" s="6">
        <f t="shared" si="2"/>
        <v>6.6850892922258538</v>
      </c>
      <c r="F8" s="6">
        <f t="shared" si="3"/>
        <v>-5.0286917391636052</v>
      </c>
      <c r="G8" s="6">
        <f t="shared" si="4"/>
        <v>-64.820092802881419</v>
      </c>
      <c r="H8" s="6">
        <f t="shared" si="5"/>
        <v>599.04274612023221</v>
      </c>
    </row>
    <row r="9" spans="1:8" ht="17.5" thickBot="1" x14ac:dyDescent="0.4">
      <c r="A9" t="s">
        <v>13</v>
      </c>
      <c r="B9">
        <f>(B6-B5)/(B7-1)</f>
        <v>0.17241379310344829</v>
      </c>
      <c r="C9" s="1">
        <f t="shared" si="0"/>
        <v>7</v>
      </c>
      <c r="D9" s="6">
        <f t="shared" si="1"/>
        <v>-0.96551724137930972</v>
      </c>
      <c r="E9" s="6">
        <f t="shared" si="2"/>
        <v>5.8180734751286804</v>
      </c>
      <c r="F9" s="6">
        <f t="shared" si="3"/>
        <v>-16.204569808625919</v>
      </c>
      <c r="G9" s="6">
        <f t="shared" si="4"/>
        <v>38.463139286813806</v>
      </c>
      <c r="H9" s="6">
        <f t="shared" si="5"/>
        <v>-48.268036973106987</v>
      </c>
    </row>
    <row r="10" spans="1:8" ht="17.5" thickBot="1" x14ac:dyDescent="0.4">
      <c r="C10" s="1">
        <f t="shared" si="0"/>
        <v>8</v>
      </c>
      <c r="D10" s="6">
        <f t="shared" si="1"/>
        <v>-0.79310344827586143</v>
      </c>
      <c r="E10" s="6">
        <f t="shared" si="2"/>
        <v>3.0241821288138664</v>
      </c>
      <c r="F10" s="6">
        <f t="shared" si="3"/>
        <v>-9.5729940695200906</v>
      </c>
      <c r="G10" s="6">
        <f t="shared" si="4"/>
        <v>30.141063946622946</v>
      </c>
      <c r="H10" s="6">
        <f t="shared" si="5"/>
        <v>-104.00632020166648</v>
      </c>
    </row>
    <row r="11" spans="1:8" ht="17.5" thickBot="1" x14ac:dyDescent="0.4">
      <c r="C11" s="1">
        <f t="shared" si="0"/>
        <v>9</v>
      </c>
      <c r="D11" s="6">
        <f t="shared" si="1"/>
        <v>-0.62068965517241315</v>
      </c>
      <c r="E11" s="6">
        <f t="shared" si="2"/>
        <v>1.3736659099310922</v>
      </c>
      <c r="F11" s="6">
        <f t="shared" si="3"/>
        <v>-4.3762589063092374</v>
      </c>
      <c r="G11" s="6">
        <f t="shared" si="4"/>
        <v>12.208939773921827</v>
      </c>
      <c r="H11" s="6">
        <f t="shared" si="5"/>
        <v>-32.544698100503197</v>
      </c>
    </row>
    <row r="12" spans="1:8" ht="17.5" thickBot="1" x14ac:dyDescent="0.4">
      <c r="C12" s="1">
        <f t="shared" si="0"/>
        <v>10</v>
      </c>
      <c r="D12" s="6">
        <f t="shared" si="1"/>
        <v>-0.44827586206896486</v>
      </c>
      <c r="E12" s="6">
        <f t="shared" si="2"/>
        <v>0.61913851229156835</v>
      </c>
      <c r="F12" s="6">
        <f t="shared" si="3"/>
        <v>-2.2712692901158187</v>
      </c>
      <c r="G12" s="6">
        <f t="shared" si="4"/>
        <v>6.5977849290074824</v>
      </c>
      <c r="H12" s="6">
        <f t="shared" si="5"/>
        <v>-3.6036483275111166</v>
      </c>
    </row>
    <row r="13" spans="1:8" ht="17.5" thickBot="1" x14ac:dyDescent="0.4">
      <c r="C13" s="1">
        <f t="shared" si="0"/>
        <v>11</v>
      </c>
      <c r="D13" s="6">
        <f t="shared" si="1"/>
        <v>-0.27586206896551657</v>
      </c>
      <c r="E13" s="6">
        <f t="shared" si="2"/>
        <v>0.22754035882332374</v>
      </c>
      <c r="F13" s="6">
        <f t="shared" si="3"/>
        <v>-1.1337201644248733</v>
      </c>
      <c r="G13" s="6">
        <f t="shared" si="4"/>
        <v>5.9764662518503933</v>
      </c>
      <c r="H13" s="6">
        <f t="shared" si="5"/>
        <v>-0.13578811180829858</v>
      </c>
    </row>
    <row r="14" spans="1:8" ht="17.5" thickBot="1" x14ac:dyDescent="0.4">
      <c r="C14" s="1">
        <f t="shared" si="0"/>
        <v>12</v>
      </c>
      <c r="D14" s="6">
        <f t="shared" si="1"/>
        <v>-0.10344827586206828</v>
      </c>
      <c r="E14" s="6">
        <f t="shared" si="2"/>
        <v>3.2071364956966261E-2</v>
      </c>
      <c r="F14" s="6">
        <f t="shared" si="3"/>
        <v>-0.10329494858859849</v>
      </c>
      <c r="G14" s="6">
        <f t="shared" si="4"/>
        <v>5.9530545084351694</v>
      </c>
      <c r="H14" s="6">
        <f t="shared" si="5"/>
        <v>-3.953381517515969</v>
      </c>
    </row>
    <row r="15" spans="1:8" ht="17.5" thickBot="1" x14ac:dyDescent="0.4">
      <c r="C15" s="1">
        <f t="shared" si="0"/>
        <v>13</v>
      </c>
      <c r="D15" s="6">
        <f t="shared" si="1"/>
        <v>6.8965517241380003E-2</v>
      </c>
      <c r="E15" s="6">
        <f t="shared" si="2"/>
        <v>1.4261891062380313E-2</v>
      </c>
      <c r="F15" s="6">
        <f t="shared" si="3"/>
        <v>0.9230937597622928</v>
      </c>
      <c r="G15" s="6">
        <f t="shared" si="4"/>
        <v>5.2714370054151747</v>
      </c>
      <c r="H15" s="6">
        <f t="shared" si="5"/>
        <v>-27.204250936177193</v>
      </c>
    </row>
    <row r="16" spans="1:8" ht="17.5" thickBot="1" x14ac:dyDescent="0.4">
      <c r="C16" s="1">
        <f t="shared" si="0"/>
        <v>14</v>
      </c>
      <c r="D16" s="6">
        <f t="shared" si="1"/>
        <v>0.24137931034482829</v>
      </c>
      <c r="E16" s="6">
        <f t="shared" si="2"/>
        <v>0.17341598757312046</v>
      </c>
      <c r="F16" s="6">
        <f t="shared" si="3"/>
        <v>1.8319622089718057</v>
      </c>
      <c r="G16" s="6">
        <f t="shared" si="4"/>
        <v>0.58104891297083028</v>
      </c>
      <c r="H16" s="6">
        <f t="shared" si="5"/>
        <v>-94.109010095099677</v>
      </c>
    </row>
    <row r="17" spans="3:8" ht="17.5" thickBot="1" x14ac:dyDescent="0.4">
      <c r="C17" s="1">
        <f t="shared" si="0"/>
        <v>15</v>
      </c>
      <c r="D17" s="6">
        <f t="shared" si="1"/>
        <v>0.41379310344827658</v>
      </c>
      <c r="E17" s="6">
        <f t="shared" si="2"/>
        <v>0.48927154084412144</v>
      </c>
      <c r="F17" s="6">
        <f t="shared" si="3"/>
        <v>1.932143056035742</v>
      </c>
      <c r="G17" s="6">
        <f t="shared" si="4"/>
        <v>-15.644642482736014</v>
      </c>
      <c r="H17" s="6">
        <f t="shared" si="5"/>
        <v>-98.895231579627037</v>
      </c>
    </row>
    <row r="18" spans="3:8" ht="17.5" thickBot="1" x14ac:dyDescent="0.4">
      <c r="C18" s="1">
        <f t="shared" si="0"/>
        <v>16</v>
      </c>
      <c r="D18" s="6">
        <f t="shared" si="1"/>
        <v>0.58620689655172487</v>
      </c>
      <c r="E18" s="6">
        <f t="shared" si="2"/>
        <v>0.82239965395373216</v>
      </c>
      <c r="F18" s="6">
        <f t="shared" si="3"/>
        <v>-0.76520909616012289</v>
      </c>
      <c r="G18" s="6">
        <f t="shared" si="4"/>
        <v>-32.695544479223436</v>
      </c>
      <c r="H18" s="6">
        <f t="shared" si="5"/>
        <v>423.86612643160527</v>
      </c>
    </row>
    <row r="19" spans="3:8" ht="17.5" thickBot="1" x14ac:dyDescent="0.4">
      <c r="C19" s="1">
        <f t="shared" si="0"/>
        <v>17</v>
      </c>
      <c r="D19" s="6">
        <f t="shared" si="1"/>
        <v>0.75862068965517315</v>
      </c>
      <c r="E19" s="6">
        <f t="shared" si="2"/>
        <v>0.69046705116750406</v>
      </c>
      <c r="F19" s="6">
        <f t="shared" si="3"/>
        <v>-6.4023719374055439</v>
      </c>
      <c r="G19" s="6">
        <f t="shared" si="4"/>
        <v>40.384822146915404</v>
      </c>
      <c r="H19" s="6">
        <f t="shared" si="5"/>
        <v>602.05822254094744</v>
      </c>
    </row>
    <row r="20" spans="3:8" ht="17.5" thickBot="1" x14ac:dyDescent="0.4">
      <c r="C20" s="1">
        <f t="shared" si="0"/>
        <v>18</v>
      </c>
      <c r="D20" s="6">
        <f t="shared" si="1"/>
        <v>0.93103448275862144</v>
      </c>
      <c r="E20" s="6">
        <f t="shared" si="2"/>
        <v>-0.41339017941965878</v>
      </c>
      <c r="F20" s="6">
        <f t="shared" si="3"/>
        <v>0.56052843275228525</v>
      </c>
      <c r="G20" s="6">
        <f t="shared" si="4"/>
        <v>144.18796396432015</v>
      </c>
      <c r="H20" s="6">
        <f t="shared" si="5"/>
        <v>-2210.1776784577378</v>
      </c>
    </row>
    <row r="21" spans="3:8" ht="17.5" thickBot="1" x14ac:dyDescent="0.4">
      <c r="C21" s="1">
        <f t="shared" si="0"/>
        <v>19</v>
      </c>
      <c r="D21" s="6">
        <f t="shared" si="1"/>
        <v>1.1034482758620698</v>
      </c>
      <c r="E21" s="6">
        <f t="shared" si="2"/>
        <v>-0.31674734618650607</v>
      </c>
      <c r="F21" s="6">
        <f t="shared" si="3"/>
        <v>25.420522219704054</v>
      </c>
      <c r="G21" s="6">
        <f t="shared" si="4"/>
        <v>-236.87715301115216</v>
      </c>
      <c r="H21" s="6">
        <f t="shared" si="5"/>
        <v>2796.0401624694045</v>
      </c>
    </row>
    <row r="22" spans="3:8" ht="17.5" thickBot="1" x14ac:dyDescent="0.4">
      <c r="C22" s="1">
        <f t="shared" si="0"/>
        <v>20</v>
      </c>
      <c r="D22" s="6">
        <f t="shared" si="1"/>
        <v>1.2758620689655182</v>
      </c>
      <c r="E22" s="6">
        <f t="shared" si="2"/>
        <v>4.0661013123831609</v>
      </c>
      <c r="F22" s="6">
        <f t="shared" si="3"/>
        <v>-15.420366230494622</v>
      </c>
      <c r="G22" s="6">
        <f t="shared" si="4"/>
        <v>245.19873706977998</v>
      </c>
      <c r="H22" s="6">
        <f t="shared" si="5"/>
        <v>-3058.2222831591362</v>
      </c>
    </row>
    <row r="23" spans="3:8" ht="17.5" thickBot="1" x14ac:dyDescent="0.4">
      <c r="C23" s="1">
        <f t="shared" si="0"/>
        <v>21</v>
      </c>
      <c r="D23" s="6">
        <f t="shared" si="1"/>
        <v>1.4482758620689666</v>
      </c>
      <c r="E23" s="6">
        <f t="shared" si="2"/>
        <v>1.4074174795392589</v>
      </c>
      <c r="F23" s="6">
        <f t="shared" si="3"/>
        <v>26.855278091881267</v>
      </c>
      <c r="G23" s="6">
        <f t="shared" si="4"/>
        <v>-282.08096692317491</v>
      </c>
      <c r="H23" s="6">
        <f t="shared" si="5"/>
        <v>2653.8967042162112</v>
      </c>
    </row>
    <row r="24" spans="3:8" ht="17.5" thickBot="1" x14ac:dyDescent="0.4">
      <c r="C24" s="1">
        <f t="shared" si="0"/>
        <v>22</v>
      </c>
      <c r="D24" s="6">
        <f t="shared" si="1"/>
        <v>1.620689655172415</v>
      </c>
      <c r="E24" s="6">
        <f t="shared" si="2"/>
        <v>6.0376378402084461</v>
      </c>
      <c r="F24" s="6">
        <f t="shared" si="3"/>
        <v>-21.779371377631687</v>
      </c>
      <c r="G24" s="6">
        <f t="shared" si="4"/>
        <v>175.4874303554825</v>
      </c>
      <c r="H24" s="6">
        <f t="shared" si="5"/>
        <v>-1007.1522393803594</v>
      </c>
    </row>
    <row r="25" spans="3:8" ht="17.5" thickBot="1" x14ac:dyDescent="0.4">
      <c r="C25" s="1">
        <f t="shared" si="0"/>
        <v>23</v>
      </c>
      <c r="D25" s="6">
        <f t="shared" si="1"/>
        <v>1.7931034482758634</v>
      </c>
      <c r="E25" s="6">
        <f t="shared" si="2"/>
        <v>2.2825738095822903</v>
      </c>
      <c r="F25" s="6">
        <f t="shared" si="3"/>
        <v>8.4770821319342868</v>
      </c>
      <c r="G25" s="6">
        <f t="shared" si="4"/>
        <v>1.8404925312824905</v>
      </c>
      <c r="H25" s="6">
        <f t="shared" si="5"/>
        <v>-339.68818423516302</v>
      </c>
    </row>
    <row r="26" spans="3:8" ht="17.5" thickBot="1" x14ac:dyDescent="0.4">
      <c r="C26" s="1">
        <f t="shared" si="0"/>
        <v>24</v>
      </c>
      <c r="D26" s="6">
        <f t="shared" si="1"/>
        <v>1.9655172413793118</v>
      </c>
      <c r="E26" s="6">
        <f t="shared" si="2"/>
        <v>3.7441396943985477</v>
      </c>
      <c r="F26" s="6">
        <f t="shared" si="3"/>
        <v>8.7944084304312682</v>
      </c>
      <c r="G26" s="6">
        <f t="shared" si="4"/>
        <v>-56.726435785124963</v>
      </c>
      <c r="H26" s="6">
        <f t="shared" si="5"/>
        <v>1605.4793109927803</v>
      </c>
    </row>
    <row r="27" spans="3:8" ht="17.5" thickBot="1" x14ac:dyDescent="0.4">
      <c r="C27" s="1">
        <f t="shared" si="0"/>
        <v>25</v>
      </c>
      <c r="D27" s="6">
        <f t="shared" si="1"/>
        <v>2.1379310344827602</v>
      </c>
      <c r="E27" s="6">
        <f t="shared" si="2"/>
        <v>5.2604170099901468</v>
      </c>
      <c r="F27" s="6">
        <f t="shared" si="3"/>
        <v>-0.98601153252131957</v>
      </c>
      <c r="G27" s="6">
        <f t="shared" si="4"/>
        <v>220.08034197225112</v>
      </c>
      <c r="H27" s="6">
        <f t="shared" si="5"/>
        <v>-2949.5719684461283</v>
      </c>
    </row>
    <row r="28" spans="3:8" ht="17.5" thickBot="1" x14ac:dyDescent="0.4">
      <c r="C28" s="1">
        <f t="shared" si="0"/>
        <v>26</v>
      </c>
      <c r="D28" s="6">
        <f t="shared" si="1"/>
        <v>2.3103448275862086</v>
      </c>
      <c r="E28" s="6">
        <f t="shared" si="2"/>
        <v>5.090415021624402</v>
      </c>
      <c r="F28" s="6">
        <f t="shared" si="3"/>
        <v>36.95887501441856</v>
      </c>
      <c r="G28" s="6">
        <f t="shared" si="4"/>
        <v>-288.46654913915063</v>
      </c>
      <c r="H28" s="6">
        <f t="shared" si="5"/>
        <v>3482.6367456873618</v>
      </c>
    </row>
    <row r="29" spans="3:8" ht="17.5" thickBot="1" x14ac:dyDescent="0.4">
      <c r="C29" s="1">
        <f t="shared" si="0"/>
        <v>27</v>
      </c>
      <c r="D29" s="6">
        <f t="shared" si="1"/>
        <v>2.482758620689657</v>
      </c>
      <c r="E29" s="6">
        <f t="shared" si="2"/>
        <v>11.462634851696572</v>
      </c>
      <c r="F29" s="6">
        <f t="shared" si="3"/>
        <v>-12.776736906124693</v>
      </c>
      <c r="G29" s="6">
        <f t="shared" si="4"/>
        <v>311.98806218625703</v>
      </c>
      <c r="H29" s="6">
        <f t="shared" si="5"/>
        <v>-2794.7312032527898</v>
      </c>
    </row>
    <row r="30" spans="3:8" ht="17.5" thickBot="1" x14ac:dyDescent="0.4">
      <c r="C30" s="1">
        <f t="shared" si="0"/>
        <v>28</v>
      </c>
      <c r="D30" s="6">
        <f t="shared" si="1"/>
        <v>2.6551724137931054</v>
      </c>
      <c r="E30" s="6">
        <f t="shared" si="2"/>
        <v>9.2597491782267962</v>
      </c>
      <c r="F30" s="6">
        <f t="shared" si="3"/>
        <v>41.014308298402412</v>
      </c>
      <c r="G30" s="6">
        <f t="shared" si="4"/>
        <v>-169.86214527112091</v>
      </c>
      <c r="H30" s="6" t="str">
        <f t="shared" si="5"/>
        <v/>
      </c>
    </row>
    <row r="31" spans="3:8" ht="17.5" thickBot="1" x14ac:dyDescent="0.4">
      <c r="C31" s="1">
        <f t="shared" si="0"/>
        <v>29</v>
      </c>
      <c r="D31" s="6">
        <f t="shared" si="1"/>
        <v>2.8275862068965538</v>
      </c>
      <c r="E31" s="6">
        <f t="shared" si="2"/>
        <v>16.331181643468597</v>
      </c>
      <c r="F31" s="6">
        <f t="shared" si="3"/>
        <v>11.727731527519476</v>
      </c>
      <c r="G31" s="6" t="str">
        <f t="shared" si="4"/>
        <v/>
      </c>
      <c r="H31" s="6" t="str">
        <f t="shared" si="5"/>
        <v/>
      </c>
    </row>
    <row r="32" spans="3:8" ht="17.5" thickBot="1" x14ac:dyDescent="0.4">
      <c r="C32" s="1">
        <f t="shared" si="0"/>
        <v>30</v>
      </c>
      <c r="D32" s="6">
        <f t="shared" si="1"/>
        <v>3.0000000000000022</v>
      </c>
      <c r="E32" s="6">
        <f t="shared" si="2"/>
        <v>18.353204320627128</v>
      </c>
      <c r="F32" s="6" t="str">
        <f t="shared" si="3"/>
        <v/>
      </c>
      <c r="G32" s="6" t="str">
        <f t="shared" si="4"/>
        <v/>
      </c>
      <c r="H32" s="6" t="str">
        <f t="shared" si="5"/>
        <v/>
      </c>
    </row>
    <row r="33" spans="3:8" ht="17.5" thickBot="1" x14ac:dyDescent="0.4">
      <c r="C33" s="1" t="str">
        <f t="shared" si="0"/>
        <v/>
      </c>
      <c r="D33" s="6" t="str">
        <f t="shared" si="1"/>
        <v/>
      </c>
      <c r="E33" s="6" t="str">
        <f t="shared" si="2"/>
        <v/>
      </c>
      <c r="F33" s="6" t="str">
        <f t="shared" si="3"/>
        <v/>
      </c>
      <c r="G33" s="6" t="str">
        <f t="shared" si="4"/>
        <v/>
      </c>
      <c r="H33" s="6" t="str">
        <f t="shared" si="5"/>
        <v/>
      </c>
    </row>
    <row r="34" spans="3:8" ht="17.5" thickBot="1" x14ac:dyDescent="0.4">
      <c r="C34" s="1" t="str">
        <f t="shared" si="0"/>
        <v/>
      </c>
      <c r="D34" s="6" t="str">
        <f t="shared" si="1"/>
        <v/>
      </c>
      <c r="E34" s="6" t="str">
        <f t="shared" si="2"/>
        <v/>
      </c>
      <c r="F34" s="6" t="str">
        <f t="shared" si="3"/>
        <v/>
      </c>
      <c r="G34" s="6" t="str">
        <f t="shared" si="4"/>
        <v/>
      </c>
      <c r="H34" s="6" t="str">
        <f t="shared" si="5"/>
        <v/>
      </c>
    </row>
    <row r="35" spans="3:8" ht="17.5" thickBot="1" x14ac:dyDescent="0.4">
      <c r="C35" s="1" t="str">
        <f t="shared" si="0"/>
        <v/>
      </c>
      <c r="D35" s="6" t="str">
        <f t="shared" si="1"/>
        <v/>
      </c>
      <c r="E35" s="6" t="str">
        <f t="shared" si="2"/>
        <v/>
      </c>
      <c r="F35" s="6" t="str">
        <f t="shared" si="3"/>
        <v/>
      </c>
      <c r="G35" s="6" t="str">
        <f t="shared" si="4"/>
        <v/>
      </c>
      <c r="H35" s="6" t="str">
        <f t="shared" si="5"/>
        <v/>
      </c>
    </row>
    <row r="36" spans="3:8" ht="17.5" thickBot="1" x14ac:dyDescent="0.4">
      <c r="C36" s="1" t="str">
        <f t="shared" si="0"/>
        <v/>
      </c>
      <c r="D36" s="6" t="str">
        <f t="shared" si="1"/>
        <v/>
      </c>
      <c r="E36" s="6" t="str">
        <f t="shared" si="2"/>
        <v/>
      </c>
      <c r="F36" s="6" t="str">
        <f t="shared" si="3"/>
        <v/>
      </c>
      <c r="G36" s="6" t="str">
        <f t="shared" si="4"/>
        <v/>
      </c>
      <c r="H36" s="6" t="str">
        <f t="shared" si="5"/>
        <v/>
      </c>
    </row>
    <row r="37" spans="3:8" ht="17.5" thickBot="1" x14ac:dyDescent="0.4">
      <c r="C37" s="1" t="str">
        <f t="shared" si="0"/>
        <v/>
      </c>
      <c r="D37" s="6" t="str">
        <f t="shared" si="1"/>
        <v/>
      </c>
      <c r="E37" s="6" t="str">
        <f t="shared" si="2"/>
        <v/>
      </c>
      <c r="F37" s="6" t="str">
        <f t="shared" si="3"/>
        <v/>
      </c>
      <c r="G37" s="6" t="str">
        <f t="shared" si="4"/>
        <v/>
      </c>
      <c r="H37" s="6" t="str">
        <f t="shared" si="5"/>
        <v/>
      </c>
    </row>
    <row r="38" spans="3:8" ht="17.5" thickBot="1" x14ac:dyDescent="0.4">
      <c r="C38" s="1" t="str">
        <f t="shared" si="0"/>
        <v/>
      </c>
      <c r="D38" s="6" t="str">
        <f t="shared" si="1"/>
        <v/>
      </c>
      <c r="E38" s="6" t="str">
        <f t="shared" si="2"/>
        <v/>
      </c>
      <c r="F38" s="6" t="str">
        <f t="shared" si="3"/>
        <v/>
      </c>
      <c r="G38" s="6" t="str">
        <f t="shared" si="4"/>
        <v/>
      </c>
      <c r="H38" s="6" t="str">
        <f t="shared" si="5"/>
        <v/>
      </c>
    </row>
    <row r="39" spans="3:8" ht="17.5" thickBot="1" x14ac:dyDescent="0.4">
      <c r="C39" s="1" t="str">
        <f t="shared" si="0"/>
        <v/>
      </c>
      <c r="D39" s="6" t="str">
        <f t="shared" si="1"/>
        <v/>
      </c>
      <c r="E39" s="6" t="str">
        <f t="shared" si="2"/>
        <v/>
      </c>
      <c r="F39" s="6" t="str">
        <f t="shared" si="3"/>
        <v/>
      </c>
      <c r="G39" s="6" t="str">
        <f t="shared" si="4"/>
        <v/>
      </c>
      <c r="H39" s="6" t="str">
        <f t="shared" si="5"/>
        <v/>
      </c>
    </row>
    <row r="40" spans="3:8" ht="17.5" thickBot="1" x14ac:dyDescent="0.4">
      <c r="C40" s="1" t="str">
        <f t="shared" si="0"/>
        <v/>
      </c>
      <c r="D40" s="6" t="str">
        <f t="shared" si="1"/>
        <v/>
      </c>
      <c r="E40" s="6" t="str">
        <f t="shared" si="2"/>
        <v/>
      </c>
      <c r="F40" s="6" t="str">
        <f t="shared" si="3"/>
        <v/>
      </c>
      <c r="G40" s="6" t="str">
        <f t="shared" si="4"/>
        <v/>
      </c>
      <c r="H40" s="6" t="str">
        <f t="shared" si="5"/>
        <v/>
      </c>
    </row>
    <row r="41" spans="3:8" ht="17.5" thickBot="1" x14ac:dyDescent="0.4">
      <c r="C41" s="1" t="str">
        <f t="shared" si="0"/>
        <v/>
      </c>
      <c r="D41" s="6" t="str">
        <f t="shared" si="1"/>
        <v/>
      </c>
      <c r="E41" s="6" t="str">
        <f t="shared" si="2"/>
        <v/>
      </c>
      <c r="F41" s="6" t="str">
        <f t="shared" si="3"/>
        <v/>
      </c>
      <c r="G41" s="6" t="str">
        <f t="shared" si="4"/>
        <v/>
      </c>
      <c r="H41" s="6" t="str">
        <f t="shared" si="5"/>
        <v/>
      </c>
    </row>
    <row r="42" spans="3:8" ht="17.5" thickBot="1" x14ac:dyDescent="0.4">
      <c r="C42" s="1" t="str">
        <f t="shared" si="0"/>
        <v/>
      </c>
      <c r="D42" s="6" t="str">
        <f t="shared" si="1"/>
        <v/>
      </c>
      <c r="E42" s="6" t="str">
        <f t="shared" si="2"/>
        <v/>
      </c>
      <c r="F42" s="6" t="str">
        <f t="shared" si="3"/>
        <v/>
      </c>
      <c r="G42" s="6" t="str">
        <f t="shared" si="4"/>
        <v/>
      </c>
      <c r="H42" s="6" t="str">
        <f t="shared" si="5"/>
        <v/>
      </c>
    </row>
    <row r="43" spans="3:8" ht="17.5" thickBot="1" x14ac:dyDescent="0.4">
      <c r="C43" s="1" t="str">
        <f t="shared" si="0"/>
        <v/>
      </c>
      <c r="D43" s="6" t="str">
        <f t="shared" si="1"/>
        <v/>
      </c>
      <c r="E43" s="6" t="str">
        <f t="shared" si="2"/>
        <v/>
      </c>
      <c r="F43" s="6" t="str">
        <f t="shared" si="3"/>
        <v/>
      </c>
      <c r="G43" s="6" t="str">
        <f t="shared" si="4"/>
        <v/>
      </c>
      <c r="H43" s="6" t="str">
        <f t="shared" si="5"/>
        <v/>
      </c>
    </row>
    <row r="44" spans="3:8" ht="17.5" thickBot="1" x14ac:dyDescent="0.4">
      <c r="C44" s="1" t="str">
        <f t="shared" si="0"/>
        <v/>
      </c>
      <c r="D44" s="6" t="str">
        <f t="shared" si="1"/>
        <v/>
      </c>
      <c r="E44" s="6" t="str">
        <f t="shared" si="2"/>
        <v/>
      </c>
      <c r="F44" s="6" t="str">
        <f t="shared" si="3"/>
        <v/>
      </c>
      <c r="G44" s="6" t="str">
        <f t="shared" si="4"/>
        <v/>
      </c>
      <c r="H44" s="6" t="str">
        <f t="shared" si="5"/>
        <v/>
      </c>
    </row>
    <row r="45" spans="3:8" ht="17.5" thickBot="1" x14ac:dyDescent="0.4">
      <c r="C45" s="1" t="str">
        <f t="shared" si="0"/>
        <v/>
      </c>
      <c r="D45" s="6" t="str">
        <f t="shared" si="1"/>
        <v/>
      </c>
      <c r="E45" s="6" t="str">
        <f t="shared" si="2"/>
        <v/>
      </c>
      <c r="F45" s="6" t="str">
        <f t="shared" si="3"/>
        <v/>
      </c>
      <c r="G45" s="6" t="str">
        <f t="shared" si="4"/>
        <v/>
      </c>
      <c r="H45" s="6" t="str">
        <f t="shared" si="5"/>
        <v/>
      </c>
    </row>
    <row r="46" spans="3:8" ht="17.5" thickBot="1" x14ac:dyDescent="0.4">
      <c r="C46" s="1" t="str">
        <f t="shared" si="0"/>
        <v/>
      </c>
      <c r="D46" s="6" t="str">
        <f t="shared" si="1"/>
        <v/>
      </c>
      <c r="E46" s="6" t="str">
        <f t="shared" si="2"/>
        <v/>
      </c>
      <c r="F46" s="6" t="str">
        <f t="shared" si="3"/>
        <v/>
      </c>
      <c r="G46" s="6" t="str">
        <f t="shared" si="4"/>
        <v/>
      </c>
      <c r="H46" s="6" t="str">
        <f t="shared" si="5"/>
        <v/>
      </c>
    </row>
    <row r="47" spans="3:8" ht="17.5" thickBot="1" x14ac:dyDescent="0.4">
      <c r="C47" s="1" t="str">
        <f t="shared" si="0"/>
        <v/>
      </c>
      <c r="D47" s="6" t="str">
        <f t="shared" si="1"/>
        <v/>
      </c>
      <c r="E47" s="6" t="str">
        <f t="shared" si="2"/>
        <v/>
      </c>
      <c r="F47" s="6" t="str">
        <f t="shared" si="3"/>
        <v/>
      </c>
      <c r="G47" s="6" t="str">
        <f t="shared" si="4"/>
        <v/>
      </c>
      <c r="H47" s="6" t="str">
        <f t="shared" si="5"/>
        <v/>
      </c>
    </row>
    <row r="48" spans="3:8" ht="17.5" thickBot="1" x14ac:dyDescent="0.4">
      <c r="C48" s="1" t="str">
        <f t="shared" si="0"/>
        <v/>
      </c>
      <c r="D48" s="6" t="str">
        <f t="shared" si="1"/>
        <v/>
      </c>
      <c r="E48" s="6" t="str">
        <f t="shared" si="2"/>
        <v/>
      </c>
      <c r="F48" s="6" t="str">
        <f t="shared" si="3"/>
        <v/>
      </c>
      <c r="G48" s="6" t="str">
        <f t="shared" si="4"/>
        <v/>
      </c>
      <c r="H48" s="6" t="str">
        <f t="shared" si="5"/>
        <v/>
      </c>
    </row>
    <row r="49" spans="3:8" ht="17.5" thickBot="1" x14ac:dyDescent="0.4">
      <c r="C49" s="1" t="str">
        <f t="shared" si="0"/>
        <v/>
      </c>
      <c r="D49" s="6" t="str">
        <f t="shared" si="1"/>
        <v/>
      </c>
      <c r="E49" s="6" t="str">
        <f t="shared" si="2"/>
        <v/>
      </c>
      <c r="F49" s="6" t="str">
        <f t="shared" si="3"/>
        <v/>
      </c>
      <c r="G49" s="6" t="str">
        <f t="shared" si="4"/>
        <v/>
      </c>
      <c r="H49" s="6" t="str">
        <f t="shared" si="5"/>
        <v/>
      </c>
    </row>
    <row r="50" spans="3:8" ht="17.5" thickBot="1" x14ac:dyDescent="0.4">
      <c r="C50" s="1" t="str">
        <f t="shared" si="0"/>
        <v/>
      </c>
      <c r="D50" s="6" t="str">
        <f t="shared" si="1"/>
        <v/>
      </c>
      <c r="E50" s="6" t="str">
        <f t="shared" si="2"/>
        <v/>
      </c>
      <c r="F50" s="6" t="str">
        <f t="shared" si="3"/>
        <v/>
      </c>
      <c r="G50" s="6" t="str">
        <f t="shared" si="4"/>
        <v/>
      </c>
      <c r="H50" s="6" t="str">
        <f t="shared" si="5"/>
        <v/>
      </c>
    </row>
    <row r="51" spans="3:8" ht="17.5" thickBot="1" x14ac:dyDescent="0.4">
      <c r="C51" s="1" t="str">
        <f t="shared" si="0"/>
        <v/>
      </c>
      <c r="D51" s="6" t="str">
        <f t="shared" si="1"/>
        <v/>
      </c>
      <c r="E51" s="6" t="str">
        <f t="shared" si="2"/>
        <v/>
      </c>
      <c r="F51" s="6" t="str">
        <f t="shared" si="3"/>
        <v/>
      </c>
      <c r="G51" s="6" t="str">
        <f t="shared" si="4"/>
        <v/>
      </c>
      <c r="H51" s="6" t="str">
        <f t="shared" si="5"/>
        <v/>
      </c>
    </row>
    <row r="52" spans="3:8" ht="17.5" thickBot="1" x14ac:dyDescent="0.4">
      <c r="C52" s="1" t="str">
        <f t="shared" si="0"/>
        <v/>
      </c>
      <c r="D52" s="6" t="str">
        <f t="shared" si="1"/>
        <v/>
      </c>
      <c r="E52" s="6" t="str">
        <f t="shared" si="2"/>
        <v/>
      </c>
      <c r="F52" s="6" t="str">
        <f t="shared" si="3"/>
        <v/>
      </c>
      <c r="G52" s="6" t="str">
        <f t="shared" si="4"/>
        <v/>
      </c>
      <c r="H52" s="6" t="str">
        <f t="shared" si="5"/>
        <v/>
      </c>
    </row>
    <row r="53" spans="3:8" ht="17.5" thickBot="1" x14ac:dyDescent="0.4">
      <c r="C53" s="1" t="str">
        <f t="shared" si="0"/>
        <v/>
      </c>
      <c r="D53" s="6" t="str">
        <f t="shared" si="1"/>
        <v/>
      </c>
      <c r="E53" s="6" t="str">
        <f t="shared" si="2"/>
        <v/>
      </c>
      <c r="F53" s="6" t="str">
        <f t="shared" si="3"/>
        <v/>
      </c>
      <c r="G53" s="6" t="str">
        <f t="shared" si="4"/>
        <v/>
      </c>
      <c r="H53" s="6" t="str">
        <f t="shared" si="5"/>
        <v/>
      </c>
    </row>
    <row r="54" spans="3:8" ht="17.5" thickBot="1" x14ac:dyDescent="0.4">
      <c r="C54" s="1" t="str">
        <f t="shared" si="0"/>
        <v/>
      </c>
      <c r="D54" s="6" t="str">
        <f t="shared" si="1"/>
        <v/>
      </c>
      <c r="E54" s="6" t="str">
        <f t="shared" si="2"/>
        <v/>
      </c>
      <c r="F54" s="6" t="str">
        <f t="shared" si="3"/>
        <v/>
      </c>
      <c r="G54" s="6" t="str">
        <f t="shared" si="4"/>
        <v/>
      </c>
      <c r="H54" s="6" t="str">
        <f t="shared" si="5"/>
        <v/>
      </c>
    </row>
    <row r="55" spans="3:8" ht="17.5" thickBot="1" x14ac:dyDescent="0.4">
      <c r="C55" s="1" t="str">
        <f t="shared" si="0"/>
        <v/>
      </c>
      <c r="D55" s="6" t="str">
        <f t="shared" si="1"/>
        <v/>
      </c>
      <c r="E55" s="6" t="str">
        <f t="shared" si="2"/>
        <v/>
      </c>
      <c r="F55" s="6" t="str">
        <f t="shared" si="3"/>
        <v/>
      </c>
      <c r="G55" s="6" t="str">
        <f t="shared" si="4"/>
        <v/>
      </c>
      <c r="H55" s="6" t="str">
        <f t="shared" si="5"/>
        <v/>
      </c>
    </row>
    <row r="56" spans="3:8" ht="17.5" thickBot="1" x14ac:dyDescent="0.4">
      <c r="C56" s="1" t="str">
        <f t="shared" si="0"/>
        <v/>
      </c>
      <c r="D56" s="6" t="str">
        <f t="shared" si="1"/>
        <v/>
      </c>
      <c r="E56" s="6" t="str">
        <f t="shared" si="2"/>
        <v/>
      </c>
      <c r="F56" s="6" t="str">
        <f t="shared" si="3"/>
        <v/>
      </c>
      <c r="G56" s="6" t="str">
        <f t="shared" si="4"/>
        <v/>
      </c>
      <c r="H56" s="6" t="str">
        <f t="shared" si="5"/>
        <v/>
      </c>
    </row>
    <row r="57" spans="3:8" ht="17.5" thickBot="1" x14ac:dyDescent="0.4">
      <c r="C57" s="1" t="str">
        <f t="shared" si="0"/>
        <v/>
      </c>
      <c r="D57" s="6" t="str">
        <f t="shared" si="1"/>
        <v/>
      </c>
      <c r="E57" s="6" t="str">
        <f t="shared" si="2"/>
        <v/>
      </c>
      <c r="F57" s="6" t="str">
        <f t="shared" si="3"/>
        <v/>
      </c>
      <c r="G57" s="6" t="str">
        <f t="shared" si="4"/>
        <v/>
      </c>
      <c r="H57" s="6" t="str">
        <f t="shared" si="5"/>
        <v/>
      </c>
    </row>
    <row r="58" spans="3:8" ht="17.5" thickBot="1" x14ac:dyDescent="0.4">
      <c r="C58" s="1" t="str">
        <f t="shared" si="0"/>
        <v/>
      </c>
      <c r="D58" s="6" t="str">
        <f t="shared" si="1"/>
        <v/>
      </c>
      <c r="E58" s="6" t="str">
        <f t="shared" si="2"/>
        <v/>
      </c>
      <c r="F58" s="6" t="str">
        <f t="shared" si="3"/>
        <v/>
      </c>
      <c r="G58" s="6" t="str">
        <f t="shared" si="4"/>
        <v/>
      </c>
      <c r="H58" s="6" t="str">
        <f t="shared" si="5"/>
        <v/>
      </c>
    </row>
    <row r="59" spans="3:8" ht="17.5" thickBot="1" x14ac:dyDescent="0.4">
      <c r="C59" s="1" t="str">
        <f t="shared" si="0"/>
        <v/>
      </c>
      <c r="D59" s="6" t="str">
        <f t="shared" si="1"/>
        <v/>
      </c>
      <c r="E59" s="6" t="str">
        <f t="shared" si="2"/>
        <v/>
      </c>
      <c r="F59" s="6" t="str">
        <f t="shared" si="3"/>
        <v/>
      </c>
      <c r="G59" s="6" t="str">
        <f t="shared" si="4"/>
        <v/>
      </c>
      <c r="H59" s="6" t="str">
        <f t="shared" si="5"/>
        <v/>
      </c>
    </row>
    <row r="60" spans="3:8" ht="17.5" thickBot="1" x14ac:dyDescent="0.4">
      <c r="C60" s="1" t="str">
        <f t="shared" si="0"/>
        <v/>
      </c>
      <c r="D60" s="6" t="str">
        <f t="shared" si="1"/>
        <v/>
      </c>
      <c r="E60" s="6" t="str">
        <f t="shared" si="2"/>
        <v/>
      </c>
      <c r="F60" s="6" t="str">
        <f t="shared" si="3"/>
        <v/>
      </c>
      <c r="G60" s="6" t="str">
        <f t="shared" si="4"/>
        <v/>
      </c>
      <c r="H60" s="6" t="str">
        <f t="shared" si="5"/>
        <v/>
      </c>
    </row>
    <row r="61" spans="3:8" ht="17.5" thickBot="1" x14ac:dyDescent="0.4">
      <c r="C61" s="1" t="str">
        <f t="shared" si="0"/>
        <v/>
      </c>
      <c r="D61" s="6" t="str">
        <f t="shared" si="1"/>
        <v/>
      </c>
      <c r="E61" s="6" t="str">
        <f t="shared" si="2"/>
        <v/>
      </c>
      <c r="F61" s="6" t="str">
        <f t="shared" si="3"/>
        <v/>
      </c>
      <c r="G61" s="6" t="str">
        <f t="shared" si="4"/>
        <v/>
      </c>
      <c r="H61" s="6" t="str">
        <f t="shared" si="5"/>
        <v/>
      </c>
    </row>
    <row r="62" spans="3:8" ht="17.5" thickBot="1" x14ac:dyDescent="0.4">
      <c r="C62" s="1" t="str">
        <f t="shared" si="0"/>
        <v/>
      </c>
      <c r="D62" s="6" t="str">
        <f t="shared" si="1"/>
        <v/>
      </c>
      <c r="E62" s="6" t="str">
        <f t="shared" si="2"/>
        <v/>
      </c>
      <c r="F62" s="6" t="str">
        <f t="shared" si="3"/>
        <v/>
      </c>
      <c r="G62" s="6" t="str">
        <f t="shared" si="4"/>
        <v/>
      </c>
      <c r="H62" s="6" t="str">
        <f t="shared" si="5"/>
        <v/>
      </c>
    </row>
    <row r="63" spans="3:8" ht="17.5" thickBot="1" x14ac:dyDescent="0.4">
      <c r="C63" s="1" t="str">
        <f t="shared" si="0"/>
        <v/>
      </c>
      <c r="D63" s="6" t="str">
        <f t="shared" si="1"/>
        <v/>
      </c>
      <c r="E63" s="6" t="str">
        <f t="shared" si="2"/>
        <v/>
      </c>
      <c r="F63" s="6" t="str">
        <f t="shared" si="3"/>
        <v/>
      </c>
      <c r="G63" s="6" t="str">
        <f t="shared" si="4"/>
        <v/>
      </c>
      <c r="H63" s="6" t="str">
        <f t="shared" si="5"/>
        <v/>
      </c>
    </row>
    <row r="64" spans="3:8" ht="17.5" thickBot="1" x14ac:dyDescent="0.4">
      <c r="C64" s="1" t="str">
        <f t="shared" si="0"/>
        <v/>
      </c>
      <c r="D64" s="6" t="str">
        <f t="shared" si="1"/>
        <v/>
      </c>
      <c r="E64" s="6" t="str">
        <f t="shared" si="2"/>
        <v/>
      </c>
      <c r="F64" s="6" t="str">
        <f t="shared" si="3"/>
        <v/>
      </c>
      <c r="G64" s="6" t="str">
        <f t="shared" si="4"/>
        <v/>
      </c>
      <c r="H64" s="6" t="str">
        <f t="shared" si="5"/>
        <v/>
      </c>
    </row>
    <row r="65" spans="3:8" ht="17.5" thickBot="1" x14ac:dyDescent="0.4">
      <c r="C65" s="1" t="str">
        <f t="shared" si="0"/>
        <v/>
      </c>
      <c r="D65" s="6" t="str">
        <f t="shared" si="1"/>
        <v/>
      </c>
      <c r="E65" s="6" t="str">
        <f t="shared" si="2"/>
        <v/>
      </c>
      <c r="F65" s="6" t="str">
        <f t="shared" si="3"/>
        <v/>
      </c>
      <c r="G65" s="6" t="str">
        <f t="shared" si="4"/>
        <v/>
      </c>
      <c r="H65" s="6" t="str">
        <f t="shared" si="5"/>
        <v/>
      </c>
    </row>
    <row r="66" spans="3:8" ht="17.5" thickBot="1" x14ac:dyDescent="0.4">
      <c r="C66" s="1" t="str">
        <f t="shared" si="0"/>
        <v/>
      </c>
      <c r="D66" s="6" t="str">
        <f t="shared" si="1"/>
        <v/>
      </c>
      <c r="E66" s="6" t="str">
        <f t="shared" si="2"/>
        <v/>
      </c>
      <c r="F66" s="6" t="str">
        <f t="shared" si="3"/>
        <v/>
      </c>
      <c r="G66" s="6" t="str">
        <f t="shared" si="4"/>
        <v/>
      </c>
      <c r="H66" s="6" t="str">
        <f t="shared" si="5"/>
        <v/>
      </c>
    </row>
    <row r="67" spans="3:8" ht="17.5" thickBot="1" x14ac:dyDescent="0.4">
      <c r="C67" s="1" t="str">
        <f t="shared" si="0"/>
        <v/>
      </c>
      <c r="D67" s="6" t="str">
        <f t="shared" si="1"/>
        <v/>
      </c>
      <c r="E67" s="6" t="str">
        <f t="shared" si="2"/>
        <v/>
      </c>
      <c r="F67" s="6" t="str">
        <f t="shared" si="3"/>
        <v/>
      </c>
      <c r="G67" s="6" t="str">
        <f t="shared" si="4"/>
        <v/>
      </c>
      <c r="H67" s="6" t="str">
        <f t="shared" si="5"/>
        <v/>
      </c>
    </row>
    <row r="68" spans="3:8" ht="17.5" thickBot="1" x14ac:dyDescent="0.4">
      <c r="C68" s="1" t="str">
        <f t="shared" si="0"/>
        <v/>
      </c>
      <c r="D68" s="6" t="str">
        <f t="shared" si="1"/>
        <v/>
      </c>
      <c r="E68" s="6" t="str">
        <f t="shared" si="2"/>
        <v/>
      </c>
      <c r="F68" s="6" t="str">
        <f t="shared" si="3"/>
        <v/>
      </c>
      <c r="G68" s="6" t="str">
        <f t="shared" si="4"/>
        <v/>
      </c>
      <c r="H68" s="6" t="str">
        <f t="shared" si="5"/>
        <v/>
      </c>
    </row>
    <row r="69" spans="3:8" ht="17.5" thickBot="1" x14ac:dyDescent="0.4">
      <c r="C69" s="1" t="str">
        <f t="shared" ref="C69:C96" si="6">IF(C68&lt;$B$7,C68+1,"")</f>
        <v/>
      </c>
      <c r="D69" s="6" t="str">
        <f t="shared" ref="D69:D96" si="7">IF(C68&lt;$B$7,D68+$B$9,"")</f>
        <v/>
      </c>
      <c r="E69" s="6" t="str">
        <f t="shared" ref="E69:E96" si="8">IF(C68&lt;$B$7,((3*D69^2)-(4*D69)*(SIN(1.4*D69^3)^2))/((0.4*D69^2+1)^(1/4)),"")</f>
        <v/>
      </c>
      <c r="F69" s="6" t="str">
        <f t="shared" ref="F69:F96" si="9">IF(C68&lt;$B$7-1,(E70-E69)/(D70-D69),"")</f>
        <v/>
      </c>
      <c r="G69" s="6" t="str">
        <f t="shared" ref="G69:G96" si="10">IF(C68&lt;$B$7-2,(F70-F69)/(D70-D69),"")</f>
        <v/>
      </c>
      <c r="H69" s="6" t="str">
        <f t="shared" ref="H69:H96" si="11">IF(C68&lt;$B$7-3,(G70-G69)/(D70-D69),"")</f>
        <v/>
      </c>
    </row>
    <row r="70" spans="3:8" ht="17.5" thickBot="1" x14ac:dyDescent="0.4">
      <c r="C70" s="1" t="str">
        <f t="shared" si="6"/>
        <v/>
      </c>
      <c r="D70" s="6" t="str">
        <f t="shared" si="7"/>
        <v/>
      </c>
      <c r="E70" s="6" t="str">
        <f t="shared" si="8"/>
        <v/>
      </c>
      <c r="F70" s="6" t="str">
        <f t="shared" si="9"/>
        <v/>
      </c>
      <c r="G70" s="6" t="str">
        <f t="shared" si="10"/>
        <v/>
      </c>
      <c r="H70" s="6" t="str">
        <f t="shared" si="11"/>
        <v/>
      </c>
    </row>
    <row r="71" spans="3:8" ht="17.5" thickBot="1" x14ac:dyDescent="0.4">
      <c r="C71" s="1" t="str">
        <f t="shared" si="6"/>
        <v/>
      </c>
      <c r="D71" s="6" t="str">
        <f t="shared" si="7"/>
        <v/>
      </c>
      <c r="E71" s="6" t="str">
        <f t="shared" si="8"/>
        <v/>
      </c>
      <c r="F71" s="6" t="str">
        <f t="shared" si="9"/>
        <v/>
      </c>
      <c r="G71" s="6" t="str">
        <f t="shared" si="10"/>
        <v/>
      </c>
      <c r="H71" s="6" t="str">
        <f t="shared" si="11"/>
        <v/>
      </c>
    </row>
    <row r="72" spans="3:8" ht="17.5" thickBot="1" x14ac:dyDescent="0.4">
      <c r="C72" s="1" t="str">
        <f t="shared" si="6"/>
        <v/>
      </c>
      <c r="D72" s="6" t="str">
        <f t="shared" si="7"/>
        <v/>
      </c>
      <c r="E72" s="6" t="str">
        <f t="shared" si="8"/>
        <v/>
      </c>
      <c r="F72" s="6" t="str">
        <f t="shared" si="9"/>
        <v/>
      </c>
      <c r="G72" s="6" t="str">
        <f t="shared" si="10"/>
        <v/>
      </c>
      <c r="H72" s="6" t="str">
        <f t="shared" si="11"/>
        <v/>
      </c>
    </row>
    <row r="73" spans="3:8" ht="17.5" thickBot="1" x14ac:dyDescent="0.4">
      <c r="C73" s="1" t="str">
        <f t="shared" si="6"/>
        <v/>
      </c>
      <c r="D73" s="6" t="str">
        <f t="shared" si="7"/>
        <v/>
      </c>
      <c r="E73" s="6" t="str">
        <f t="shared" si="8"/>
        <v/>
      </c>
      <c r="F73" s="6" t="str">
        <f t="shared" si="9"/>
        <v/>
      </c>
      <c r="G73" s="6" t="str">
        <f t="shared" si="10"/>
        <v/>
      </c>
      <c r="H73" s="6" t="str">
        <f t="shared" si="11"/>
        <v/>
      </c>
    </row>
    <row r="74" spans="3:8" ht="17.5" thickBot="1" x14ac:dyDescent="0.4">
      <c r="C74" s="1" t="str">
        <f t="shared" si="6"/>
        <v/>
      </c>
      <c r="D74" s="6" t="str">
        <f t="shared" si="7"/>
        <v/>
      </c>
      <c r="E74" s="6" t="str">
        <f t="shared" si="8"/>
        <v/>
      </c>
      <c r="F74" s="6" t="str">
        <f t="shared" si="9"/>
        <v/>
      </c>
      <c r="G74" s="6" t="str">
        <f t="shared" si="10"/>
        <v/>
      </c>
      <c r="H74" s="6" t="str">
        <f t="shared" si="11"/>
        <v/>
      </c>
    </row>
    <row r="75" spans="3:8" ht="17.5" thickBot="1" x14ac:dyDescent="0.4">
      <c r="C75" s="1" t="str">
        <f t="shared" si="6"/>
        <v/>
      </c>
      <c r="D75" s="6" t="str">
        <f t="shared" si="7"/>
        <v/>
      </c>
      <c r="E75" s="6" t="str">
        <f t="shared" si="8"/>
        <v/>
      </c>
      <c r="F75" s="6" t="str">
        <f t="shared" si="9"/>
        <v/>
      </c>
      <c r="G75" s="6" t="str">
        <f t="shared" si="10"/>
        <v/>
      </c>
      <c r="H75" s="6" t="str">
        <f t="shared" si="11"/>
        <v/>
      </c>
    </row>
    <row r="76" spans="3:8" ht="17.5" thickBot="1" x14ac:dyDescent="0.4">
      <c r="C76" s="1" t="str">
        <f t="shared" si="6"/>
        <v/>
      </c>
      <c r="D76" s="6" t="str">
        <f t="shared" si="7"/>
        <v/>
      </c>
      <c r="E76" s="6" t="str">
        <f t="shared" si="8"/>
        <v/>
      </c>
      <c r="F76" s="6" t="str">
        <f t="shared" si="9"/>
        <v/>
      </c>
      <c r="G76" s="6" t="str">
        <f t="shared" si="10"/>
        <v/>
      </c>
      <c r="H76" s="6" t="str">
        <f t="shared" si="11"/>
        <v/>
      </c>
    </row>
    <row r="77" spans="3:8" ht="17.5" thickBot="1" x14ac:dyDescent="0.4">
      <c r="C77" s="1" t="str">
        <f t="shared" si="6"/>
        <v/>
      </c>
      <c r="D77" s="6" t="str">
        <f t="shared" si="7"/>
        <v/>
      </c>
      <c r="E77" s="6" t="str">
        <f t="shared" si="8"/>
        <v/>
      </c>
      <c r="F77" s="6" t="str">
        <f t="shared" si="9"/>
        <v/>
      </c>
      <c r="G77" s="6" t="str">
        <f t="shared" si="10"/>
        <v/>
      </c>
      <c r="H77" s="6" t="str">
        <f t="shared" si="11"/>
        <v/>
      </c>
    </row>
    <row r="78" spans="3:8" ht="17.5" thickBot="1" x14ac:dyDescent="0.4">
      <c r="C78" s="1" t="str">
        <f t="shared" si="6"/>
        <v/>
      </c>
      <c r="D78" s="6" t="str">
        <f t="shared" si="7"/>
        <v/>
      </c>
      <c r="E78" s="6" t="str">
        <f t="shared" si="8"/>
        <v/>
      </c>
      <c r="F78" s="6" t="str">
        <f t="shared" si="9"/>
        <v/>
      </c>
      <c r="G78" s="6" t="str">
        <f t="shared" si="10"/>
        <v/>
      </c>
      <c r="H78" s="6" t="str">
        <f t="shared" si="11"/>
        <v/>
      </c>
    </row>
    <row r="79" spans="3:8" ht="17.5" thickBot="1" x14ac:dyDescent="0.4">
      <c r="C79" s="1" t="str">
        <f t="shared" si="6"/>
        <v/>
      </c>
      <c r="D79" s="6" t="str">
        <f t="shared" si="7"/>
        <v/>
      </c>
      <c r="E79" s="6" t="str">
        <f t="shared" si="8"/>
        <v/>
      </c>
      <c r="F79" s="6" t="str">
        <f t="shared" si="9"/>
        <v/>
      </c>
      <c r="G79" s="6" t="str">
        <f t="shared" si="10"/>
        <v/>
      </c>
      <c r="H79" s="6" t="str">
        <f t="shared" si="11"/>
        <v/>
      </c>
    </row>
    <row r="80" spans="3:8" ht="17.5" thickBot="1" x14ac:dyDescent="0.4">
      <c r="C80" s="1" t="str">
        <f t="shared" si="6"/>
        <v/>
      </c>
      <c r="D80" s="6" t="str">
        <f t="shared" si="7"/>
        <v/>
      </c>
      <c r="E80" s="6" t="str">
        <f t="shared" si="8"/>
        <v/>
      </c>
      <c r="F80" s="6" t="str">
        <f t="shared" si="9"/>
        <v/>
      </c>
      <c r="G80" s="6" t="str">
        <f t="shared" si="10"/>
        <v/>
      </c>
      <c r="H80" s="6" t="str">
        <f t="shared" si="11"/>
        <v/>
      </c>
    </row>
    <row r="81" spans="3:8" ht="17.5" thickBot="1" x14ac:dyDescent="0.4">
      <c r="C81" s="1" t="str">
        <f t="shared" si="6"/>
        <v/>
      </c>
      <c r="D81" s="6" t="str">
        <f t="shared" si="7"/>
        <v/>
      </c>
      <c r="E81" s="6" t="str">
        <f t="shared" si="8"/>
        <v/>
      </c>
      <c r="F81" s="6" t="str">
        <f t="shared" si="9"/>
        <v/>
      </c>
      <c r="G81" s="6" t="str">
        <f t="shared" si="10"/>
        <v/>
      </c>
      <c r="H81" s="6" t="str">
        <f t="shared" si="11"/>
        <v/>
      </c>
    </row>
    <row r="82" spans="3:8" ht="17.5" thickBot="1" x14ac:dyDescent="0.4">
      <c r="C82" s="1" t="str">
        <f t="shared" si="6"/>
        <v/>
      </c>
      <c r="D82" s="6" t="str">
        <f t="shared" si="7"/>
        <v/>
      </c>
      <c r="E82" s="6" t="str">
        <f t="shared" si="8"/>
        <v/>
      </c>
      <c r="F82" s="6" t="str">
        <f t="shared" si="9"/>
        <v/>
      </c>
      <c r="G82" s="6" t="str">
        <f t="shared" si="10"/>
        <v/>
      </c>
      <c r="H82" s="6" t="str">
        <f t="shared" si="11"/>
        <v/>
      </c>
    </row>
    <row r="83" spans="3:8" ht="17.5" thickBot="1" x14ac:dyDescent="0.4">
      <c r="C83" s="1" t="str">
        <f t="shared" si="6"/>
        <v/>
      </c>
      <c r="D83" s="6" t="str">
        <f t="shared" si="7"/>
        <v/>
      </c>
      <c r="E83" s="6" t="str">
        <f t="shared" si="8"/>
        <v/>
      </c>
      <c r="F83" s="6" t="str">
        <f t="shared" si="9"/>
        <v/>
      </c>
      <c r="G83" s="6" t="str">
        <f t="shared" si="10"/>
        <v/>
      </c>
      <c r="H83" s="6" t="str">
        <f t="shared" si="11"/>
        <v/>
      </c>
    </row>
    <row r="84" spans="3:8" ht="17.5" thickBot="1" x14ac:dyDescent="0.4">
      <c r="C84" s="1" t="str">
        <f t="shared" si="6"/>
        <v/>
      </c>
      <c r="D84" s="6" t="str">
        <f t="shared" si="7"/>
        <v/>
      </c>
      <c r="E84" s="6" t="str">
        <f t="shared" si="8"/>
        <v/>
      </c>
      <c r="F84" s="6" t="str">
        <f t="shared" si="9"/>
        <v/>
      </c>
      <c r="G84" s="6" t="str">
        <f t="shared" si="10"/>
        <v/>
      </c>
      <c r="H84" s="6" t="str">
        <f t="shared" si="11"/>
        <v/>
      </c>
    </row>
    <row r="85" spans="3:8" ht="17.5" thickBot="1" x14ac:dyDescent="0.4">
      <c r="C85" s="1" t="str">
        <f t="shared" si="6"/>
        <v/>
      </c>
      <c r="D85" s="6" t="str">
        <f t="shared" si="7"/>
        <v/>
      </c>
      <c r="E85" s="6" t="str">
        <f t="shared" si="8"/>
        <v/>
      </c>
      <c r="F85" s="6" t="str">
        <f t="shared" si="9"/>
        <v/>
      </c>
      <c r="G85" s="6" t="str">
        <f t="shared" si="10"/>
        <v/>
      </c>
      <c r="H85" s="6" t="str">
        <f t="shared" si="11"/>
        <v/>
      </c>
    </row>
    <row r="86" spans="3:8" ht="17.5" thickBot="1" x14ac:dyDescent="0.4">
      <c r="C86" s="1" t="str">
        <f t="shared" si="6"/>
        <v/>
      </c>
      <c r="D86" s="6" t="str">
        <f t="shared" si="7"/>
        <v/>
      </c>
      <c r="E86" s="6" t="str">
        <f t="shared" si="8"/>
        <v/>
      </c>
      <c r="F86" s="6" t="str">
        <f t="shared" si="9"/>
        <v/>
      </c>
      <c r="G86" s="6" t="str">
        <f t="shared" si="10"/>
        <v/>
      </c>
      <c r="H86" s="6" t="str">
        <f t="shared" si="11"/>
        <v/>
      </c>
    </row>
    <row r="87" spans="3:8" ht="17.5" thickBot="1" x14ac:dyDescent="0.4">
      <c r="C87" s="1" t="str">
        <f t="shared" si="6"/>
        <v/>
      </c>
      <c r="D87" s="6" t="str">
        <f t="shared" si="7"/>
        <v/>
      </c>
      <c r="E87" s="6" t="str">
        <f t="shared" si="8"/>
        <v/>
      </c>
      <c r="F87" s="6" t="str">
        <f t="shared" si="9"/>
        <v/>
      </c>
      <c r="G87" s="6" t="str">
        <f t="shared" si="10"/>
        <v/>
      </c>
      <c r="H87" s="6" t="str">
        <f t="shared" si="11"/>
        <v/>
      </c>
    </row>
    <row r="88" spans="3:8" ht="17.5" thickBot="1" x14ac:dyDescent="0.4">
      <c r="C88" s="1" t="str">
        <f t="shared" si="6"/>
        <v/>
      </c>
      <c r="D88" s="6" t="str">
        <f t="shared" si="7"/>
        <v/>
      </c>
      <c r="E88" s="6" t="str">
        <f t="shared" si="8"/>
        <v/>
      </c>
      <c r="F88" s="6" t="str">
        <f t="shared" si="9"/>
        <v/>
      </c>
      <c r="G88" s="6" t="str">
        <f t="shared" si="10"/>
        <v/>
      </c>
      <c r="H88" s="6" t="str">
        <f t="shared" si="11"/>
        <v/>
      </c>
    </row>
    <row r="89" spans="3:8" ht="17.5" thickBot="1" x14ac:dyDescent="0.4">
      <c r="C89" s="1" t="str">
        <f t="shared" si="6"/>
        <v/>
      </c>
      <c r="D89" s="6" t="str">
        <f t="shared" si="7"/>
        <v/>
      </c>
      <c r="E89" s="6" t="str">
        <f t="shared" si="8"/>
        <v/>
      </c>
      <c r="F89" s="6" t="str">
        <f t="shared" si="9"/>
        <v/>
      </c>
      <c r="G89" s="6" t="str">
        <f t="shared" si="10"/>
        <v/>
      </c>
      <c r="H89" s="6" t="str">
        <f t="shared" si="11"/>
        <v/>
      </c>
    </row>
    <row r="90" spans="3:8" ht="17.5" thickBot="1" x14ac:dyDescent="0.4">
      <c r="C90" s="1" t="str">
        <f t="shared" si="6"/>
        <v/>
      </c>
      <c r="D90" s="6" t="str">
        <f t="shared" si="7"/>
        <v/>
      </c>
      <c r="E90" s="6" t="str">
        <f t="shared" si="8"/>
        <v/>
      </c>
      <c r="F90" s="6" t="str">
        <f t="shared" si="9"/>
        <v/>
      </c>
      <c r="G90" s="6" t="str">
        <f t="shared" si="10"/>
        <v/>
      </c>
      <c r="H90" s="6" t="str">
        <f t="shared" si="11"/>
        <v/>
      </c>
    </row>
    <row r="91" spans="3:8" ht="17.5" thickBot="1" x14ac:dyDescent="0.4">
      <c r="C91" s="1" t="str">
        <f t="shared" si="6"/>
        <v/>
      </c>
      <c r="D91" s="6" t="str">
        <f t="shared" si="7"/>
        <v/>
      </c>
      <c r="E91" s="6" t="str">
        <f t="shared" si="8"/>
        <v/>
      </c>
      <c r="F91" s="6" t="str">
        <f t="shared" si="9"/>
        <v/>
      </c>
      <c r="G91" s="6" t="str">
        <f t="shared" si="10"/>
        <v/>
      </c>
      <c r="H91" s="6" t="str">
        <f t="shared" si="11"/>
        <v/>
      </c>
    </row>
    <row r="92" spans="3:8" ht="17.5" thickBot="1" x14ac:dyDescent="0.4">
      <c r="C92" s="1" t="str">
        <f t="shared" si="6"/>
        <v/>
      </c>
      <c r="D92" s="6" t="str">
        <f t="shared" si="7"/>
        <v/>
      </c>
      <c r="E92" s="6" t="str">
        <f t="shared" si="8"/>
        <v/>
      </c>
      <c r="F92" s="6" t="str">
        <f t="shared" si="9"/>
        <v/>
      </c>
      <c r="G92" s="6" t="str">
        <f t="shared" si="10"/>
        <v/>
      </c>
      <c r="H92" s="6" t="str">
        <f t="shared" si="11"/>
        <v/>
      </c>
    </row>
    <row r="93" spans="3:8" ht="17.5" thickBot="1" x14ac:dyDescent="0.4">
      <c r="C93" s="1" t="str">
        <f t="shared" si="6"/>
        <v/>
      </c>
      <c r="D93" s="6" t="str">
        <f t="shared" si="7"/>
        <v/>
      </c>
      <c r="E93" s="6" t="str">
        <f t="shared" si="8"/>
        <v/>
      </c>
      <c r="F93" s="6" t="str">
        <f t="shared" si="9"/>
        <v/>
      </c>
      <c r="G93" s="6" t="str">
        <f t="shared" si="10"/>
        <v/>
      </c>
      <c r="H93" s="6" t="str">
        <f t="shared" si="11"/>
        <v/>
      </c>
    </row>
    <row r="94" spans="3:8" ht="17.5" thickBot="1" x14ac:dyDescent="0.4">
      <c r="C94" s="1" t="str">
        <f t="shared" si="6"/>
        <v/>
      </c>
      <c r="D94" s="6" t="str">
        <f t="shared" si="7"/>
        <v/>
      </c>
      <c r="E94" s="6" t="str">
        <f t="shared" si="8"/>
        <v/>
      </c>
      <c r="F94" s="6" t="str">
        <f t="shared" si="9"/>
        <v/>
      </c>
      <c r="G94" s="6" t="str">
        <f t="shared" si="10"/>
        <v/>
      </c>
      <c r="H94" s="6" t="str">
        <f t="shared" si="11"/>
        <v/>
      </c>
    </row>
    <row r="95" spans="3:8" ht="17.5" thickBot="1" x14ac:dyDescent="0.4">
      <c r="C95" s="1" t="str">
        <f t="shared" si="6"/>
        <v/>
      </c>
      <c r="D95" s="6" t="str">
        <f t="shared" si="7"/>
        <v/>
      </c>
      <c r="E95" s="6" t="str">
        <f t="shared" si="8"/>
        <v/>
      </c>
      <c r="F95" s="6" t="str">
        <f t="shared" si="9"/>
        <v/>
      </c>
      <c r="G95" s="6" t="str">
        <f t="shared" si="10"/>
        <v/>
      </c>
      <c r="H95" s="6" t="str">
        <f t="shared" si="11"/>
        <v/>
      </c>
    </row>
    <row r="96" spans="3:8" ht="17.5" thickBot="1" x14ac:dyDescent="0.4">
      <c r="C96" s="1" t="str">
        <f t="shared" si="6"/>
        <v/>
      </c>
      <c r="D96" s="6" t="str">
        <f t="shared" si="7"/>
        <v/>
      </c>
      <c r="E96" s="6" t="str">
        <f t="shared" si="8"/>
        <v/>
      </c>
      <c r="F96" s="6" t="str">
        <f t="shared" si="9"/>
        <v/>
      </c>
      <c r="G96" s="6" t="str">
        <f t="shared" si="10"/>
        <v/>
      </c>
      <c r="H96" s="6" t="str">
        <f t="shared" si="11"/>
        <v/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6872-CD2A-4938-A6DC-6DDBF26CFACB}">
  <dimension ref="A1:Q26"/>
  <sheetViews>
    <sheetView topLeftCell="C1" workbookViewId="0">
      <selection activeCell="N3" sqref="N3"/>
    </sheetView>
  </sheetViews>
  <sheetFormatPr baseColWidth="10" defaultRowHeight="14.5" x14ac:dyDescent="0.35"/>
  <cols>
    <col min="6" max="6" width="0" hidden="1" customWidth="1"/>
    <col min="7" max="7" width="11.36328125" bestFit="1" customWidth="1"/>
    <col min="8" max="8" width="12" bestFit="1" customWidth="1"/>
    <col min="9" max="9" width="11.36328125" bestFit="1" customWidth="1"/>
    <col min="12" max="12" width="12.90625" bestFit="1" customWidth="1"/>
    <col min="13" max="13" width="0" hidden="1" customWidth="1"/>
    <col min="15" max="15" width="11.36328125" bestFit="1" customWidth="1"/>
  </cols>
  <sheetData>
    <row r="1" spans="1:17" ht="17.5" thickBot="1" x14ac:dyDescent="0.4">
      <c r="C1" s="1" t="s">
        <v>0</v>
      </c>
      <c r="D1" s="2" t="s">
        <v>1</v>
      </c>
      <c r="E1" s="2" t="s">
        <v>2</v>
      </c>
      <c r="F1" s="2" t="s">
        <v>9</v>
      </c>
      <c r="G1" s="2" t="s">
        <v>3</v>
      </c>
      <c r="H1" s="2" t="s">
        <v>4</v>
      </c>
      <c r="I1" s="2" t="s">
        <v>5</v>
      </c>
      <c r="K1" s="1" t="s">
        <v>0</v>
      </c>
      <c r="L1" s="2" t="s">
        <v>1</v>
      </c>
      <c r="M1" s="2" t="s">
        <v>2</v>
      </c>
      <c r="N1" s="2" t="s">
        <v>9</v>
      </c>
      <c r="O1" s="2" t="s">
        <v>3</v>
      </c>
      <c r="P1" s="2" t="s">
        <v>4</v>
      </c>
      <c r="Q1" s="2" t="s">
        <v>5</v>
      </c>
    </row>
    <row r="2" spans="1:17" ht="16" thickBot="1" x14ac:dyDescent="0.4">
      <c r="C2" s="8">
        <v>1</v>
      </c>
      <c r="D2" s="9">
        <v>-2</v>
      </c>
      <c r="E2" s="9">
        <v>-2.8</v>
      </c>
      <c r="F2" s="9">
        <f>-7.7415*D2^4-32.805*D2^3-56.813*D2^2-47.809*D2-9.7361</f>
        <v>-2.7941000000000216</v>
      </c>
      <c r="G2" s="3">
        <f>(E3-E2)/(D3-D2)</f>
        <v>31.348519999999969</v>
      </c>
      <c r="H2" s="3">
        <f>(G3-G2)/(D3-D2)</f>
        <v>-84.011199999999775</v>
      </c>
      <c r="I2" s="3">
        <f>(H3-H2)/(D3-D2)</f>
        <v>171.28800000003807</v>
      </c>
      <c r="K2" s="8">
        <v>1</v>
      </c>
      <c r="L2" s="9">
        <v>-2</v>
      </c>
      <c r="M2" s="9">
        <v>-2.8</v>
      </c>
      <c r="N2" s="9">
        <f>-7.7415*L2^4-32.805*L2^3-56.813*L2^2-47.809*L2-9.7361</f>
        <v>-2.7941000000000216</v>
      </c>
      <c r="O2" s="3">
        <f>(N3-N2)/(L3-L2)</f>
        <v>32.035391119457501</v>
      </c>
      <c r="P2" s="3">
        <f>(O3-O2)/(L3-L2)</f>
        <v>-85.922849066140486</v>
      </c>
      <c r="Q2" s="3">
        <f>(P3-P2)/(L3-L2)</f>
        <v>165.5883225000442</v>
      </c>
    </row>
    <row r="3" spans="1:17" ht="16" thickBot="1" x14ac:dyDescent="0.4">
      <c r="C3" s="8">
        <v>2</v>
      </c>
      <c r="D3" s="9">
        <v>-1.95</v>
      </c>
      <c r="E3" s="9">
        <v>-1.2325740000000001</v>
      </c>
      <c r="F3" s="9">
        <f t="shared" ref="F3:F26" si="0">-7.7415*D3^4-32.805*D3^3-56.813*D3^2-47.809*D3-9.7361</f>
        <v>-1.2294050093750215</v>
      </c>
      <c r="G3" s="3">
        <f t="shared" ref="G3:G25" si="1">(E4-E3)/(D4-D3)</f>
        <v>27.147959999999976</v>
      </c>
      <c r="H3" s="3">
        <f t="shared" ref="H3:H24" si="2">(G4-G3)/(D4-D3)</f>
        <v>-75.446799999997864</v>
      </c>
      <c r="I3" s="3">
        <f t="shared" ref="I3:I22" si="3">(H4-H3)/(D4-D3)</f>
        <v>158.28799999991432</v>
      </c>
      <c r="K3" s="8">
        <v>2</v>
      </c>
      <c r="L3" s="9">
        <f>L2+$B$9</f>
        <v>-1.9670833333333333</v>
      </c>
      <c r="M3" s="9">
        <v>-1.2325740000000001</v>
      </c>
      <c r="N3" s="9">
        <f t="shared" ref="N3:N26" si="4">-7.7415*L3^4-32.805*L3^3-56.813*L3^2-47.809*L3-9.7361</f>
        <v>-1.7396017089845444</v>
      </c>
      <c r="O3" s="3">
        <f t="shared" ref="O3:O25" si="5">(N4-N3)/(L4-L3)</f>
        <v>29.207097337697039</v>
      </c>
      <c r="P3" s="3">
        <f t="shared" ref="P3:P24" si="6">(O4-O3)/(L4-L3)</f>
        <v>-80.472233450514025</v>
      </c>
      <c r="Q3" s="3">
        <f t="shared" ref="Q3:Q22" si="7">(P4-P3)/(L4-L3)</f>
        <v>159.47253749907992</v>
      </c>
    </row>
    <row r="4" spans="1:17" ht="16" thickBot="1" x14ac:dyDescent="0.4">
      <c r="C4" s="8">
        <v>3</v>
      </c>
      <c r="D4" s="9">
        <v>-1.9</v>
      </c>
      <c r="E4" s="9">
        <v>0.124824</v>
      </c>
      <c r="F4" s="9">
        <f t="shared" si="0"/>
        <v>0.12756284999993994</v>
      </c>
      <c r="G4" s="3">
        <f t="shared" si="1"/>
        <v>23.37562000000008</v>
      </c>
      <c r="H4" s="3">
        <f t="shared" si="2"/>
        <v>-67.532400000002141</v>
      </c>
      <c r="I4" s="3">
        <f t="shared" si="3"/>
        <v>145.96800000004544</v>
      </c>
      <c r="K4" s="8">
        <v>3</v>
      </c>
      <c r="L4" s="9">
        <f t="shared" ref="L4:L26" si="8">L3+$B$9</f>
        <v>-1.9341666666666666</v>
      </c>
      <c r="M4" s="9">
        <v>0.124824</v>
      </c>
      <c r="N4" s="9">
        <f t="shared" si="4"/>
        <v>-0.77820142161868233</v>
      </c>
      <c r="O4" s="3">
        <f t="shared" si="5"/>
        <v>26.558219653284283</v>
      </c>
      <c r="P4" s="3">
        <f t="shared" si="6"/>
        <v>-75.222929091169306</v>
      </c>
      <c r="Q4" s="3">
        <f t="shared" si="7"/>
        <v>153.35675250170581</v>
      </c>
    </row>
    <row r="5" spans="1:17" ht="16" thickBot="1" x14ac:dyDescent="0.4">
      <c r="A5" t="s">
        <v>10</v>
      </c>
      <c r="B5">
        <v>-2</v>
      </c>
      <c r="C5" s="8">
        <v>4</v>
      </c>
      <c r="D5" s="9">
        <v>-1.85</v>
      </c>
      <c r="E5" s="9">
        <v>1.2936049999999999</v>
      </c>
      <c r="F5" s="9">
        <f t="shared" si="0"/>
        <v>1.2969069906249828</v>
      </c>
      <c r="G5" s="3">
        <f t="shared" si="1"/>
        <v>19.998999999999985</v>
      </c>
      <c r="H5" s="3">
        <f t="shared" si="2"/>
        <v>-60.233999999999895</v>
      </c>
      <c r="I5" s="3">
        <f t="shared" si="3"/>
        <v>134.28799999999842</v>
      </c>
      <c r="K5" s="8">
        <v>4</v>
      </c>
      <c r="L5" s="9">
        <f t="shared" si="8"/>
        <v>-1.9012499999999999</v>
      </c>
      <c r="M5" s="9">
        <v>1.2936049999999999</v>
      </c>
      <c r="N5" s="9">
        <f t="shared" si="4"/>
        <v>9.6006641968592987E-2</v>
      </c>
      <c r="O5" s="3">
        <f t="shared" si="5"/>
        <v>24.082131570699957</v>
      </c>
      <c r="P5" s="3">
        <f t="shared" si="6"/>
        <v>-70.17493598798815</v>
      </c>
      <c r="Q5" s="3">
        <f t="shared" si="7"/>
        <v>147.2409674975606</v>
      </c>
    </row>
    <row r="6" spans="1:17" ht="16" thickBot="1" x14ac:dyDescent="0.4">
      <c r="A6" t="s">
        <v>11</v>
      </c>
      <c r="B6">
        <v>-1.21</v>
      </c>
      <c r="C6" s="8">
        <v>5</v>
      </c>
      <c r="D6" s="9">
        <v>-1.8</v>
      </c>
      <c r="E6" s="9">
        <v>2.293555</v>
      </c>
      <c r="F6" s="9">
        <f t="shared" si="0"/>
        <v>2.2975695999999957</v>
      </c>
      <c r="G6" s="3">
        <f t="shared" si="1"/>
        <v>16.987299999999987</v>
      </c>
      <c r="H6" s="3">
        <f t="shared" si="2"/>
        <v>-53.519599999999969</v>
      </c>
      <c r="I6" s="3">
        <f t="shared" si="3"/>
        <v>123.28000000000375</v>
      </c>
      <c r="K6" s="8">
        <v>5</v>
      </c>
      <c r="L6" s="9">
        <f t="shared" si="8"/>
        <v>-1.8683333333333332</v>
      </c>
      <c r="M6" s="9">
        <v>2.293555</v>
      </c>
      <c r="N6" s="9">
        <f t="shared" si="4"/>
        <v>0.88871013950413413</v>
      </c>
      <c r="O6" s="3">
        <f t="shared" si="5"/>
        <v>21.772206594428678</v>
      </c>
      <c r="P6" s="3">
        <f t="shared" si="6"/>
        <v>-65.32825414119344</v>
      </c>
      <c r="Q6" s="3">
        <f t="shared" si="7"/>
        <v>141.1251825029733</v>
      </c>
    </row>
    <row r="7" spans="1:17" ht="16" thickBot="1" x14ac:dyDescent="0.4">
      <c r="A7" t="s">
        <v>12</v>
      </c>
      <c r="B7">
        <v>25</v>
      </c>
      <c r="C7" s="8">
        <v>6</v>
      </c>
      <c r="D7" s="9">
        <v>-1.75</v>
      </c>
      <c r="E7" s="9">
        <v>3.1429200000000002</v>
      </c>
      <c r="F7" s="9">
        <f t="shared" si="0"/>
        <v>3.1473316406249907</v>
      </c>
      <c r="G7" s="3">
        <f t="shared" si="1"/>
        <v>14.311319999999986</v>
      </c>
      <c r="H7" s="3">
        <f t="shared" si="2"/>
        <v>-47.355599999999775</v>
      </c>
      <c r="I7" s="3">
        <f t="shared" si="3"/>
        <v>112.84800000001003</v>
      </c>
      <c r="K7" s="8">
        <v>6</v>
      </c>
      <c r="L7" s="9">
        <f t="shared" si="8"/>
        <v>-1.8354166666666665</v>
      </c>
      <c r="M7" s="9">
        <v>3.1429200000000002</v>
      </c>
      <c r="N7" s="9">
        <f t="shared" si="4"/>
        <v>1.6053786065707456</v>
      </c>
      <c r="O7" s="3">
        <f t="shared" si="5"/>
        <v>19.621818228947724</v>
      </c>
      <c r="P7" s="3">
        <f t="shared" si="6"/>
        <v>-60.682883550470564</v>
      </c>
      <c r="Q7" s="3">
        <f t="shared" si="7"/>
        <v>135.00939749723807</v>
      </c>
    </row>
    <row r="8" spans="1:17" ht="16" thickBot="1" x14ac:dyDescent="0.4">
      <c r="C8" s="10">
        <v>7</v>
      </c>
      <c r="D8" s="11">
        <v>-1.7</v>
      </c>
      <c r="E8" s="11">
        <v>3.8584860000000001</v>
      </c>
      <c r="F8" s="9">
        <f t="shared" si="0"/>
        <v>3.8628128499999903</v>
      </c>
      <c r="G8" s="3">
        <f t="shared" si="1"/>
        <v>11.943539999999995</v>
      </c>
      <c r="H8" s="3">
        <f t="shared" si="2"/>
        <v>-41.713199999999269</v>
      </c>
      <c r="I8" s="3">
        <f t="shared" si="3"/>
        <v>103.06399999996449</v>
      </c>
      <c r="K8" s="10">
        <v>7</v>
      </c>
      <c r="L8" s="9">
        <f t="shared" si="8"/>
        <v>-1.8024999999999998</v>
      </c>
      <c r="M8" s="11">
        <v>3.8584860000000001</v>
      </c>
      <c r="N8" s="9">
        <f t="shared" si="4"/>
        <v>2.2512634566069423</v>
      </c>
      <c r="O8" s="3">
        <f t="shared" si="5"/>
        <v>17.624339978744732</v>
      </c>
      <c r="P8" s="3">
        <f t="shared" si="6"/>
        <v>-56.238824216186472</v>
      </c>
      <c r="Q8" s="3">
        <f t="shared" si="7"/>
        <v>128.89361250224945</v>
      </c>
    </row>
    <row r="9" spans="1:17" ht="16" thickBot="1" x14ac:dyDescent="0.4">
      <c r="A9" t="s">
        <v>13</v>
      </c>
      <c r="B9">
        <f>(B6-B5)/(B7-1)</f>
        <v>3.291666666666667E-2</v>
      </c>
      <c r="C9" s="8">
        <v>8</v>
      </c>
      <c r="D9" s="9">
        <v>-1.65</v>
      </c>
      <c r="E9" s="9">
        <v>4.4556630000000004</v>
      </c>
      <c r="F9" s="9">
        <f t="shared" si="0"/>
        <v>4.4594717406249984</v>
      </c>
      <c r="G9" s="3">
        <f t="shared" si="1"/>
        <v>9.85788000000003</v>
      </c>
      <c r="H9" s="3">
        <f t="shared" si="2"/>
        <v>-36.56000000000104</v>
      </c>
      <c r="I9" s="3">
        <f t="shared" si="3"/>
        <v>272.64800000002515</v>
      </c>
      <c r="K9" s="8">
        <v>8</v>
      </c>
      <c r="L9" s="9">
        <f t="shared" si="8"/>
        <v>-1.7695833333333331</v>
      </c>
      <c r="M9" s="9">
        <v>4.4556630000000004</v>
      </c>
      <c r="N9" s="9">
        <f t="shared" si="4"/>
        <v>2.8313979809072904</v>
      </c>
      <c r="O9" s="3">
        <f t="shared" si="5"/>
        <v>15.773145348295259</v>
      </c>
      <c r="P9" s="3">
        <f t="shared" si="6"/>
        <v>-51.996076137987423</v>
      </c>
      <c r="Q9" s="3">
        <f t="shared" si="7"/>
        <v>122.77782749810403</v>
      </c>
    </row>
    <row r="10" spans="1:17" ht="16" thickBot="1" x14ac:dyDescent="0.4">
      <c r="C10" s="8">
        <v>9</v>
      </c>
      <c r="D10" s="9">
        <v>-1.6</v>
      </c>
      <c r="E10" s="9">
        <v>4.9485570000000001</v>
      </c>
      <c r="F10" s="9">
        <f t="shared" si="0"/>
        <v>4.9516055999999722</v>
      </c>
      <c r="G10" s="3">
        <f t="shared" si="1"/>
        <v>8.0298799999999844</v>
      </c>
      <c r="H10" s="3">
        <f t="shared" si="2"/>
        <v>-22.927599999999831</v>
      </c>
      <c r="I10" s="3">
        <f t="shared" si="3"/>
        <v>-143.09799999998876</v>
      </c>
      <c r="K10" s="8">
        <v>9</v>
      </c>
      <c r="L10" s="9">
        <f t="shared" si="8"/>
        <v>-1.7366666666666664</v>
      </c>
      <c r="M10" s="9">
        <v>4.9485570000000001</v>
      </c>
      <c r="N10" s="9">
        <f t="shared" si="4"/>
        <v>3.35059734862201</v>
      </c>
      <c r="O10" s="3">
        <f t="shared" si="5"/>
        <v>14.061607842086504</v>
      </c>
      <c r="P10" s="3">
        <f t="shared" si="6"/>
        <v>-47.954639316174827</v>
      </c>
      <c r="Q10" s="3">
        <f t="shared" si="7"/>
        <v>116.66204250192538</v>
      </c>
    </row>
    <row r="11" spans="1:17" ht="16" thickBot="1" x14ac:dyDescent="0.4">
      <c r="C11" s="8">
        <v>10</v>
      </c>
      <c r="D11" s="9">
        <v>-1.55</v>
      </c>
      <c r="E11" s="9">
        <v>5.3500509999999997</v>
      </c>
      <c r="F11" s="9">
        <f t="shared" si="0"/>
        <v>5.3523504906249784</v>
      </c>
      <c r="G11" s="3">
        <f t="shared" si="1"/>
        <v>6.8834999999999917</v>
      </c>
      <c r="H11" s="3">
        <f t="shared" si="2"/>
        <v>-30.082499999999275</v>
      </c>
      <c r="I11" s="3">
        <f t="shared" si="3"/>
        <v>84.124999999988077</v>
      </c>
      <c r="K11" s="8">
        <v>10</v>
      </c>
      <c r="L11" s="9">
        <f t="shared" si="8"/>
        <v>-1.7037499999999997</v>
      </c>
      <c r="M11" s="9">
        <v>5.3500509999999997</v>
      </c>
      <c r="N11" s="9">
        <f t="shared" si="4"/>
        <v>3.8134586067573579</v>
      </c>
      <c r="O11" s="3">
        <f t="shared" si="5"/>
        <v>12.483100964595748</v>
      </c>
      <c r="P11" s="3">
        <f t="shared" si="6"/>
        <v>-44.114513750486445</v>
      </c>
      <c r="Q11" s="3">
        <f t="shared" si="7"/>
        <v>110.54625749817845</v>
      </c>
    </row>
    <row r="12" spans="1:17" ht="16" thickBot="1" x14ac:dyDescent="0.4">
      <c r="C12" s="8">
        <v>11</v>
      </c>
      <c r="D12" s="9">
        <v>-1.53</v>
      </c>
      <c r="E12" s="9">
        <v>5.4877209999999996</v>
      </c>
      <c r="F12" s="9">
        <f t="shared" si="0"/>
        <v>5.48978091638498</v>
      </c>
      <c r="G12" s="3">
        <f t="shared" si="1"/>
        <v>6.2818500000000057</v>
      </c>
      <c r="H12" s="3">
        <f t="shared" si="2"/>
        <v>-28.399999999999512</v>
      </c>
      <c r="I12" s="3">
        <f t="shared" si="3"/>
        <v>80.999999999888772</v>
      </c>
      <c r="K12" s="8">
        <v>11</v>
      </c>
      <c r="L12" s="9">
        <f t="shared" si="8"/>
        <v>-1.6708333333333329</v>
      </c>
      <c r="M12" s="9">
        <v>5.4877209999999996</v>
      </c>
      <c r="N12" s="9">
        <f t="shared" si="4"/>
        <v>4.2243606801753018</v>
      </c>
      <c r="O12" s="3">
        <f t="shared" si="5"/>
        <v>11.0309982203089</v>
      </c>
      <c r="P12" s="3">
        <f t="shared" si="6"/>
        <v>-40.4756994411714</v>
      </c>
      <c r="Q12" s="3">
        <f t="shared" si="7"/>
        <v>104.43047250040438</v>
      </c>
    </row>
    <row r="13" spans="1:17" ht="16" thickBot="1" x14ac:dyDescent="0.4">
      <c r="C13" s="8">
        <v>12</v>
      </c>
      <c r="D13" s="9">
        <v>-1.51</v>
      </c>
      <c r="E13" s="9">
        <v>5.6133579999999998</v>
      </c>
      <c r="F13" s="9">
        <f t="shared" si="0"/>
        <v>5.6152324535849729</v>
      </c>
      <c r="G13" s="3">
        <f t="shared" si="1"/>
        <v>5.713850000000015</v>
      </c>
      <c r="H13" s="3">
        <f t="shared" si="2"/>
        <v>-26.780000000001735</v>
      </c>
      <c r="I13" s="3">
        <f t="shared" si="3"/>
        <v>78.000000000131138</v>
      </c>
      <c r="K13" s="8">
        <v>12</v>
      </c>
      <c r="L13" s="9">
        <f t="shared" si="8"/>
        <v>-1.6379166666666662</v>
      </c>
      <c r="M13" s="9">
        <v>5.6133579999999998</v>
      </c>
      <c r="N13" s="9">
        <f t="shared" si="4"/>
        <v>4.5874643715938035</v>
      </c>
      <c r="O13" s="3">
        <f t="shared" si="5"/>
        <v>9.6986731137036735</v>
      </c>
      <c r="P13" s="3">
        <f t="shared" si="6"/>
        <v>-37.038196388033086</v>
      </c>
      <c r="Q13" s="3">
        <f t="shared" si="7"/>
        <v>98.314687501039842</v>
      </c>
    </row>
    <row r="14" spans="1:17" ht="16" thickBot="1" x14ac:dyDescent="0.4">
      <c r="C14" s="8">
        <v>13</v>
      </c>
      <c r="D14" s="9">
        <v>-1.49</v>
      </c>
      <c r="E14" s="9">
        <v>5.7276350000000003</v>
      </c>
      <c r="F14" s="9">
        <f t="shared" si="0"/>
        <v>5.7293897415849884</v>
      </c>
      <c r="G14" s="3">
        <f t="shared" si="1"/>
        <v>5.1782499999999798</v>
      </c>
      <c r="H14" s="3">
        <f t="shared" si="2"/>
        <v>-25.219999999999111</v>
      </c>
      <c r="I14" s="3">
        <f t="shared" si="3"/>
        <v>74.624999999996902</v>
      </c>
      <c r="K14" s="8">
        <v>13</v>
      </c>
      <c r="L14" s="9">
        <f t="shared" si="8"/>
        <v>-1.6049999999999995</v>
      </c>
      <c r="M14" s="9">
        <v>5.7276350000000003</v>
      </c>
      <c r="N14" s="9">
        <f t="shared" si="4"/>
        <v>4.9067123615865498</v>
      </c>
      <c r="O14" s="3">
        <f t="shared" si="5"/>
        <v>8.4794991492642495</v>
      </c>
      <c r="P14" s="3">
        <f t="shared" si="6"/>
        <v>-33.802004591123854</v>
      </c>
      <c r="Q14" s="3">
        <f t="shared" si="7"/>
        <v>92.198902499282482</v>
      </c>
    </row>
    <row r="15" spans="1:17" ht="16" thickBot="1" x14ac:dyDescent="0.4">
      <c r="C15" s="8">
        <v>14</v>
      </c>
      <c r="D15" s="9">
        <v>-1.47</v>
      </c>
      <c r="E15" s="9">
        <v>5.8311999999999999</v>
      </c>
      <c r="F15" s="9">
        <f t="shared" si="0"/>
        <v>5.8329076923849996</v>
      </c>
      <c r="G15" s="3">
        <f t="shared" si="1"/>
        <v>4.6738499999999972</v>
      </c>
      <c r="H15" s="3">
        <f t="shared" si="2"/>
        <v>-23.727499999999171</v>
      </c>
      <c r="I15" s="3">
        <f t="shared" si="3"/>
        <v>71.4999999998889</v>
      </c>
      <c r="K15" s="8">
        <v>14</v>
      </c>
      <c r="L15" s="9">
        <f t="shared" si="8"/>
        <v>-1.5720833333333328</v>
      </c>
      <c r="M15" s="9">
        <v>5.8311999999999999</v>
      </c>
      <c r="N15" s="9">
        <f t="shared" si="4"/>
        <v>5.185829208583165</v>
      </c>
      <c r="O15" s="3">
        <f t="shared" si="5"/>
        <v>7.3668498314730879</v>
      </c>
      <c r="P15" s="3">
        <f t="shared" si="6"/>
        <v>-30.767124050522469</v>
      </c>
      <c r="Q15" s="3">
        <f t="shared" si="7"/>
        <v>86.083117500714039</v>
      </c>
    </row>
    <row r="16" spans="1:17" ht="16" thickBot="1" x14ac:dyDescent="0.4">
      <c r="C16" s="8">
        <v>15</v>
      </c>
      <c r="D16" s="9">
        <v>-1.45</v>
      </c>
      <c r="E16" s="9">
        <v>5.924677</v>
      </c>
      <c r="F16" s="9">
        <f t="shared" si="0"/>
        <v>5.9264114906249787</v>
      </c>
      <c r="G16" s="3">
        <f t="shared" si="1"/>
        <v>4.1993000000000134</v>
      </c>
      <c r="H16" s="3">
        <f t="shared" si="2"/>
        <v>-22.297500000001392</v>
      </c>
      <c r="I16" s="3">
        <f t="shared" si="3"/>
        <v>-658.19999999988329</v>
      </c>
      <c r="K16" s="8">
        <v>15</v>
      </c>
      <c r="L16" s="9">
        <f t="shared" si="8"/>
        <v>-1.5391666666666661</v>
      </c>
      <c r="M16" s="9">
        <v>5.924677</v>
      </c>
      <c r="N16" s="9">
        <f t="shared" si="4"/>
        <v>5.4283213488691544</v>
      </c>
      <c r="O16" s="3">
        <f t="shared" si="5"/>
        <v>6.3540986648100555</v>
      </c>
      <c r="P16" s="3">
        <f t="shared" si="6"/>
        <v>-27.933554766123962</v>
      </c>
      <c r="Q16" s="3">
        <f t="shared" si="7"/>
        <v>79.967332498160047</v>
      </c>
    </row>
    <row r="17" spans="3:17" ht="16" thickBot="1" x14ac:dyDescent="0.4">
      <c r="C17" s="8">
        <v>16</v>
      </c>
      <c r="D17" s="9">
        <v>-1.43</v>
      </c>
      <c r="E17" s="9">
        <v>6.0086630000000003</v>
      </c>
      <c r="F17" s="9">
        <f t="shared" si="0"/>
        <v>6.0104965935849961</v>
      </c>
      <c r="G17" s="3">
        <f t="shared" si="1"/>
        <v>3.7533499999999851</v>
      </c>
      <c r="H17" s="3">
        <f t="shared" si="2"/>
        <v>-35.46149999999907</v>
      </c>
      <c r="I17" s="3">
        <f t="shared" si="3"/>
        <v>885.37499999995248</v>
      </c>
      <c r="K17" s="8">
        <v>16</v>
      </c>
      <c r="L17" s="9">
        <f t="shared" si="8"/>
        <v>-1.5062499999999994</v>
      </c>
      <c r="M17" s="9">
        <v>6.0086630000000003</v>
      </c>
      <c r="N17" s="9">
        <f t="shared" si="4"/>
        <v>5.637477096585819</v>
      </c>
      <c r="O17" s="3">
        <f t="shared" si="5"/>
        <v>5.434619153758474</v>
      </c>
      <c r="P17" s="3">
        <f t="shared" si="6"/>
        <v>-25.301296738059524</v>
      </c>
      <c r="Q17" s="3">
        <f t="shared" si="7"/>
        <v>73.851547501583894</v>
      </c>
    </row>
    <row r="18" spans="3:17" ht="16" thickBot="1" x14ac:dyDescent="0.4">
      <c r="C18" s="8">
        <v>17</v>
      </c>
      <c r="D18" s="9">
        <v>-1.41</v>
      </c>
      <c r="E18" s="9">
        <v>6.0837300000000001</v>
      </c>
      <c r="F18" s="9">
        <f t="shared" si="0"/>
        <v>6.0857287311849859</v>
      </c>
      <c r="G18" s="3">
        <f t="shared" si="1"/>
        <v>3.044120000000003</v>
      </c>
      <c r="H18" s="3">
        <f t="shared" si="2"/>
        <v>-17.754000000000005</v>
      </c>
      <c r="I18" s="3">
        <f t="shared" si="3"/>
        <v>57.167999999997001</v>
      </c>
      <c r="K18" s="8">
        <v>17</v>
      </c>
      <c r="L18" s="9">
        <f t="shared" si="8"/>
        <v>-1.4733333333333327</v>
      </c>
      <c r="M18" s="9">
        <v>6.0837300000000001</v>
      </c>
      <c r="N18" s="9">
        <f t="shared" si="4"/>
        <v>5.8163666437303689</v>
      </c>
      <c r="O18" s="3">
        <f t="shared" si="5"/>
        <v>4.6017848027973471</v>
      </c>
      <c r="P18" s="3">
        <f t="shared" si="6"/>
        <v>-22.870349966132384</v>
      </c>
      <c r="Q18" s="3">
        <f t="shared" si="7"/>
        <v>67.735762500026325</v>
      </c>
    </row>
    <row r="19" spans="3:17" ht="16" thickBot="1" x14ac:dyDescent="0.4">
      <c r="C19" s="8">
        <v>18</v>
      </c>
      <c r="D19" s="9">
        <v>-1.36</v>
      </c>
      <c r="E19" s="9">
        <v>6.2359359999999997</v>
      </c>
      <c r="F19" s="9">
        <f t="shared" si="0"/>
        <v>6.2385217113600007</v>
      </c>
      <c r="G19" s="3">
        <f t="shared" si="1"/>
        <v>2.156420000000006</v>
      </c>
      <c r="H19" s="3">
        <f t="shared" si="2"/>
        <v>-14.895600000000165</v>
      </c>
      <c r="I19" s="3">
        <f t="shared" si="3"/>
        <v>142.13599999999337</v>
      </c>
      <c r="K19" s="8">
        <v>18</v>
      </c>
      <c r="L19" s="9">
        <f t="shared" si="8"/>
        <v>-1.440416666666666</v>
      </c>
      <c r="M19" s="9">
        <v>6.2359359999999997</v>
      </c>
      <c r="N19" s="9">
        <f t="shared" si="4"/>
        <v>5.9678420601557818</v>
      </c>
      <c r="O19" s="3">
        <f t="shared" si="5"/>
        <v>3.8489691164121553</v>
      </c>
      <c r="P19" s="3">
        <f t="shared" si="6"/>
        <v>-20.640714450506515</v>
      </c>
      <c r="Q19" s="3">
        <f t="shared" si="7"/>
        <v>61.619977499067005</v>
      </c>
    </row>
    <row r="20" spans="3:17" ht="16" thickBot="1" x14ac:dyDescent="0.4">
      <c r="C20" s="8">
        <v>19</v>
      </c>
      <c r="D20" s="9">
        <v>-1.31</v>
      </c>
      <c r="E20" s="9">
        <v>6.3437570000000001</v>
      </c>
      <c r="F20" s="9">
        <f t="shared" si="0"/>
        <v>6.3468145707849928</v>
      </c>
      <c r="G20" s="3">
        <f t="shared" si="1"/>
        <v>1.4116399999999971</v>
      </c>
      <c r="H20" s="3">
        <f t="shared" si="2"/>
        <v>-7.7888000000004904</v>
      </c>
      <c r="I20" s="3">
        <f t="shared" si="3"/>
        <v>-81.423999999927148</v>
      </c>
      <c r="K20" s="8">
        <v>19</v>
      </c>
      <c r="L20" s="9">
        <f t="shared" si="8"/>
        <v>-1.4074999999999993</v>
      </c>
      <c r="M20" s="9">
        <v>6.3437570000000001</v>
      </c>
      <c r="N20" s="9">
        <f t="shared" si="4"/>
        <v>6.0945372935710154</v>
      </c>
      <c r="O20" s="3">
        <f t="shared" si="5"/>
        <v>3.1695455990829817</v>
      </c>
      <c r="P20" s="3">
        <f t="shared" si="6"/>
        <v>-18.612390191162223</v>
      </c>
      <c r="Q20" s="3">
        <f t="shared" si="7"/>
        <v>55.504192500697272</v>
      </c>
    </row>
    <row r="21" spans="3:17" ht="16" thickBot="1" x14ac:dyDescent="0.4">
      <c r="C21" s="8">
        <v>20</v>
      </c>
      <c r="D21" s="9">
        <v>-1.26</v>
      </c>
      <c r="E21" s="9">
        <v>6.414339</v>
      </c>
      <c r="F21" s="9">
        <f t="shared" si="0"/>
        <v>6.4170082669599893</v>
      </c>
      <c r="G21" s="3">
        <f t="shared" si="1"/>
        <v>1.0221999999999722</v>
      </c>
      <c r="H21" s="3">
        <f t="shared" si="2"/>
        <v>-11.859999999996852</v>
      </c>
      <c r="I21" s="3">
        <f t="shared" si="3"/>
        <v>47.999999999603872</v>
      </c>
      <c r="K21" s="8">
        <v>20</v>
      </c>
      <c r="L21" s="9">
        <f t="shared" si="8"/>
        <v>-1.3745833333333326</v>
      </c>
      <c r="M21" s="9">
        <v>6.414339</v>
      </c>
      <c r="N21" s="9">
        <f t="shared" si="4"/>
        <v>6.1988681695408303</v>
      </c>
      <c r="O21" s="3">
        <f t="shared" si="5"/>
        <v>2.5568877552905578</v>
      </c>
      <c r="P21" s="3">
        <f t="shared" si="6"/>
        <v>-16.785377188014269</v>
      </c>
      <c r="Q21" s="3">
        <f t="shared" si="7"/>
        <v>49.388407499538388</v>
      </c>
    </row>
    <row r="22" spans="3:17" ht="16" thickBot="1" x14ac:dyDescent="0.4">
      <c r="C22" s="8">
        <v>21</v>
      </c>
      <c r="D22" s="9">
        <v>-1.25</v>
      </c>
      <c r="E22" s="9">
        <v>6.4245609999999997</v>
      </c>
      <c r="F22" s="9">
        <f t="shared" si="0"/>
        <v>6.4269566406249936</v>
      </c>
      <c r="G22" s="3">
        <f t="shared" si="1"/>
        <v>0.90360000000000362</v>
      </c>
      <c r="H22" s="3">
        <f t="shared" si="2"/>
        <v>-11.380000000000813</v>
      </c>
      <c r="I22" s="3">
        <f t="shared" si="3"/>
        <v>43.999999999932939</v>
      </c>
      <c r="K22" s="8">
        <v>21</v>
      </c>
      <c r="L22" s="9">
        <f t="shared" si="8"/>
        <v>-1.3416666666666659</v>
      </c>
      <c r="M22" s="9">
        <v>6.4245609999999997</v>
      </c>
      <c r="N22" s="9">
        <f t="shared" si="4"/>
        <v>6.2830323914858113</v>
      </c>
      <c r="O22" s="3">
        <f t="shared" si="5"/>
        <v>2.0043690895184207</v>
      </c>
      <c r="P22" s="3">
        <f t="shared" si="6"/>
        <v>-15.159675441154462</v>
      </c>
      <c r="Q22" s="3">
        <f t="shared" si="7"/>
        <v>43.272622500969142</v>
      </c>
    </row>
    <row r="23" spans="3:17" ht="16" thickBot="1" x14ac:dyDescent="0.4">
      <c r="C23" s="8">
        <v>22</v>
      </c>
      <c r="D23" s="9">
        <v>-1.24</v>
      </c>
      <c r="E23" s="9">
        <v>6.4335969999999998</v>
      </c>
      <c r="F23" s="9">
        <f t="shared" si="0"/>
        <v>6.435630696959997</v>
      </c>
      <c r="G23" s="3">
        <f t="shared" si="1"/>
        <v>0.78979999999999539</v>
      </c>
      <c r="H23" s="3">
        <f t="shared" si="2"/>
        <v>-10.940000000001483</v>
      </c>
      <c r="I23" s="3">
        <f>(H24-H23)/(D24-D23)</f>
        <v>45.000000000959652</v>
      </c>
      <c r="K23" s="8">
        <v>22</v>
      </c>
      <c r="L23" s="9">
        <f t="shared" si="8"/>
        <v>-1.3087499999999992</v>
      </c>
      <c r="M23" s="9">
        <v>6.4335969999999998</v>
      </c>
      <c r="N23" s="9">
        <f t="shared" si="4"/>
        <v>6.3490095406824594</v>
      </c>
      <c r="O23" s="3">
        <f t="shared" si="5"/>
        <v>1.5053631062470858</v>
      </c>
      <c r="P23" s="3">
        <f t="shared" si="6"/>
        <v>-13.73528495049756</v>
      </c>
      <c r="Q23" s="3">
        <f>(P24-P23)/(L24-L23)</f>
        <v>37.15683749821693</v>
      </c>
    </row>
    <row r="24" spans="3:17" ht="16" thickBot="1" x14ac:dyDescent="0.4">
      <c r="C24" s="8">
        <v>23</v>
      </c>
      <c r="D24" s="9">
        <v>-1.23</v>
      </c>
      <c r="E24" s="9">
        <v>6.4414949999999997</v>
      </c>
      <c r="F24" s="9">
        <f t="shared" si="0"/>
        <v>6.443064921984984</v>
      </c>
      <c r="G24" s="3">
        <f t="shared" si="1"/>
        <v>0.68039999999998046</v>
      </c>
      <c r="H24" s="3">
        <f t="shared" si="2"/>
        <v>-10.489999999991886</v>
      </c>
      <c r="I24" s="3"/>
      <c r="K24" s="8">
        <v>23</v>
      </c>
      <c r="L24" s="9">
        <f t="shared" si="8"/>
        <v>-1.2758333333333325</v>
      </c>
      <c r="M24" s="9">
        <v>6.4414949999999997</v>
      </c>
      <c r="N24" s="9">
        <f t="shared" si="4"/>
        <v>6.3985610762630927</v>
      </c>
      <c r="O24" s="3">
        <f t="shared" si="5"/>
        <v>1.0532433099598739</v>
      </c>
      <c r="P24" s="3">
        <f t="shared" si="6"/>
        <v>-12.512205716181251</v>
      </c>
      <c r="Q24" s="3"/>
    </row>
    <row r="25" spans="3:17" ht="16" thickBot="1" x14ac:dyDescent="0.4">
      <c r="C25" s="8">
        <v>24</v>
      </c>
      <c r="D25" s="9">
        <v>-1.22</v>
      </c>
      <c r="E25" s="9">
        <v>6.4482989999999996</v>
      </c>
      <c r="F25" s="9">
        <f t="shared" si="0"/>
        <v>6.4492919437600023</v>
      </c>
      <c r="G25" s="3">
        <f t="shared" si="1"/>
        <v>0.57550000000006152</v>
      </c>
      <c r="H25" s="3"/>
      <c r="I25" s="3"/>
      <c r="K25" s="8">
        <v>24</v>
      </c>
      <c r="L25" s="9">
        <f t="shared" si="8"/>
        <v>-1.2429166666666658</v>
      </c>
      <c r="M25" s="9">
        <v>6.4482989999999996</v>
      </c>
      <c r="N25" s="9">
        <f t="shared" si="4"/>
        <v>6.4332303352159386</v>
      </c>
      <c r="O25" s="3">
        <f t="shared" si="5"/>
        <v>0.6413832051355739</v>
      </c>
      <c r="P25" s="3"/>
      <c r="Q25" s="3"/>
    </row>
    <row r="26" spans="3:17" ht="16" thickBot="1" x14ac:dyDescent="0.4">
      <c r="C26" s="8">
        <v>25</v>
      </c>
      <c r="D26" s="9">
        <v>-1.21</v>
      </c>
      <c r="E26" s="9">
        <v>6.4540540000000002</v>
      </c>
      <c r="F26" s="9">
        <f t="shared" si="0"/>
        <v>6.4543425323850059</v>
      </c>
      <c r="G26" s="3"/>
      <c r="H26" s="3"/>
      <c r="I26" s="3"/>
      <c r="K26" s="8">
        <v>25</v>
      </c>
      <c r="L26" s="9">
        <f t="shared" si="8"/>
        <v>-1.2099999999999991</v>
      </c>
      <c r="M26" s="9">
        <v>6.4540540000000002</v>
      </c>
      <c r="N26" s="9">
        <f t="shared" si="4"/>
        <v>6.4543425323849846</v>
      </c>
      <c r="O26" s="3"/>
      <c r="P26" s="3"/>
      <c r="Q26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6016-35EE-49D7-924C-9FCBF8C33771}">
  <dimension ref="A2:AE88"/>
  <sheetViews>
    <sheetView topLeftCell="H1" workbookViewId="0">
      <selection activeCell="O3" sqref="O3"/>
    </sheetView>
  </sheetViews>
  <sheetFormatPr baseColWidth="10" defaultRowHeight="14.5" x14ac:dyDescent="0.35"/>
  <cols>
    <col min="5" max="5" width="13.54296875" customWidth="1"/>
    <col min="7" max="7" width="11.81640625" bestFit="1" customWidth="1"/>
    <col min="8" max="8" width="4.1796875" customWidth="1"/>
    <col min="13" max="14" width="13.54296875" customWidth="1"/>
    <col min="16" max="16" width="11.81640625" bestFit="1" customWidth="1"/>
    <col min="17" max="17" width="4.1796875" customWidth="1"/>
    <col min="21" max="21" width="13.54296875" customWidth="1"/>
    <col min="23" max="23" width="11.81640625" bestFit="1" customWidth="1"/>
    <col min="24" max="24" width="4.1796875" customWidth="1"/>
    <col min="28" max="29" width="13.54296875" customWidth="1"/>
    <col min="31" max="31" width="11.81640625" bestFit="1" customWidth="1"/>
  </cols>
  <sheetData>
    <row r="2" spans="1:31" ht="17.5" thickBot="1" x14ac:dyDescent="0.4">
      <c r="A2" t="s">
        <v>17</v>
      </c>
      <c r="C2" s="1" t="s">
        <v>0</v>
      </c>
      <c r="D2" s="2" t="s">
        <v>1</v>
      </c>
      <c r="E2" s="2" t="s">
        <v>2</v>
      </c>
      <c r="F2" s="2" t="s">
        <v>14</v>
      </c>
      <c r="G2" s="2" t="s">
        <v>15</v>
      </c>
      <c r="H2" s="17"/>
      <c r="I2" t="s">
        <v>17</v>
      </c>
      <c r="K2" s="1" t="s">
        <v>0</v>
      </c>
      <c r="L2" s="2" t="s">
        <v>1</v>
      </c>
      <c r="M2" s="2" t="s">
        <v>2</v>
      </c>
      <c r="N2" s="2" t="s">
        <v>24</v>
      </c>
      <c r="O2" s="2" t="s">
        <v>14</v>
      </c>
      <c r="P2" s="2" t="s">
        <v>15</v>
      </c>
      <c r="Q2" s="17"/>
      <c r="R2" t="s">
        <v>17</v>
      </c>
      <c r="S2" s="1" t="s">
        <v>0</v>
      </c>
      <c r="T2" s="2" t="s">
        <v>1</v>
      </c>
      <c r="U2" s="2" t="s">
        <v>2</v>
      </c>
      <c r="V2" s="2" t="s">
        <v>14</v>
      </c>
      <c r="W2" s="2" t="s">
        <v>15</v>
      </c>
      <c r="X2" s="17"/>
      <c r="Y2" t="s">
        <v>17</v>
      </c>
      <c r="Z2" s="1" t="s">
        <v>0</v>
      </c>
      <c r="AA2" s="2" t="s">
        <v>1</v>
      </c>
      <c r="AB2" s="2" t="s">
        <v>2</v>
      </c>
      <c r="AC2" s="2" t="s">
        <v>24</v>
      </c>
      <c r="AD2" s="2" t="s">
        <v>14</v>
      </c>
      <c r="AE2" s="2" t="s">
        <v>15</v>
      </c>
    </row>
    <row r="3" spans="1:31" ht="17.5" thickBot="1" x14ac:dyDescent="0.4">
      <c r="A3">
        <f>D3</f>
        <v>-2</v>
      </c>
      <c r="B3">
        <f>D4-D3</f>
        <v>5.0000000000000044E-2</v>
      </c>
      <c r="C3" s="1">
        <v>1</v>
      </c>
      <c r="D3" s="2">
        <v>-2</v>
      </c>
      <c r="E3" s="2">
        <v>-2.8</v>
      </c>
      <c r="F3" s="2">
        <f>E3*$A$9</f>
        <v>-0.13999999999999999</v>
      </c>
      <c r="G3" s="2"/>
      <c r="H3" s="17"/>
      <c r="I3">
        <f>L3</f>
        <v>-2</v>
      </c>
      <c r="J3">
        <f>L4-L3</f>
        <v>5.0000000000000044E-2</v>
      </c>
      <c r="K3" s="1">
        <v>1</v>
      </c>
      <c r="L3" s="2">
        <v>-2</v>
      </c>
      <c r="M3" s="2">
        <v>-2.8</v>
      </c>
      <c r="N3" s="2">
        <f>ABS(M3)</f>
        <v>2.8</v>
      </c>
      <c r="O3" s="2">
        <f>N3*$A$9</f>
        <v>0.13999999999999999</v>
      </c>
      <c r="P3" s="2"/>
      <c r="Q3" s="17"/>
      <c r="R3">
        <f>T3</f>
        <v>-2</v>
      </c>
      <c r="S3" s="1">
        <v>1</v>
      </c>
      <c r="T3" s="2">
        <v>-2</v>
      </c>
      <c r="U3" s="2">
        <f>-0.2*T3^6+1.4*T3^2+0.8*T3+6</f>
        <v>-2.8000000000000007</v>
      </c>
      <c r="V3" s="2">
        <f>U3*$A$9</f>
        <v>-0.14000000000000004</v>
      </c>
      <c r="W3" s="2"/>
      <c r="X3" s="17"/>
      <c r="Y3">
        <f>AA3</f>
        <v>-2</v>
      </c>
      <c r="Z3" s="1">
        <v>1</v>
      </c>
      <c r="AA3" s="2">
        <v>-2</v>
      </c>
      <c r="AB3" s="2">
        <f>-0.2*AA3^6+1.4*AA3^2+0.8*AA3+6</f>
        <v>-2.8000000000000007</v>
      </c>
      <c r="AC3" s="2">
        <f>ABS(AB3)</f>
        <v>2.8000000000000007</v>
      </c>
      <c r="AD3" s="2">
        <f>AC3*$A$9</f>
        <v>0.14000000000000004</v>
      </c>
      <c r="AE3" s="2"/>
    </row>
    <row r="4" spans="1:31" ht="17.5" thickBot="1" x14ac:dyDescent="0.4">
      <c r="A4" t="s">
        <v>16</v>
      </c>
      <c r="B4">
        <f t="shared" ref="B4:B67" si="0">D5-D4</f>
        <v>5.0000000000000044E-2</v>
      </c>
      <c r="C4" s="1">
        <v>2</v>
      </c>
      <c r="D4" s="2">
        <v>-1.95</v>
      </c>
      <c r="E4" s="2">
        <v>-1.2325740000000001</v>
      </c>
      <c r="F4" s="2">
        <f t="shared" ref="F4:F67" si="1">E4*$A$9</f>
        <v>-6.1628700000000008E-2</v>
      </c>
      <c r="G4" s="2">
        <f>E4*$A$9</f>
        <v>-6.1628700000000008E-2</v>
      </c>
      <c r="H4" s="17"/>
      <c r="I4" t="s">
        <v>16</v>
      </c>
      <c r="J4">
        <f t="shared" ref="J4:J67" si="2">L5-L4</f>
        <v>5.0000000000000044E-2</v>
      </c>
      <c r="K4" s="1">
        <v>2</v>
      </c>
      <c r="L4" s="2">
        <v>-1.95</v>
      </c>
      <c r="M4" s="2">
        <v>-1.2325740000000001</v>
      </c>
      <c r="N4" s="2">
        <f t="shared" ref="N4:N67" si="3">ABS(M4)</f>
        <v>1.2325740000000001</v>
      </c>
      <c r="O4" s="2">
        <f t="shared" ref="O4:O67" si="4">N4*$A$9</f>
        <v>6.1628700000000008E-2</v>
      </c>
      <c r="P4" s="2">
        <f>N4*$A$9</f>
        <v>6.1628700000000008E-2</v>
      </c>
      <c r="Q4" s="17"/>
      <c r="R4" t="s">
        <v>16</v>
      </c>
      <c r="S4" s="1">
        <v>2</v>
      </c>
      <c r="T4" s="2">
        <v>-1.95</v>
      </c>
      <c r="U4" s="2">
        <f t="shared" ref="U4:U67" si="5">-0.2*T4^6+1.4*T4^2+0.8*T4+6</f>
        <v>-1.2325742531249997</v>
      </c>
      <c r="V4" s="2">
        <f t="shared" ref="V4:V67" si="6">U4*$A$9</f>
        <v>-6.1628712656249987E-2</v>
      </c>
      <c r="W4" s="2">
        <f>U4*$A$9</f>
        <v>-6.1628712656249987E-2</v>
      </c>
      <c r="X4" s="17"/>
      <c r="Y4" t="s">
        <v>16</v>
      </c>
      <c r="Z4" s="1">
        <v>2</v>
      </c>
      <c r="AA4" s="2">
        <v>-1.95</v>
      </c>
      <c r="AB4" s="2">
        <f t="shared" ref="AB4:AB67" si="7">-0.2*AA4^6+1.4*AA4^2+0.8*AA4+6</f>
        <v>-1.2325742531249997</v>
      </c>
      <c r="AC4" s="2">
        <f t="shared" ref="AC4:AC67" si="8">ABS(AB4)</f>
        <v>1.2325742531249997</v>
      </c>
      <c r="AD4" s="2">
        <f t="shared" ref="AD4:AD67" si="9">AC4*$A$9</f>
        <v>6.1628712656249987E-2</v>
      </c>
      <c r="AE4" s="2">
        <f>AC4*$A$9</f>
        <v>6.1628712656249987E-2</v>
      </c>
    </row>
    <row r="5" spans="1:31" ht="17.5" thickBot="1" x14ac:dyDescent="0.4">
      <c r="A5">
        <f>D88</f>
        <v>2.25</v>
      </c>
      <c r="B5">
        <f t="shared" si="0"/>
        <v>4.9999999999999822E-2</v>
      </c>
      <c r="C5" s="1">
        <v>3</v>
      </c>
      <c r="D5" s="2">
        <v>-1.9</v>
      </c>
      <c r="E5" s="2">
        <v>0.124824</v>
      </c>
      <c r="F5" s="2">
        <f t="shared" si="1"/>
        <v>6.2412000000000006E-3</v>
      </c>
      <c r="G5" s="2">
        <f t="shared" ref="G5:G68" si="10">E5*$A$9</f>
        <v>6.2412000000000006E-3</v>
      </c>
      <c r="H5" s="17"/>
      <c r="I5">
        <f>L88</f>
        <v>2.25</v>
      </c>
      <c r="J5">
        <f t="shared" si="2"/>
        <v>4.9999999999999822E-2</v>
      </c>
      <c r="K5" s="1">
        <v>3</v>
      </c>
      <c r="L5" s="2">
        <v>-1.9</v>
      </c>
      <c r="M5" s="2">
        <v>0.124824</v>
      </c>
      <c r="N5" s="2">
        <f t="shared" si="3"/>
        <v>0.124824</v>
      </c>
      <c r="O5" s="2">
        <f t="shared" si="4"/>
        <v>6.2412000000000006E-3</v>
      </c>
      <c r="P5" s="2">
        <f t="shared" ref="P5:P68" si="11">N5*$A$9</f>
        <v>6.2412000000000006E-3</v>
      </c>
      <c r="Q5" s="17"/>
      <c r="R5">
        <f>T88</f>
        <v>2.25</v>
      </c>
      <c r="S5" s="1">
        <v>3</v>
      </c>
      <c r="T5" s="2">
        <v>-1.9</v>
      </c>
      <c r="U5" s="2">
        <f t="shared" si="5"/>
        <v>0.12482379999999971</v>
      </c>
      <c r="V5" s="2">
        <f t="shared" si="6"/>
        <v>6.2411899999999859E-3</v>
      </c>
      <c r="W5" s="2">
        <f t="shared" ref="W5:W68" si="12">U5*$A$9</f>
        <v>6.2411899999999859E-3</v>
      </c>
      <c r="X5" s="17"/>
      <c r="Y5">
        <f>AA88</f>
        <v>2.25</v>
      </c>
      <c r="Z5" s="1">
        <v>3</v>
      </c>
      <c r="AA5" s="2">
        <v>-1.9</v>
      </c>
      <c r="AB5" s="2">
        <f t="shared" si="7"/>
        <v>0.12482379999999971</v>
      </c>
      <c r="AC5" s="2">
        <f t="shared" si="8"/>
        <v>0.12482379999999971</v>
      </c>
      <c r="AD5" s="2">
        <f t="shared" si="9"/>
        <v>6.2411899999999859E-3</v>
      </c>
      <c r="AE5" s="2">
        <f t="shared" ref="AE5:AE68" si="13">AC5*$A$9</f>
        <v>6.2411899999999859E-3</v>
      </c>
    </row>
    <row r="6" spans="1:31" ht="17.5" thickBot="1" x14ac:dyDescent="0.4">
      <c r="A6" t="s">
        <v>0</v>
      </c>
      <c r="B6">
        <f t="shared" si="0"/>
        <v>5.0000000000000044E-2</v>
      </c>
      <c r="C6" s="1">
        <v>4</v>
      </c>
      <c r="D6" s="2">
        <v>-1.85</v>
      </c>
      <c r="E6" s="2">
        <v>1.2936049999999999</v>
      </c>
      <c r="F6" s="2">
        <f t="shared" si="1"/>
        <v>6.4680249999999995E-2</v>
      </c>
      <c r="G6" s="2">
        <f t="shared" si="10"/>
        <v>6.4680249999999995E-2</v>
      </c>
      <c r="H6" s="17"/>
      <c r="I6" t="s">
        <v>0</v>
      </c>
      <c r="J6">
        <f t="shared" si="2"/>
        <v>5.0000000000000044E-2</v>
      </c>
      <c r="K6" s="1">
        <v>4</v>
      </c>
      <c r="L6" s="2">
        <v>-1.85</v>
      </c>
      <c r="M6" s="2">
        <v>1.2936049999999999</v>
      </c>
      <c r="N6" s="2">
        <f t="shared" si="3"/>
        <v>1.2936049999999999</v>
      </c>
      <c r="O6" s="2">
        <f t="shared" si="4"/>
        <v>6.4680249999999995E-2</v>
      </c>
      <c r="P6" s="2">
        <f t="shared" si="11"/>
        <v>6.4680249999999995E-2</v>
      </c>
      <c r="Q6" s="17"/>
      <c r="R6" t="s">
        <v>0</v>
      </c>
      <c r="S6" s="1">
        <v>4</v>
      </c>
      <c r="T6" s="2">
        <v>-1.85</v>
      </c>
      <c r="U6" s="2">
        <f t="shared" si="5"/>
        <v>1.2936049718749976</v>
      </c>
      <c r="V6" s="2">
        <f t="shared" si="6"/>
        <v>6.4680248593749878E-2</v>
      </c>
      <c r="W6" s="2">
        <f t="shared" si="12"/>
        <v>6.4680248593749878E-2</v>
      </c>
      <c r="X6" s="17"/>
      <c r="Y6" t="s">
        <v>0</v>
      </c>
      <c r="Z6" s="1">
        <v>4</v>
      </c>
      <c r="AA6" s="2">
        <v>-1.85</v>
      </c>
      <c r="AB6" s="2">
        <f t="shared" si="7"/>
        <v>1.2936049718749976</v>
      </c>
      <c r="AC6" s="2">
        <f t="shared" si="8"/>
        <v>1.2936049718749976</v>
      </c>
      <c r="AD6" s="2">
        <f t="shared" si="9"/>
        <v>6.4680248593749878E-2</v>
      </c>
      <c r="AE6" s="2">
        <f t="shared" si="13"/>
        <v>6.4680248593749878E-2</v>
      </c>
    </row>
    <row r="7" spans="1:31" ht="17.5" thickBot="1" x14ac:dyDescent="0.4">
      <c r="A7">
        <v>85</v>
      </c>
      <c r="B7">
        <f t="shared" si="0"/>
        <v>5.0000000000000044E-2</v>
      </c>
      <c r="C7" s="1">
        <v>5</v>
      </c>
      <c r="D7" s="2">
        <v>-1.8</v>
      </c>
      <c r="E7" s="2">
        <v>2.293555</v>
      </c>
      <c r="F7" s="2">
        <f t="shared" si="1"/>
        <v>0.11467775000000001</v>
      </c>
      <c r="G7" s="2">
        <f t="shared" si="10"/>
        <v>0.11467775000000001</v>
      </c>
      <c r="H7" s="17"/>
      <c r="I7">
        <v>85</v>
      </c>
      <c r="J7">
        <f t="shared" si="2"/>
        <v>5.0000000000000044E-2</v>
      </c>
      <c r="K7" s="1">
        <v>5</v>
      </c>
      <c r="L7" s="2">
        <v>-1.8</v>
      </c>
      <c r="M7" s="2">
        <v>2.293555</v>
      </c>
      <c r="N7" s="2">
        <f t="shared" si="3"/>
        <v>2.293555</v>
      </c>
      <c r="O7" s="2">
        <f t="shared" si="4"/>
        <v>0.11467775000000001</v>
      </c>
      <c r="P7" s="2">
        <f t="shared" si="11"/>
        <v>0.11467775000000001</v>
      </c>
      <c r="Q7" s="17"/>
      <c r="R7">
        <v>85</v>
      </c>
      <c r="S7" s="1">
        <v>5</v>
      </c>
      <c r="T7" s="2">
        <v>-1.8</v>
      </c>
      <c r="U7" s="2">
        <f t="shared" si="5"/>
        <v>2.2935551999999966</v>
      </c>
      <c r="V7" s="2">
        <f t="shared" si="6"/>
        <v>0.11467775999999984</v>
      </c>
      <c r="W7" s="2">
        <f t="shared" si="12"/>
        <v>0.11467775999999984</v>
      </c>
      <c r="X7" s="17"/>
      <c r="Y7">
        <v>85</v>
      </c>
      <c r="Z7" s="1">
        <v>5</v>
      </c>
      <c r="AA7" s="2">
        <v>-1.8</v>
      </c>
      <c r="AB7" s="2">
        <f t="shared" si="7"/>
        <v>2.2935551999999966</v>
      </c>
      <c r="AC7" s="2">
        <f t="shared" si="8"/>
        <v>2.2935551999999966</v>
      </c>
      <c r="AD7" s="2">
        <f t="shared" si="9"/>
        <v>0.11467775999999984</v>
      </c>
      <c r="AE7" s="2">
        <f t="shared" si="13"/>
        <v>0.11467775999999984</v>
      </c>
    </row>
    <row r="8" spans="1:31" ht="17.5" thickBot="1" x14ac:dyDescent="0.4">
      <c r="A8" t="s">
        <v>18</v>
      </c>
      <c r="B8">
        <f t="shared" si="0"/>
        <v>5.0000000000000044E-2</v>
      </c>
      <c r="C8" s="1">
        <v>6</v>
      </c>
      <c r="D8" s="2">
        <v>-1.75</v>
      </c>
      <c r="E8" s="2">
        <v>3.1429200000000002</v>
      </c>
      <c r="F8" s="2">
        <f t="shared" si="1"/>
        <v>0.15714600000000001</v>
      </c>
      <c r="G8" s="2">
        <f t="shared" si="10"/>
        <v>0.15714600000000001</v>
      </c>
      <c r="H8" s="17"/>
      <c r="I8" t="s">
        <v>18</v>
      </c>
      <c r="J8">
        <f t="shared" si="2"/>
        <v>5.0000000000000044E-2</v>
      </c>
      <c r="K8" s="1">
        <v>6</v>
      </c>
      <c r="L8" s="2">
        <v>-1.75</v>
      </c>
      <c r="M8" s="2">
        <v>3.1429200000000002</v>
      </c>
      <c r="N8" s="2">
        <f t="shared" si="3"/>
        <v>3.1429200000000002</v>
      </c>
      <c r="O8" s="2">
        <f t="shared" si="4"/>
        <v>0.15714600000000001</v>
      </c>
      <c r="P8" s="2">
        <f t="shared" si="11"/>
        <v>0.15714600000000001</v>
      </c>
      <c r="Q8" s="17"/>
      <c r="R8" t="s">
        <v>18</v>
      </c>
      <c r="S8" s="1">
        <v>6</v>
      </c>
      <c r="T8" s="2">
        <v>-1.75</v>
      </c>
      <c r="U8" s="2">
        <f t="shared" si="5"/>
        <v>3.1429199218749986</v>
      </c>
      <c r="V8" s="2">
        <f t="shared" si="6"/>
        <v>0.15714599609374993</v>
      </c>
      <c r="W8" s="2">
        <f t="shared" si="12"/>
        <v>0.15714599609374993</v>
      </c>
      <c r="X8" s="17"/>
      <c r="Y8" t="s">
        <v>18</v>
      </c>
      <c r="Z8" s="1">
        <v>6</v>
      </c>
      <c r="AA8" s="2">
        <v>-1.75</v>
      </c>
      <c r="AB8" s="2">
        <f t="shared" si="7"/>
        <v>3.1429199218749986</v>
      </c>
      <c r="AC8" s="2">
        <f t="shared" si="8"/>
        <v>3.1429199218749986</v>
      </c>
      <c r="AD8" s="2">
        <f t="shared" si="9"/>
        <v>0.15714599609374993</v>
      </c>
      <c r="AE8" s="2">
        <f t="shared" si="13"/>
        <v>0.15714599609374993</v>
      </c>
    </row>
    <row r="9" spans="1:31" ht="17.5" thickBot="1" x14ac:dyDescent="0.4">
      <c r="A9">
        <f>(A5-A3)/(A7)</f>
        <v>0.05</v>
      </c>
      <c r="B9">
        <f t="shared" si="0"/>
        <v>5.0000000000000044E-2</v>
      </c>
      <c r="C9" s="1">
        <v>7</v>
      </c>
      <c r="D9" s="2">
        <v>-1.7</v>
      </c>
      <c r="E9" s="2">
        <v>3.8584860000000001</v>
      </c>
      <c r="F9" s="2">
        <f t="shared" si="1"/>
        <v>0.19292430000000002</v>
      </c>
      <c r="G9" s="2">
        <f t="shared" si="10"/>
        <v>0.19292430000000002</v>
      </c>
      <c r="H9" s="17"/>
      <c r="I9">
        <f>(I5-I3)/(I7)</f>
        <v>0.05</v>
      </c>
      <c r="J9">
        <f t="shared" si="2"/>
        <v>5.0000000000000044E-2</v>
      </c>
      <c r="K9" s="1">
        <v>7</v>
      </c>
      <c r="L9" s="2">
        <v>-1.7</v>
      </c>
      <c r="M9" s="2">
        <v>3.8584860000000001</v>
      </c>
      <c r="N9" s="2">
        <f t="shared" si="3"/>
        <v>3.8584860000000001</v>
      </c>
      <c r="O9" s="2">
        <f t="shared" si="4"/>
        <v>0.19292430000000002</v>
      </c>
      <c r="P9" s="2">
        <f t="shared" si="11"/>
        <v>0.19292430000000002</v>
      </c>
      <c r="Q9" s="17"/>
      <c r="R9">
        <f>(R5-R3)/(R7)</f>
        <v>0.05</v>
      </c>
      <c r="S9" s="1">
        <v>7</v>
      </c>
      <c r="T9" s="2">
        <v>-1.7</v>
      </c>
      <c r="U9" s="2">
        <f t="shared" si="5"/>
        <v>3.8584862000000006</v>
      </c>
      <c r="V9" s="2">
        <f t="shared" si="6"/>
        <v>0.19292431000000004</v>
      </c>
      <c r="W9" s="2">
        <f t="shared" si="12"/>
        <v>0.19292431000000004</v>
      </c>
      <c r="X9" s="17"/>
      <c r="Y9">
        <f>(Y5-Y3)/(Y7)</f>
        <v>0.05</v>
      </c>
      <c r="Z9" s="1">
        <v>7</v>
      </c>
      <c r="AA9" s="2">
        <v>-1.7</v>
      </c>
      <c r="AB9" s="2">
        <f t="shared" si="7"/>
        <v>3.8584862000000006</v>
      </c>
      <c r="AC9" s="2">
        <f t="shared" si="8"/>
        <v>3.8584862000000006</v>
      </c>
      <c r="AD9" s="2">
        <f t="shared" si="9"/>
        <v>0.19292431000000004</v>
      </c>
      <c r="AE9" s="2">
        <f t="shared" si="13"/>
        <v>0.19292431000000004</v>
      </c>
    </row>
    <row r="10" spans="1:31" ht="17.5" thickBot="1" x14ac:dyDescent="0.4">
      <c r="A10" t="s">
        <v>21</v>
      </c>
      <c r="B10">
        <f t="shared" si="0"/>
        <v>4.9999999999999822E-2</v>
      </c>
      <c r="C10" s="1">
        <v>8</v>
      </c>
      <c r="D10" s="2">
        <v>-1.65</v>
      </c>
      <c r="E10" s="2">
        <v>4.4556630000000004</v>
      </c>
      <c r="F10" s="2">
        <f t="shared" si="1"/>
        <v>0.22278315000000004</v>
      </c>
      <c r="G10" s="2">
        <f t="shared" si="10"/>
        <v>0.22278315000000004</v>
      </c>
      <c r="H10" s="17"/>
      <c r="I10" t="s">
        <v>23</v>
      </c>
      <c r="J10">
        <f t="shared" si="2"/>
        <v>4.9999999999999822E-2</v>
      </c>
      <c r="K10" s="1">
        <v>8</v>
      </c>
      <c r="L10" s="2">
        <v>-1.65</v>
      </c>
      <c r="M10" s="2">
        <v>4.4556630000000004</v>
      </c>
      <c r="N10" s="2">
        <f t="shared" si="3"/>
        <v>4.4556630000000004</v>
      </c>
      <c r="O10" s="2">
        <f t="shared" si="4"/>
        <v>0.22278315000000004</v>
      </c>
      <c r="P10" s="2">
        <f t="shared" si="11"/>
        <v>0.22278315000000004</v>
      </c>
      <c r="Q10" s="17"/>
      <c r="R10" t="s">
        <v>23</v>
      </c>
      <c r="S10" s="1">
        <v>8</v>
      </c>
      <c r="T10" s="2">
        <v>-1.65</v>
      </c>
      <c r="U10" s="2">
        <f t="shared" si="5"/>
        <v>4.4556625968750003</v>
      </c>
      <c r="V10" s="2">
        <f t="shared" si="6"/>
        <v>0.22278312984375004</v>
      </c>
      <c r="W10" s="2">
        <f t="shared" si="12"/>
        <v>0.22278312984375004</v>
      </c>
      <c r="X10" s="17"/>
      <c r="Y10" t="s">
        <v>23</v>
      </c>
      <c r="Z10" s="1">
        <v>8</v>
      </c>
      <c r="AA10" s="2">
        <v>-1.65</v>
      </c>
      <c r="AB10" s="2">
        <f t="shared" si="7"/>
        <v>4.4556625968750003</v>
      </c>
      <c r="AC10" s="2">
        <f t="shared" si="8"/>
        <v>4.4556625968750003</v>
      </c>
      <c r="AD10" s="2">
        <f t="shared" si="9"/>
        <v>0.22278312984375004</v>
      </c>
      <c r="AE10" s="2">
        <f t="shared" si="13"/>
        <v>0.22278312984375004</v>
      </c>
    </row>
    <row r="11" spans="1:31" ht="17.5" thickBot="1" x14ac:dyDescent="0.4">
      <c r="A11" t="s">
        <v>19</v>
      </c>
      <c r="B11">
        <f t="shared" si="0"/>
        <v>5.0000000000000044E-2</v>
      </c>
      <c r="C11" s="1">
        <v>9</v>
      </c>
      <c r="D11" s="2">
        <v>-1.6</v>
      </c>
      <c r="E11" s="2">
        <v>4.9485570000000001</v>
      </c>
      <c r="F11" s="2">
        <f t="shared" si="1"/>
        <v>0.24742785</v>
      </c>
      <c r="G11" s="2">
        <f t="shared" si="10"/>
        <v>0.24742785</v>
      </c>
      <c r="H11" s="17"/>
      <c r="I11" t="s">
        <v>19</v>
      </c>
      <c r="J11">
        <f t="shared" si="2"/>
        <v>5.0000000000000044E-2</v>
      </c>
      <c r="K11" s="1">
        <v>9</v>
      </c>
      <c r="L11" s="2">
        <v>-1.6</v>
      </c>
      <c r="M11" s="2">
        <v>4.9485570000000001</v>
      </c>
      <c r="N11" s="2">
        <f t="shared" si="3"/>
        <v>4.9485570000000001</v>
      </c>
      <c r="O11" s="2">
        <f t="shared" si="4"/>
        <v>0.24742785</v>
      </c>
      <c r="P11" s="2">
        <f t="shared" si="11"/>
        <v>0.24742785</v>
      </c>
      <c r="Q11" s="17"/>
      <c r="R11" t="s">
        <v>19</v>
      </c>
      <c r="S11" s="1">
        <v>9</v>
      </c>
      <c r="T11" s="2">
        <v>-1.6</v>
      </c>
      <c r="U11" s="2">
        <f t="shared" si="5"/>
        <v>4.9485567999999986</v>
      </c>
      <c r="V11" s="2">
        <f t="shared" si="6"/>
        <v>0.24742783999999995</v>
      </c>
      <c r="W11" s="2">
        <f t="shared" si="12"/>
        <v>0.24742783999999995</v>
      </c>
      <c r="X11" s="17"/>
      <c r="Y11" t="s">
        <v>19</v>
      </c>
      <c r="Z11" s="1">
        <v>9</v>
      </c>
      <c r="AA11" s="2">
        <v>-1.6</v>
      </c>
      <c r="AB11" s="2">
        <f t="shared" si="7"/>
        <v>4.9485567999999986</v>
      </c>
      <c r="AC11" s="2">
        <f t="shared" si="8"/>
        <v>4.9485567999999986</v>
      </c>
      <c r="AD11" s="2">
        <f t="shared" si="9"/>
        <v>0.24742783999999995</v>
      </c>
      <c r="AE11" s="2">
        <f t="shared" si="13"/>
        <v>0.24742783999999995</v>
      </c>
    </row>
    <row r="12" spans="1:31" ht="17.5" thickBot="1" x14ac:dyDescent="0.4">
      <c r="A12">
        <f>SUM(F3:F88)</f>
        <v>23.162590650000002</v>
      </c>
      <c r="B12">
        <f t="shared" si="0"/>
        <v>5.0000000000000044E-2</v>
      </c>
      <c r="C12" s="1">
        <v>10</v>
      </c>
      <c r="D12" s="2">
        <v>-1.55</v>
      </c>
      <c r="E12" s="2">
        <v>5.3500509999999997</v>
      </c>
      <c r="F12" s="2">
        <f t="shared" si="1"/>
        <v>0.26750255000000001</v>
      </c>
      <c r="G12" s="2">
        <f t="shared" si="10"/>
        <v>0.26750255000000001</v>
      </c>
      <c r="H12" s="17"/>
      <c r="I12">
        <f>SUM(O3:O88)</f>
        <v>25.398102150000003</v>
      </c>
      <c r="J12">
        <f t="shared" si="2"/>
        <v>5.0000000000000044E-2</v>
      </c>
      <c r="K12" s="1">
        <v>10</v>
      </c>
      <c r="L12" s="2">
        <v>-1.55</v>
      </c>
      <c r="M12" s="2">
        <v>5.3500509999999997</v>
      </c>
      <c r="N12" s="2">
        <f t="shared" si="3"/>
        <v>5.3500509999999997</v>
      </c>
      <c r="O12" s="2">
        <f t="shared" si="4"/>
        <v>0.26750255000000001</v>
      </c>
      <c r="P12" s="2">
        <f t="shared" si="11"/>
        <v>0.26750255000000001</v>
      </c>
      <c r="Q12" s="17"/>
      <c r="R12">
        <f>SUM(V3:V88)</f>
        <v>23.162590604687509</v>
      </c>
      <c r="S12" s="1">
        <v>10</v>
      </c>
      <c r="T12" s="2">
        <v>-1.55</v>
      </c>
      <c r="U12" s="2">
        <f t="shared" si="5"/>
        <v>5.3500509968749981</v>
      </c>
      <c r="V12" s="2">
        <f t="shared" si="6"/>
        <v>0.26750254984374994</v>
      </c>
      <c r="W12" s="2">
        <f t="shared" si="12"/>
        <v>0.26750254984374994</v>
      </c>
      <c r="X12" s="17"/>
      <c r="Y12">
        <f>SUM(AD3:AD88)</f>
        <v>25.398102058125019</v>
      </c>
      <c r="Z12" s="1">
        <v>10</v>
      </c>
      <c r="AA12" s="2">
        <v>-1.55</v>
      </c>
      <c r="AB12" s="2">
        <f t="shared" si="7"/>
        <v>5.3500509968749981</v>
      </c>
      <c r="AC12" s="2">
        <f t="shared" si="8"/>
        <v>5.3500509968749981</v>
      </c>
      <c r="AD12" s="2">
        <f t="shared" si="9"/>
        <v>0.26750254984374994</v>
      </c>
      <c r="AE12" s="2">
        <f t="shared" si="13"/>
        <v>0.26750254984374994</v>
      </c>
    </row>
    <row r="13" spans="1:31" ht="17.5" thickBot="1" x14ac:dyDescent="0.4">
      <c r="A13" t="s">
        <v>20</v>
      </c>
      <c r="B13">
        <f t="shared" si="0"/>
        <v>5.0000000000000044E-2</v>
      </c>
      <c r="C13" s="1">
        <v>11</v>
      </c>
      <c r="D13" s="2">
        <v>-1.5</v>
      </c>
      <c r="E13" s="2">
        <v>5.671875</v>
      </c>
      <c r="F13" s="2">
        <f t="shared" si="1"/>
        <v>0.28359375000000003</v>
      </c>
      <c r="G13" s="2">
        <f t="shared" si="10"/>
        <v>0.28359375000000003</v>
      </c>
      <c r="H13" s="17"/>
      <c r="I13" t="s">
        <v>20</v>
      </c>
      <c r="J13">
        <f t="shared" si="2"/>
        <v>5.0000000000000044E-2</v>
      </c>
      <c r="K13" s="1">
        <v>11</v>
      </c>
      <c r="L13" s="2">
        <v>-1.5</v>
      </c>
      <c r="M13" s="2">
        <v>5.671875</v>
      </c>
      <c r="N13" s="2">
        <f t="shared" si="3"/>
        <v>5.671875</v>
      </c>
      <c r="O13" s="2">
        <f t="shared" si="4"/>
        <v>0.28359375000000003</v>
      </c>
      <c r="P13" s="2">
        <f t="shared" si="11"/>
        <v>0.28359375000000003</v>
      </c>
      <c r="Q13" s="17"/>
      <c r="R13" t="s">
        <v>20</v>
      </c>
      <c r="S13" s="1">
        <v>11</v>
      </c>
      <c r="T13" s="2">
        <v>-1.5</v>
      </c>
      <c r="U13" s="2">
        <f t="shared" si="5"/>
        <v>5.671875</v>
      </c>
      <c r="V13" s="2">
        <f t="shared" si="6"/>
        <v>0.28359375000000003</v>
      </c>
      <c r="W13" s="2">
        <f t="shared" si="12"/>
        <v>0.28359375000000003</v>
      </c>
      <c r="X13" s="17"/>
      <c r="Y13" t="s">
        <v>20</v>
      </c>
      <c r="Z13" s="1">
        <v>11</v>
      </c>
      <c r="AA13" s="2">
        <v>-1.5</v>
      </c>
      <c r="AB13" s="2">
        <f t="shared" si="7"/>
        <v>5.671875</v>
      </c>
      <c r="AC13" s="2">
        <f t="shared" si="8"/>
        <v>5.671875</v>
      </c>
      <c r="AD13" s="2">
        <f t="shared" si="9"/>
        <v>0.28359375000000003</v>
      </c>
      <c r="AE13" s="2">
        <f t="shared" si="13"/>
        <v>0.28359375000000003</v>
      </c>
    </row>
    <row r="14" spans="1:31" ht="17.5" thickBot="1" x14ac:dyDescent="0.4">
      <c r="A14">
        <f>SUM(G3:G88)</f>
        <v>22.749502250000003</v>
      </c>
      <c r="B14">
        <f t="shared" si="0"/>
        <v>5.0000000000000044E-2</v>
      </c>
      <c r="C14" s="1">
        <v>12</v>
      </c>
      <c r="D14" s="2">
        <v>-1.45</v>
      </c>
      <c r="E14" s="2">
        <v>5.924677</v>
      </c>
      <c r="F14" s="2">
        <f t="shared" si="1"/>
        <v>0.29623385000000002</v>
      </c>
      <c r="G14" s="2">
        <f t="shared" si="10"/>
        <v>0.29623385000000002</v>
      </c>
      <c r="H14" s="17"/>
      <c r="I14">
        <f>SUM(P3:P88)</f>
        <v>25.811190550000003</v>
      </c>
      <c r="J14">
        <f t="shared" si="2"/>
        <v>5.0000000000000044E-2</v>
      </c>
      <c r="K14" s="1">
        <v>12</v>
      </c>
      <c r="L14" s="2">
        <v>-1.45</v>
      </c>
      <c r="M14" s="2">
        <v>5.924677</v>
      </c>
      <c r="N14" s="2">
        <f t="shared" si="3"/>
        <v>5.924677</v>
      </c>
      <c r="O14" s="2">
        <f t="shared" si="4"/>
        <v>0.29623385000000002</v>
      </c>
      <c r="P14" s="2">
        <f t="shared" si="11"/>
        <v>0.29623385000000002</v>
      </c>
      <c r="Q14" s="17"/>
      <c r="R14">
        <f>SUM(W3:W88)</f>
        <v>22.74950222578126</v>
      </c>
      <c r="S14" s="1">
        <v>12</v>
      </c>
      <c r="T14" s="2">
        <v>-1.45</v>
      </c>
      <c r="U14" s="2">
        <f t="shared" si="5"/>
        <v>5.9246771218749998</v>
      </c>
      <c r="V14" s="2">
        <f t="shared" si="6"/>
        <v>0.29623385609375003</v>
      </c>
      <c r="W14" s="2">
        <f t="shared" si="12"/>
        <v>0.29623385609375003</v>
      </c>
      <c r="X14" s="17"/>
      <c r="Y14">
        <f>SUM(AE3:AE88)</f>
        <v>25.811190437031268</v>
      </c>
      <c r="Z14" s="1">
        <v>12</v>
      </c>
      <c r="AA14" s="2">
        <v>-1.45</v>
      </c>
      <c r="AB14" s="2">
        <f t="shared" si="7"/>
        <v>5.9246771218749998</v>
      </c>
      <c r="AC14" s="2">
        <f t="shared" si="8"/>
        <v>5.9246771218749998</v>
      </c>
      <c r="AD14" s="2">
        <f t="shared" si="9"/>
        <v>0.29623385609375003</v>
      </c>
      <c r="AE14" s="2">
        <f t="shared" si="13"/>
        <v>0.29623385609375003</v>
      </c>
    </row>
    <row r="15" spans="1:31" ht="17.5" thickBot="1" x14ac:dyDescent="0.4">
      <c r="A15" t="s">
        <v>22</v>
      </c>
      <c r="B15">
        <f t="shared" si="0"/>
        <v>4.9999999999999822E-2</v>
      </c>
      <c r="C15" s="1">
        <v>13</v>
      </c>
      <c r="D15" s="2">
        <v>-1.4</v>
      </c>
      <c r="E15" s="2">
        <v>6.118093</v>
      </c>
      <c r="F15" s="2">
        <f t="shared" si="1"/>
        <v>0.30590465</v>
      </c>
      <c r="G15" s="2">
        <f t="shared" si="10"/>
        <v>0.30590465</v>
      </c>
      <c r="H15" s="17"/>
      <c r="I15" t="s">
        <v>22</v>
      </c>
      <c r="J15">
        <f t="shared" si="2"/>
        <v>4.9999999999999822E-2</v>
      </c>
      <c r="K15" s="1">
        <v>13</v>
      </c>
      <c r="L15" s="2">
        <v>-1.4</v>
      </c>
      <c r="M15" s="2">
        <v>6.118093</v>
      </c>
      <c r="N15" s="2">
        <f t="shared" si="3"/>
        <v>6.118093</v>
      </c>
      <c r="O15" s="2">
        <f t="shared" si="4"/>
        <v>0.30590465</v>
      </c>
      <c r="P15" s="2">
        <f t="shared" si="11"/>
        <v>0.30590465</v>
      </c>
      <c r="Q15" s="17"/>
      <c r="R15" t="s">
        <v>22</v>
      </c>
      <c r="S15" s="1">
        <v>13</v>
      </c>
      <c r="T15" s="2">
        <v>-1.4</v>
      </c>
      <c r="U15" s="2">
        <f t="shared" si="5"/>
        <v>6.1180928000000003</v>
      </c>
      <c r="V15" s="2">
        <f t="shared" si="6"/>
        <v>0.30590464000000006</v>
      </c>
      <c r="W15" s="2">
        <f t="shared" si="12"/>
        <v>0.30590464000000006</v>
      </c>
      <c r="X15" s="17"/>
      <c r="Y15" t="s">
        <v>22</v>
      </c>
      <c r="Z15" s="1">
        <v>13</v>
      </c>
      <c r="AA15" s="2">
        <v>-1.4</v>
      </c>
      <c r="AB15" s="2">
        <f t="shared" si="7"/>
        <v>6.1180928000000003</v>
      </c>
      <c r="AC15" s="2">
        <f t="shared" si="8"/>
        <v>6.1180928000000003</v>
      </c>
      <c r="AD15" s="2">
        <f t="shared" si="9"/>
        <v>0.30590464000000006</v>
      </c>
      <c r="AE15" s="2">
        <f t="shared" si="13"/>
        <v>0.30590464000000006</v>
      </c>
    </row>
    <row r="16" spans="1:31" ht="17.5" thickBot="1" x14ac:dyDescent="0.4">
      <c r="A16">
        <f>(A12+A14)/2</f>
        <v>22.956046450000002</v>
      </c>
      <c r="B16">
        <f t="shared" si="0"/>
        <v>5.0000000000000044E-2</v>
      </c>
      <c r="C16" s="1">
        <v>14</v>
      </c>
      <c r="D16" s="2">
        <v>-1.35</v>
      </c>
      <c r="E16" s="2">
        <v>6.2608110000000003</v>
      </c>
      <c r="F16" s="2">
        <f t="shared" si="1"/>
        <v>0.31304055000000003</v>
      </c>
      <c r="G16" s="2">
        <f t="shared" si="10"/>
        <v>0.31304055000000003</v>
      </c>
      <c r="H16" s="17"/>
      <c r="I16">
        <f>(I12+I14)/2</f>
        <v>25.604646350000003</v>
      </c>
      <c r="J16">
        <f t="shared" si="2"/>
        <v>5.0000000000000044E-2</v>
      </c>
      <c r="K16" s="1">
        <v>14</v>
      </c>
      <c r="L16" s="2">
        <v>-1.35</v>
      </c>
      <c r="M16" s="2">
        <v>6.2608110000000003</v>
      </c>
      <c r="N16" s="2">
        <f t="shared" si="3"/>
        <v>6.2608110000000003</v>
      </c>
      <c r="O16" s="2">
        <f t="shared" si="4"/>
        <v>0.31304055000000003</v>
      </c>
      <c r="P16" s="2">
        <f t="shared" si="11"/>
        <v>0.31304055000000003</v>
      </c>
      <c r="Q16" s="17"/>
      <c r="R16">
        <f>(R12+R14)/2</f>
        <v>22.956046415234383</v>
      </c>
      <c r="S16" s="1">
        <v>14</v>
      </c>
      <c r="T16" s="2">
        <v>-1.35</v>
      </c>
      <c r="U16" s="2">
        <f t="shared" si="5"/>
        <v>6.2608109718749994</v>
      </c>
      <c r="V16" s="2">
        <f t="shared" si="6"/>
        <v>0.31304054859374997</v>
      </c>
      <c r="W16" s="2">
        <f t="shared" si="12"/>
        <v>0.31304054859374997</v>
      </c>
      <c r="X16" s="17"/>
      <c r="Y16">
        <f>(Y12+Y14)/2</f>
        <v>25.604646247578145</v>
      </c>
      <c r="Z16" s="1">
        <v>14</v>
      </c>
      <c r="AA16" s="2">
        <v>-1.35</v>
      </c>
      <c r="AB16" s="2">
        <f t="shared" si="7"/>
        <v>6.2608109718749994</v>
      </c>
      <c r="AC16" s="2">
        <f t="shared" si="8"/>
        <v>6.2608109718749994</v>
      </c>
      <c r="AD16" s="2">
        <f t="shared" si="9"/>
        <v>0.31304054859374997</v>
      </c>
      <c r="AE16" s="2">
        <f t="shared" si="13"/>
        <v>0.31304054859374997</v>
      </c>
    </row>
    <row r="17" spans="2:31" ht="17.5" thickBot="1" x14ac:dyDescent="0.4">
      <c r="B17">
        <f t="shared" si="0"/>
        <v>5.0000000000000044E-2</v>
      </c>
      <c r="C17" s="1">
        <v>15</v>
      </c>
      <c r="D17" s="2">
        <v>-1.3</v>
      </c>
      <c r="E17" s="2">
        <v>6.3606379999999998</v>
      </c>
      <c r="F17" s="2">
        <f t="shared" si="1"/>
        <v>0.31803190000000003</v>
      </c>
      <c r="G17" s="2">
        <f t="shared" si="10"/>
        <v>0.31803190000000003</v>
      </c>
      <c r="H17" s="17"/>
      <c r="J17">
        <f t="shared" si="2"/>
        <v>5.0000000000000044E-2</v>
      </c>
      <c r="K17" s="1">
        <v>15</v>
      </c>
      <c r="L17" s="2">
        <v>-1.3</v>
      </c>
      <c r="M17" s="2">
        <v>6.3606379999999998</v>
      </c>
      <c r="N17" s="2">
        <f t="shared" si="3"/>
        <v>6.3606379999999998</v>
      </c>
      <c r="O17" s="2">
        <f t="shared" si="4"/>
        <v>0.31803190000000003</v>
      </c>
      <c r="P17" s="2">
        <f t="shared" si="11"/>
        <v>0.31803190000000003</v>
      </c>
      <c r="Q17" s="17"/>
      <c r="S17" s="1">
        <v>15</v>
      </c>
      <c r="T17" s="2">
        <v>-1.3</v>
      </c>
      <c r="U17" s="2">
        <f t="shared" si="5"/>
        <v>6.3606381999999995</v>
      </c>
      <c r="V17" s="2">
        <f t="shared" si="6"/>
        <v>0.31803190999999997</v>
      </c>
      <c r="W17" s="2">
        <f t="shared" si="12"/>
        <v>0.31803190999999997</v>
      </c>
      <c r="X17" s="17"/>
      <c r="Z17" s="1">
        <v>15</v>
      </c>
      <c r="AA17" s="2">
        <v>-1.3</v>
      </c>
      <c r="AB17" s="2">
        <f t="shared" si="7"/>
        <v>6.3606381999999995</v>
      </c>
      <c r="AC17" s="2">
        <f t="shared" si="8"/>
        <v>6.3606381999999995</v>
      </c>
      <c r="AD17" s="2">
        <f t="shared" si="9"/>
        <v>0.31803190999999997</v>
      </c>
      <c r="AE17" s="2">
        <f t="shared" si="13"/>
        <v>0.31803190999999997</v>
      </c>
    </row>
    <row r="18" spans="2:31" ht="17.5" thickBot="1" x14ac:dyDescent="0.4">
      <c r="B18">
        <f t="shared" si="0"/>
        <v>5.0000000000000044E-2</v>
      </c>
      <c r="C18" s="1">
        <v>16</v>
      </c>
      <c r="D18" s="2">
        <v>-1.25</v>
      </c>
      <c r="E18" s="2">
        <v>6.4245609999999997</v>
      </c>
      <c r="F18" s="2">
        <f t="shared" si="1"/>
        <v>0.32122804999999999</v>
      </c>
      <c r="G18" s="2">
        <f t="shared" si="10"/>
        <v>0.32122804999999999</v>
      </c>
      <c r="H18" s="17"/>
      <c r="J18">
        <f t="shared" si="2"/>
        <v>5.0000000000000044E-2</v>
      </c>
      <c r="K18" s="1">
        <v>16</v>
      </c>
      <c r="L18" s="2">
        <v>-1.25</v>
      </c>
      <c r="M18" s="2">
        <v>6.4245609999999997</v>
      </c>
      <c r="N18" s="2">
        <f t="shared" si="3"/>
        <v>6.4245609999999997</v>
      </c>
      <c r="O18" s="2">
        <f t="shared" si="4"/>
        <v>0.32122804999999999</v>
      </c>
      <c r="P18" s="2">
        <f t="shared" si="11"/>
        <v>0.32122804999999999</v>
      </c>
      <c r="Q18" s="17"/>
      <c r="S18" s="1">
        <v>16</v>
      </c>
      <c r="T18" s="2">
        <v>-1.25</v>
      </c>
      <c r="U18" s="2">
        <f t="shared" si="5"/>
        <v>6.424560546875</v>
      </c>
      <c r="V18" s="2">
        <f t="shared" si="6"/>
        <v>0.32122802734375</v>
      </c>
      <c r="W18" s="2">
        <f t="shared" si="12"/>
        <v>0.32122802734375</v>
      </c>
      <c r="X18" s="17"/>
      <c r="Z18" s="1">
        <v>16</v>
      </c>
      <c r="AA18" s="2">
        <v>-1.25</v>
      </c>
      <c r="AB18" s="2">
        <f t="shared" si="7"/>
        <v>6.424560546875</v>
      </c>
      <c r="AC18" s="2">
        <f t="shared" si="8"/>
        <v>6.424560546875</v>
      </c>
      <c r="AD18" s="2">
        <f t="shared" si="9"/>
        <v>0.32122802734375</v>
      </c>
      <c r="AE18" s="2">
        <f t="shared" si="13"/>
        <v>0.32122802734375</v>
      </c>
    </row>
    <row r="19" spans="2:31" ht="17.5" thickBot="1" x14ac:dyDescent="0.4">
      <c r="B19">
        <f t="shared" si="0"/>
        <v>5.0000000000000044E-2</v>
      </c>
      <c r="C19" s="1">
        <v>17</v>
      </c>
      <c r="D19" s="2">
        <v>-1.2</v>
      </c>
      <c r="E19" s="2">
        <v>6.4588029999999996</v>
      </c>
      <c r="F19" s="2">
        <f t="shared" si="1"/>
        <v>0.32294014999999998</v>
      </c>
      <c r="G19" s="2">
        <f t="shared" si="10"/>
        <v>0.32294014999999998</v>
      </c>
      <c r="H19" s="17"/>
      <c r="J19">
        <f t="shared" si="2"/>
        <v>5.0000000000000044E-2</v>
      </c>
      <c r="K19" s="1">
        <v>17</v>
      </c>
      <c r="L19" s="2">
        <v>-1.2</v>
      </c>
      <c r="M19" s="2">
        <v>6.4588029999999996</v>
      </c>
      <c r="N19" s="2">
        <f t="shared" si="3"/>
        <v>6.4588029999999996</v>
      </c>
      <c r="O19" s="2">
        <f t="shared" si="4"/>
        <v>0.32294014999999998</v>
      </c>
      <c r="P19" s="2">
        <f t="shared" si="11"/>
        <v>0.32294014999999998</v>
      </c>
      <c r="Q19" s="17"/>
      <c r="S19" s="1">
        <v>17</v>
      </c>
      <c r="T19" s="2">
        <v>-1.2</v>
      </c>
      <c r="U19" s="2">
        <f t="shared" si="5"/>
        <v>6.4588032000000002</v>
      </c>
      <c r="V19" s="2">
        <f t="shared" si="6"/>
        <v>0.32294016000000003</v>
      </c>
      <c r="W19" s="2">
        <f t="shared" si="12"/>
        <v>0.32294016000000003</v>
      </c>
      <c r="X19" s="17"/>
      <c r="Z19" s="1">
        <v>17</v>
      </c>
      <c r="AA19" s="2">
        <v>-1.2</v>
      </c>
      <c r="AB19" s="2">
        <f t="shared" si="7"/>
        <v>6.4588032000000002</v>
      </c>
      <c r="AC19" s="2">
        <f t="shared" si="8"/>
        <v>6.4588032000000002</v>
      </c>
      <c r="AD19" s="2">
        <f t="shared" si="9"/>
        <v>0.32294016000000003</v>
      </c>
      <c r="AE19" s="2">
        <f t="shared" si="13"/>
        <v>0.32294016000000003</v>
      </c>
    </row>
    <row r="20" spans="2:31" ht="17.5" thickBot="1" x14ac:dyDescent="0.4">
      <c r="B20">
        <f t="shared" si="0"/>
        <v>4.9999999999999822E-2</v>
      </c>
      <c r="C20" s="1">
        <v>18</v>
      </c>
      <c r="D20" s="2">
        <v>-1.1499999999999999</v>
      </c>
      <c r="E20" s="2">
        <v>6.4688879999999997</v>
      </c>
      <c r="F20" s="2">
        <f t="shared" si="1"/>
        <v>0.32344440000000002</v>
      </c>
      <c r="G20" s="2">
        <f t="shared" si="10"/>
        <v>0.32344440000000002</v>
      </c>
      <c r="H20" s="17"/>
      <c r="J20">
        <f t="shared" si="2"/>
        <v>4.9999999999999822E-2</v>
      </c>
      <c r="K20" s="1">
        <v>18</v>
      </c>
      <c r="L20" s="2">
        <v>-1.1499999999999999</v>
      </c>
      <c r="M20" s="2">
        <v>6.4688879999999997</v>
      </c>
      <c r="N20" s="2">
        <f t="shared" si="3"/>
        <v>6.4688879999999997</v>
      </c>
      <c r="O20" s="2">
        <f t="shared" si="4"/>
        <v>0.32344440000000002</v>
      </c>
      <c r="P20" s="2">
        <f t="shared" si="11"/>
        <v>0.32344440000000002</v>
      </c>
      <c r="Q20" s="17"/>
      <c r="S20" s="1">
        <v>18</v>
      </c>
      <c r="T20" s="2">
        <v>-1.1499999999999999</v>
      </c>
      <c r="U20" s="2">
        <f t="shared" si="5"/>
        <v>6.468887846875</v>
      </c>
      <c r="V20" s="2">
        <f t="shared" si="6"/>
        <v>0.32344439234375</v>
      </c>
      <c r="W20" s="2">
        <f t="shared" si="12"/>
        <v>0.32344439234375</v>
      </c>
      <c r="X20" s="17"/>
      <c r="Z20" s="1">
        <v>18</v>
      </c>
      <c r="AA20" s="2">
        <v>-1.1499999999999999</v>
      </c>
      <c r="AB20" s="2">
        <f t="shared" si="7"/>
        <v>6.468887846875</v>
      </c>
      <c r="AC20" s="2">
        <f t="shared" si="8"/>
        <v>6.468887846875</v>
      </c>
      <c r="AD20" s="2">
        <f t="shared" si="9"/>
        <v>0.32344439234375</v>
      </c>
      <c r="AE20" s="2">
        <f t="shared" si="13"/>
        <v>0.32344439234375</v>
      </c>
    </row>
    <row r="21" spans="2:31" ht="17.5" thickBot="1" x14ac:dyDescent="0.4">
      <c r="B21">
        <f t="shared" si="0"/>
        <v>5.0000000000000044E-2</v>
      </c>
      <c r="C21" s="1">
        <v>19</v>
      </c>
      <c r="D21" s="2">
        <v>-1.1000000000000001</v>
      </c>
      <c r="E21" s="2">
        <v>6.4596879999999999</v>
      </c>
      <c r="F21" s="2">
        <f t="shared" si="1"/>
        <v>0.3229844</v>
      </c>
      <c r="G21" s="2">
        <f t="shared" si="10"/>
        <v>0.3229844</v>
      </c>
      <c r="H21" s="17"/>
      <c r="J21">
        <f t="shared" si="2"/>
        <v>5.0000000000000044E-2</v>
      </c>
      <c r="K21" s="1">
        <v>19</v>
      </c>
      <c r="L21" s="2">
        <v>-1.1000000000000001</v>
      </c>
      <c r="M21" s="2">
        <v>6.4596879999999999</v>
      </c>
      <c r="N21" s="2">
        <f t="shared" si="3"/>
        <v>6.4596879999999999</v>
      </c>
      <c r="O21" s="2">
        <f t="shared" si="4"/>
        <v>0.3229844</v>
      </c>
      <c r="P21" s="2">
        <f t="shared" si="11"/>
        <v>0.3229844</v>
      </c>
      <c r="Q21" s="17"/>
      <c r="S21" s="1">
        <v>19</v>
      </c>
      <c r="T21" s="2">
        <v>-1.1000000000000001</v>
      </c>
      <c r="U21" s="2">
        <f t="shared" si="5"/>
        <v>6.4596878000000002</v>
      </c>
      <c r="V21" s="2">
        <f t="shared" si="6"/>
        <v>0.32298439000000001</v>
      </c>
      <c r="W21" s="2">
        <f t="shared" si="12"/>
        <v>0.32298439000000001</v>
      </c>
      <c r="X21" s="17"/>
      <c r="Z21" s="1">
        <v>19</v>
      </c>
      <c r="AA21" s="2">
        <v>-1.1000000000000001</v>
      </c>
      <c r="AB21" s="2">
        <f t="shared" si="7"/>
        <v>6.4596878000000002</v>
      </c>
      <c r="AC21" s="2">
        <f t="shared" si="8"/>
        <v>6.4596878000000002</v>
      </c>
      <c r="AD21" s="2">
        <f t="shared" si="9"/>
        <v>0.32298439000000001</v>
      </c>
      <c r="AE21" s="2">
        <f t="shared" si="13"/>
        <v>0.32298439000000001</v>
      </c>
    </row>
    <row r="22" spans="2:31" ht="17.5" thickBot="1" x14ac:dyDescent="0.4">
      <c r="B22">
        <f t="shared" si="0"/>
        <v>5.0000000000000044E-2</v>
      </c>
      <c r="C22" s="1">
        <v>20</v>
      </c>
      <c r="D22" s="2">
        <v>-1.05</v>
      </c>
      <c r="E22" s="2">
        <v>6.4354810000000002</v>
      </c>
      <c r="F22" s="2">
        <f t="shared" si="1"/>
        <v>0.32177405000000003</v>
      </c>
      <c r="G22" s="2">
        <f t="shared" si="10"/>
        <v>0.32177405000000003</v>
      </c>
      <c r="H22" s="17"/>
      <c r="J22">
        <f t="shared" si="2"/>
        <v>5.0000000000000044E-2</v>
      </c>
      <c r="K22" s="1">
        <v>20</v>
      </c>
      <c r="L22" s="2">
        <v>-1.05</v>
      </c>
      <c r="M22" s="2">
        <v>6.4354810000000002</v>
      </c>
      <c r="N22" s="2">
        <f t="shared" si="3"/>
        <v>6.4354810000000002</v>
      </c>
      <c r="O22" s="2">
        <f t="shared" si="4"/>
        <v>0.32177405000000003</v>
      </c>
      <c r="P22" s="2">
        <f t="shared" si="11"/>
        <v>0.32177405000000003</v>
      </c>
      <c r="Q22" s="17"/>
      <c r="S22" s="1">
        <v>20</v>
      </c>
      <c r="T22" s="2">
        <v>-1.05</v>
      </c>
      <c r="U22" s="2">
        <f t="shared" si="5"/>
        <v>6.4354808718749998</v>
      </c>
      <c r="V22" s="2">
        <f t="shared" si="6"/>
        <v>0.32177404359375</v>
      </c>
      <c r="W22" s="2">
        <f t="shared" si="12"/>
        <v>0.32177404359375</v>
      </c>
      <c r="X22" s="17"/>
      <c r="Z22" s="1">
        <v>20</v>
      </c>
      <c r="AA22" s="2">
        <v>-1.05</v>
      </c>
      <c r="AB22" s="2">
        <f t="shared" si="7"/>
        <v>6.4354808718749998</v>
      </c>
      <c r="AC22" s="2">
        <f t="shared" si="8"/>
        <v>6.4354808718749998</v>
      </c>
      <c r="AD22" s="2">
        <f t="shared" si="9"/>
        <v>0.32177404359375</v>
      </c>
      <c r="AE22" s="2">
        <f t="shared" si="13"/>
        <v>0.32177404359375</v>
      </c>
    </row>
    <row r="23" spans="2:31" ht="17.5" thickBot="1" x14ac:dyDescent="0.4">
      <c r="B23">
        <f t="shared" si="0"/>
        <v>5.0000000000000044E-2</v>
      </c>
      <c r="C23" s="1">
        <v>21</v>
      </c>
      <c r="D23" s="2">
        <v>-1</v>
      </c>
      <c r="E23" s="2">
        <v>6.4</v>
      </c>
      <c r="F23" s="2">
        <f t="shared" si="1"/>
        <v>0.32000000000000006</v>
      </c>
      <c r="G23" s="2">
        <f t="shared" si="10"/>
        <v>0.32000000000000006</v>
      </c>
      <c r="H23" s="17"/>
      <c r="J23">
        <f t="shared" si="2"/>
        <v>5.0000000000000044E-2</v>
      </c>
      <c r="K23" s="1">
        <v>21</v>
      </c>
      <c r="L23" s="2">
        <v>-1</v>
      </c>
      <c r="M23" s="2">
        <v>6.4</v>
      </c>
      <c r="N23" s="2">
        <f t="shared" si="3"/>
        <v>6.4</v>
      </c>
      <c r="O23" s="2">
        <f t="shared" si="4"/>
        <v>0.32000000000000006</v>
      </c>
      <c r="P23" s="2">
        <f t="shared" si="11"/>
        <v>0.32000000000000006</v>
      </c>
      <c r="Q23" s="17"/>
      <c r="S23" s="1">
        <v>21</v>
      </c>
      <c r="T23" s="2">
        <v>-1</v>
      </c>
      <c r="U23" s="2">
        <f t="shared" si="5"/>
        <v>6.4</v>
      </c>
      <c r="V23" s="2">
        <f t="shared" si="6"/>
        <v>0.32000000000000006</v>
      </c>
      <c r="W23" s="2">
        <f t="shared" si="12"/>
        <v>0.32000000000000006</v>
      </c>
      <c r="X23" s="17"/>
      <c r="Z23" s="1">
        <v>21</v>
      </c>
      <c r="AA23" s="2">
        <v>-1</v>
      </c>
      <c r="AB23" s="2">
        <f t="shared" si="7"/>
        <v>6.4</v>
      </c>
      <c r="AC23" s="2">
        <f t="shared" si="8"/>
        <v>6.4</v>
      </c>
      <c r="AD23" s="2">
        <f t="shared" si="9"/>
        <v>0.32000000000000006</v>
      </c>
      <c r="AE23" s="2">
        <f t="shared" si="13"/>
        <v>0.32000000000000006</v>
      </c>
    </row>
    <row r="24" spans="2:31" ht="17.5" thickBot="1" x14ac:dyDescent="0.4">
      <c r="B24">
        <f t="shared" si="0"/>
        <v>4.9999999999999933E-2</v>
      </c>
      <c r="C24" s="1">
        <v>22</v>
      </c>
      <c r="D24" s="2">
        <v>-0.95</v>
      </c>
      <c r="E24" s="2">
        <v>6.3564819999999997</v>
      </c>
      <c r="F24" s="2">
        <f t="shared" si="1"/>
        <v>0.3178241</v>
      </c>
      <c r="G24" s="2">
        <f t="shared" si="10"/>
        <v>0.3178241</v>
      </c>
      <c r="H24" s="17"/>
      <c r="J24">
        <f t="shared" si="2"/>
        <v>4.9999999999999933E-2</v>
      </c>
      <c r="K24" s="1">
        <v>22</v>
      </c>
      <c r="L24" s="2">
        <v>-0.95</v>
      </c>
      <c r="M24" s="2">
        <v>6.3564819999999997</v>
      </c>
      <c r="N24" s="2">
        <f t="shared" si="3"/>
        <v>6.3564819999999997</v>
      </c>
      <c r="O24" s="2">
        <f t="shared" si="4"/>
        <v>0.3178241</v>
      </c>
      <c r="P24" s="2">
        <f t="shared" si="11"/>
        <v>0.3178241</v>
      </c>
      <c r="Q24" s="17"/>
      <c r="S24" s="1">
        <v>22</v>
      </c>
      <c r="T24" s="2">
        <v>-0.95</v>
      </c>
      <c r="U24" s="2">
        <f t="shared" si="5"/>
        <v>6.356481621875</v>
      </c>
      <c r="V24" s="2">
        <f t="shared" si="6"/>
        <v>0.31782408109375004</v>
      </c>
      <c r="W24" s="2">
        <f t="shared" si="12"/>
        <v>0.31782408109375004</v>
      </c>
      <c r="X24" s="17"/>
      <c r="Z24" s="1">
        <v>22</v>
      </c>
      <c r="AA24" s="2">
        <v>-0.95</v>
      </c>
      <c r="AB24" s="2">
        <f t="shared" si="7"/>
        <v>6.356481621875</v>
      </c>
      <c r="AC24" s="2">
        <f t="shared" si="8"/>
        <v>6.356481621875</v>
      </c>
      <c r="AD24" s="2">
        <f t="shared" si="9"/>
        <v>0.31782408109375004</v>
      </c>
      <c r="AE24" s="2">
        <f t="shared" si="13"/>
        <v>0.31782408109375004</v>
      </c>
    </row>
    <row r="25" spans="2:31" ht="17.5" thickBot="1" x14ac:dyDescent="0.4">
      <c r="B25">
        <f t="shared" si="0"/>
        <v>5.0000000000000044E-2</v>
      </c>
      <c r="C25" s="1">
        <v>23</v>
      </c>
      <c r="D25" s="2">
        <v>-0.9</v>
      </c>
      <c r="E25" s="2">
        <v>6.3077120000000004</v>
      </c>
      <c r="F25" s="2">
        <f t="shared" si="1"/>
        <v>0.31538560000000004</v>
      </c>
      <c r="G25" s="2">
        <f t="shared" si="10"/>
        <v>0.31538560000000004</v>
      </c>
      <c r="H25" s="17"/>
      <c r="J25">
        <f t="shared" si="2"/>
        <v>5.0000000000000044E-2</v>
      </c>
      <c r="K25" s="1">
        <v>23</v>
      </c>
      <c r="L25" s="2">
        <v>-0.9</v>
      </c>
      <c r="M25" s="2">
        <v>6.3077120000000004</v>
      </c>
      <c r="N25" s="2">
        <f t="shared" si="3"/>
        <v>6.3077120000000004</v>
      </c>
      <c r="O25" s="2">
        <f t="shared" si="4"/>
        <v>0.31538560000000004</v>
      </c>
      <c r="P25" s="2">
        <f t="shared" si="11"/>
        <v>0.31538560000000004</v>
      </c>
      <c r="Q25" s="17"/>
      <c r="S25" s="1">
        <v>23</v>
      </c>
      <c r="T25" s="2">
        <v>-0.9</v>
      </c>
      <c r="U25" s="2">
        <f t="shared" si="5"/>
        <v>6.3077117999999999</v>
      </c>
      <c r="V25" s="2">
        <f t="shared" si="6"/>
        <v>0.31538558999999999</v>
      </c>
      <c r="W25" s="2">
        <f t="shared" si="12"/>
        <v>0.31538558999999999</v>
      </c>
      <c r="X25" s="17"/>
      <c r="Z25" s="1">
        <v>23</v>
      </c>
      <c r="AA25" s="2">
        <v>-0.9</v>
      </c>
      <c r="AB25" s="2">
        <f t="shared" si="7"/>
        <v>6.3077117999999999</v>
      </c>
      <c r="AC25" s="2">
        <f t="shared" si="8"/>
        <v>6.3077117999999999</v>
      </c>
      <c r="AD25" s="2">
        <f t="shared" si="9"/>
        <v>0.31538558999999999</v>
      </c>
      <c r="AE25" s="2">
        <f t="shared" si="13"/>
        <v>0.31538558999999999</v>
      </c>
    </row>
    <row r="26" spans="2:31" ht="17.5" thickBot="1" x14ac:dyDescent="0.4">
      <c r="B26">
        <f t="shared" si="0"/>
        <v>4.9999999999999933E-2</v>
      </c>
      <c r="C26" s="4">
        <v>24</v>
      </c>
      <c r="D26" s="5">
        <v>-0.85</v>
      </c>
      <c r="E26" s="12">
        <v>6.2560700000000002</v>
      </c>
      <c r="F26" s="2">
        <f t="shared" si="1"/>
        <v>0.31280350000000001</v>
      </c>
      <c r="G26" s="2">
        <f t="shared" si="10"/>
        <v>0.31280350000000001</v>
      </c>
      <c r="H26" s="17"/>
      <c r="J26">
        <f t="shared" si="2"/>
        <v>4.9999999999999933E-2</v>
      </c>
      <c r="K26" s="4">
        <v>24</v>
      </c>
      <c r="L26" s="5">
        <v>-0.85</v>
      </c>
      <c r="M26" s="12">
        <v>6.2560700000000002</v>
      </c>
      <c r="N26" s="2">
        <f t="shared" si="3"/>
        <v>6.2560700000000002</v>
      </c>
      <c r="O26" s="2">
        <f t="shared" si="4"/>
        <v>0.31280350000000001</v>
      </c>
      <c r="P26" s="2">
        <f t="shared" si="11"/>
        <v>0.31280350000000001</v>
      </c>
      <c r="Q26" s="17"/>
      <c r="S26" s="4">
        <v>24</v>
      </c>
      <c r="T26" s="5">
        <v>-0.85</v>
      </c>
      <c r="U26" s="2">
        <f t="shared" si="5"/>
        <v>6.2560700968749998</v>
      </c>
      <c r="V26" s="2">
        <f t="shared" si="6"/>
        <v>0.31280350484375002</v>
      </c>
      <c r="W26" s="2">
        <f t="shared" si="12"/>
        <v>0.31280350484375002</v>
      </c>
      <c r="X26" s="17"/>
      <c r="Z26" s="4">
        <v>24</v>
      </c>
      <c r="AA26" s="5">
        <v>-0.85</v>
      </c>
      <c r="AB26" s="2">
        <f t="shared" si="7"/>
        <v>6.2560700968749998</v>
      </c>
      <c r="AC26" s="2">
        <f t="shared" si="8"/>
        <v>6.2560700968749998</v>
      </c>
      <c r="AD26" s="2">
        <f t="shared" si="9"/>
        <v>0.31280350484375002</v>
      </c>
      <c r="AE26" s="2">
        <f t="shared" si="13"/>
        <v>0.31280350484375002</v>
      </c>
    </row>
    <row r="27" spans="2:31" ht="17.5" thickBot="1" x14ac:dyDescent="0.4">
      <c r="B27">
        <f t="shared" si="0"/>
        <v>5.0000000000000044E-2</v>
      </c>
      <c r="C27" s="1">
        <v>25</v>
      </c>
      <c r="D27" s="2">
        <v>-0.8</v>
      </c>
      <c r="E27" s="13">
        <v>6.2035710000000002</v>
      </c>
      <c r="F27" s="2">
        <f t="shared" si="1"/>
        <v>0.31017855000000005</v>
      </c>
      <c r="G27" s="2">
        <f t="shared" si="10"/>
        <v>0.31017855000000005</v>
      </c>
      <c r="H27" s="17"/>
      <c r="J27">
        <f t="shared" si="2"/>
        <v>5.0000000000000044E-2</v>
      </c>
      <c r="K27" s="1">
        <v>25</v>
      </c>
      <c r="L27" s="2">
        <v>-0.8</v>
      </c>
      <c r="M27" s="13">
        <v>6.2035710000000002</v>
      </c>
      <c r="N27" s="2">
        <f t="shared" si="3"/>
        <v>6.2035710000000002</v>
      </c>
      <c r="O27" s="2">
        <f t="shared" si="4"/>
        <v>0.31017855000000005</v>
      </c>
      <c r="P27" s="2">
        <f t="shared" si="11"/>
        <v>0.31017855000000005</v>
      </c>
      <c r="Q27" s="17"/>
      <c r="S27" s="1">
        <v>25</v>
      </c>
      <c r="T27" s="2">
        <v>-0.8</v>
      </c>
      <c r="U27" s="2">
        <f t="shared" si="5"/>
        <v>6.2035711999999998</v>
      </c>
      <c r="V27" s="2">
        <f t="shared" si="6"/>
        <v>0.31017855999999999</v>
      </c>
      <c r="W27" s="2">
        <f t="shared" si="12"/>
        <v>0.31017855999999999</v>
      </c>
      <c r="X27" s="17"/>
      <c r="Z27" s="1">
        <v>25</v>
      </c>
      <c r="AA27" s="2">
        <v>-0.8</v>
      </c>
      <c r="AB27" s="2">
        <f t="shared" si="7"/>
        <v>6.2035711999999998</v>
      </c>
      <c r="AC27" s="2">
        <f t="shared" si="8"/>
        <v>6.2035711999999998</v>
      </c>
      <c r="AD27" s="2">
        <f t="shared" si="9"/>
        <v>0.31017855999999999</v>
      </c>
      <c r="AE27" s="2">
        <f t="shared" si="13"/>
        <v>0.31017855999999999</v>
      </c>
    </row>
    <row r="28" spans="2:31" ht="17.5" thickBot="1" x14ac:dyDescent="0.4">
      <c r="B28">
        <f t="shared" si="0"/>
        <v>5.0000000000000044E-2</v>
      </c>
      <c r="C28" s="1">
        <v>26</v>
      </c>
      <c r="D28" s="2">
        <v>-0.75</v>
      </c>
      <c r="E28" s="13">
        <v>6.151904</v>
      </c>
      <c r="F28" s="2">
        <f t="shared" si="1"/>
        <v>0.30759520000000001</v>
      </c>
      <c r="G28" s="2">
        <f t="shared" si="10"/>
        <v>0.30759520000000001</v>
      </c>
      <c r="H28" s="17"/>
      <c r="J28">
        <f t="shared" si="2"/>
        <v>5.0000000000000044E-2</v>
      </c>
      <c r="K28" s="1">
        <v>26</v>
      </c>
      <c r="L28" s="2">
        <v>-0.75</v>
      </c>
      <c r="M28" s="13">
        <v>6.151904</v>
      </c>
      <c r="N28" s="2">
        <f t="shared" si="3"/>
        <v>6.151904</v>
      </c>
      <c r="O28" s="2">
        <f t="shared" si="4"/>
        <v>0.30759520000000001</v>
      </c>
      <c r="P28" s="2">
        <f t="shared" si="11"/>
        <v>0.30759520000000001</v>
      </c>
      <c r="Q28" s="17"/>
      <c r="S28" s="1">
        <v>26</v>
      </c>
      <c r="T28" s="2">
        <v>-0.75</v>
      </c>
      <c r="U28" s="2">
        <f t="shared" si="5"/>
        <v>6.1519042968750002</v>
      </c>
      <c r="V28" s="2">
        <f t="shared" si="6"/>
        <v>0.30759521484375002</v>
      </c>
      <c r="W28" s="2">
        <f t="shared" si="12"/>
        <v>0.30759521484375002</v>
      </c>
      <c r="X28" s="17"/>
      <c r="Z28" s="1">
        <v>26</v>
      </c>
      <c r="AA28" s="2">
        <v>-0.75</v>
      </c>
      <c r="AB28" s="2">
        <f t="shared" si="7"/>
        <v>6.1519042968750002</v>
      </c>
      <c r="AC28" s="2">
        <f t="shared" si="8"/>
        <v>6.1519042968750002</v>
      </c>
      <c r="AD28" s="2">
        <f t="shared" si="9"/>
        <v>0.30759521484375002</v>
      </c>
      <c r="AE28" s="2">
        <f t="shared" si="13"/>
        <v>0.30759521484375002</v>
      </c>
    </row>
    <row r="29" spans="2:31" ht="17.5" thickBot="1" x14ac:dyDescent="0.4">
      <c r="B29">
        <f t="shared" si="0"/>
        <v>4.9999999999999933E-2</v>
      </c>
      <c r="C29" s="1">
        <v>27</v>
      </c>
      <c r="D29" s="2">
        <v>-0.7</v>
      </c>
      <c r="E29" s="13">
        <v>6.1024700000000003</v>
      </c>
      <c r="F29" s="2">
        <f t="shared" si="1"/>
        <v>0.30512350000000005</v>
      </c>
      <c r="G29" s="2">
        <f t="shared" si="10"/>
        <v>0.30512350000000005</v>
      </c>
      <c r="H29" s="17"/>
      <c r="J29">
        <f t="shared" si="2"/>
        <v>4.9999999999999933E-2</v>
      </c>
      <c r="K29" s="1">
        <v>27</v>
      </c>
      <c r="L29" s="2">
        <v>-0.7</v>
      </c>
      <c r="M29" s="13">
        <v>6.1024700000000003</v>
      </c>
      <c r="N29" s="2">
        <f t="shared" si="3"/>
        <v>6.1024700000000003</v>
      </c>
      <c r="O29" s="2">
        <f t="shared" si="4"/>
        <v>0.30512350000000005</v>
      </c>
      <c r="P29" s="2">
        <f t="shared" si="11"/>
        <v>0.30512350000000005</v>
      </c>
      <c r="Q29" s="17"/>
      <c r="S29" s="1">
        <v>27</v>
      </c>
      <c r="T29" s="2">
        <v>-0.7</v>
      </c>
      <c r="U29" s="2">
        <f t="shared" si="5"/>
        <v>6.1024702</v>
      </c>
      <c r="V29" s="2">
        <f t="shared" si="6"/>
        <v>0.30512351000000004</v>
      </c>
      <c r="W29" s="2">
        <f t="shared" si="12"/>
        <v>0.30512351000000004</v>
      </c>
      <c r="X29" s="17"/>
      <c r="Z29" s="1">
        <v>27</v>
      </c>
      <c r="AA29" s="2">
        <v>-0.7</v>
      </c>
      <c r="AB29" s="2">
        <f t="shared" si="7"/>
        <v>6.1024702</v>
      </c>
      <c r="AC29" s="2">
        <f t="shared" si="8"/>
        <v>6.1024702</v>
      </c>
      <c r="AD29" s="2">
        <f t="shared" si="9"/>
        <v>0.30512351000000004</v>
      </c>
      <c r="AE29" s="2">
        <f t="shared" si="13"/>
        <v>0.30512351000000004</v>
      </c>
    </row>
    <row r="30" spans="2:31" ht="17.5" thickBot="1" x14ac:dyDescent="0.4">
      <c r="B30">
        <f t="shared" si="0"/>
        <v>5.0000000000000044E-2</v>
      </c>
      <c r="C30" s="1">
        <v>28</v>
      </c>
      <c r="D30" s="2">
        <v>-0.65</v>
      </c>
      <c r="E30" s="13">
        <v>6.0564159999999996</v>
      </c>
      <c r="F30" s="2">
        <f t="shared" si="1"/>
        <v>0.3028208</v>
      </c>
      <c r="G30" s="2">
        <f t="shared" si="10"/>
        <v>0.3028208</v>
      </c>
      <c r="H30" s="17"/>
      <c r="J30">
        <f t="shared" si="2"/>
        <v>5.0000000000000044E-2</v>
      </c>
      <c r="K30" s="1">
        <v>28</v>
      </c>
      <c r="L30" s="2">
        <v>-0.65</v>
      </c>
      <c r="M30" s="13">
        <v>6.0564159999999996</v>
      </c>
      <c r="N30" s="2">
        <f t="shared" si="3"/>
        <v>6.0564159999999996</v>
      </c>
      <c r="O30" s="2">
        <f t="shared" si="4"/>
        <v>0.3028208</v>
      </c>
      <c r="P30" s="2">
        <f t="shared" si="11"/>
        <v>0.3028208</v>
      </c>
      <c r="Q30" s="17"/>
      <c r="S30" s="1">
        <v>28</v>
      </c>
      <c r="T30" s="2">
        <v>-0.65</v>
      </c>
      <c r="U30" s="2">
        <f t="shared" si="5"/>
        <v>6.0564162218749997</v>
      </c>
      <c r="V30" s="2">
        <f t="shared" si="6"/>
        <v>0.30282081109375003</v>
      </c>
      <c r="W30" s="2">
        <f t="shared" si="12"/>
        <v>0.30282081109375003</v>
      </c>
      <c r="X30" s="17"/>
      <c r="Z30" s="1">
        <v>28</v>
      </c>
      <c r="AA30" s="2">
        <v>-0.65</v>
      </c>
      <c r="AB30" s="2">
        <f t="shared" si="7"/>
        <v>6.0564162218749997</v>
      </c>
      <c r="AC30" s="2">
        <f t="shared" si="8"/>
        <v>6.0564162218749997</v>
      </c>
      <c r="AD30" s="2">
        <f t="shared" si="9"/>
        <v>0.30282081109375003</v>
      </c>
      <c r="AE30" s="2">
        <f t="shared" si="13"/>
        <v>0.30282081109375003</v>
      </c>
    </row>
    <row r="31" spans="2:31" ht="17.5" thickBot="1" x14ac:dyDescent="0.4">
      <c r="B31">
        <f t="shared" si="0"/>
        <v>4.9999999999999933E-2</v>
      </c>
      <c r="C31" s="1">
        <v>29</v>
      </c>
      <c r="D31" s="2">
        <v>-0.6</v>
      </c>
      <c r="E31" s="13">
        <v>6.0146689999999996</v>
      </c>
      <c r="F31" s="2">
        <f t="shared" si="1"/>
        <v>0.30073345000000001</v>
      </c>
      <c r="G31" s="2">
        <f t="shared" si="10"/>
        <v>0.30073345000000001</v>
      </c>
      <c r="H31" s="17"/>
      <c r="J31">
        <f t="shared" si="2"/>
        <v>4.9999999999999933E-2</v>
      </c>
      <c r="K31" s="1">
        <v>29</v>
      </c>
      <c r="L31" s="2">
        <v>-0.6</v>
      </c>
      <c r="M31" s="13">
        <v>6.0146689999999996</v>
      </c>
      <c r="N31" s="2">
        <f t="shared" si="3"/>
        <v>6.0146689999999996</v>
      </c>
      <c r="O31" s="2">
        <f t="shared" si="4"/>
        <v>0.30073345000000001</v>
      </c>
      <c r="P31" s="2">
        <f t="shared" si="11"/>
        <v>0.30073345000000001</v>
      </c>
      <c r="Q31" s="17"/>
      <c r="S31" s="1">
        <v>29</v>
      </c>
      <c r="T31" s="2">
        <v>-0.6</v>
      </c>
      <c r="U31" s="2">
        <f t="shared" si="5"/>
        <v>6.0146687999999999</v>
      </c>
      <c r="V31" s="2">
        <f t="shared" si="6"/>
        <v>0.30073344000000002</v>
      </c>
      <c r="W31" s="2">
        <f t="shared" si="12"/>
        <v>0.30073344000000002</v>
      </c>
      <c r="X31" s="17"/>
      <c r="Z31" s="1">
        <v>29</v>
      </c>
      <c r="AA31" s="2">
        <v>-0.6</v>
      </c>
      <c r="AB31" s="2">
        <f t="shared" si="7"/>
        <v>6.0146687999999999</v>
      </c>
      <c r="AC31" s="2">
        <f t="shared" si="8"/>
        <v>6.0146687999999999</v>
      </c>
      <c r="AD31" s="2">
        <f t="shared" si="9"/>
        <v>0.30073344000000002</v>
      </c>
      <c r="AE31" s="2">
        <f t="shared" si="13"/>
        <v>0.30073344000000002</v>
      </c>
    </row>
    <row r="32" spans="2:31" ht="17.5" thickBot="1" x14ac:dyDescent="0.4">
      <c r="B32">
        <f t="shared" si="0"/>
        <v>5.0000000000000044E-2</v>
      </c>
      <c r="C32" s="1">
        <v>30</v>
      </c>
      <c r="D32" s="2">
        <v>-0.55000000000000004</v>
      </c>
      <c r="E32" s="13">
        <v>5.9779640000000001</v>
      </c>
      <c r="F32" s="2">
        <f t="shared" si="1"/>
        <v>0.2988982</v>
      </c>
      <c r="G32" s="2">
        <f t="shared" si="10"/>
        <v>0.2988982</v>
      </c>
      <c r="H32" s="17"/>
      <c r="J32">
        <f t="shared" si="2"/>
        <v>5.0000000000000044E-2</v>
      </c>
      <c r="K32" s="1">
        <v>30</v>
      </c>
      <c r="L32" s="2">
        <v>-0.55000000000000004</v>
      </c>
      <c r="M32" s="13">
        <v>5.9779640000000001</v>
      </c>
      <c r="N32" s="2">
        <f t="shared" si="3"/>
        <v>5.9779640000000001</v>
      </c>
      <c r="O32" s="2">
        <f t="shared" si="4"/>
        <v>0.2988982</v>
      </c>
      <c r="P32" s="2">
        <f t="shared" si="11"/>
        <v>0.2988982</v>
      </c>
      <c r="Q32" s="17"/>
      <c r="S32" s="1">
        <v>30</v>
      </c>
      <c r="T32" s="2">
        <v>-0.55000000000000004</v>
      </c>
      <c r="U32" s="2">
        <f t="shared" si="5"/>
        <v>5.9779638718749997</v>
      </c>
      <c r="V32" s="2">
        <f t="shared" si="6"/>
        <v>0.29889819359374997</v>
      </c>
      <c r="W32" s="2">
        <f t="shared" si="12"/>
        <v>0.29889819359374997</v>
      </c>
      <c r="X32" s="17"/>
      <c r="Z32" s="1">
        <v>30</v>
      </c>
      <c r="AA32" s="2">
        <v>-0.55000000000000004</v>
      </c>
      <c r="AB32" s="2">
        <f t="shared" si="7"/>
        <v>5.9779638718749997</v>
      </c>
      <c r="AC32" s="2">
        <f t="shared" si="8"/>
        <v>5.9779638718749997</v>
      </c>
      <c r="AD32" s="2">
        <f t="shared" si="9"/>
        <v>0.29889819359374997</v>
      </c>
      <c r="AE32" s="2">
        <f t="shared" si="13"/>
        <v>0.29889819359374997</v>
      </c>
    </row>
    <row r="33" spans="2:31" ht="17.5" thickBot="1" x14ac:dyDescent="0.4">
      <c r="B33">
        <f t="shared" si="0"/>
        <v>4.9999999999999989E-2</v>
      </c>
      <c r="C33" s="1">
        <v>31</v>
      </c>
      <c r="D33" s="2">
        <v>-0.5</v>
      </c>
      <c r="E33" s="13">
        <v>5.9468750000000004</v>
      </c>
      <c r="F33" s="2">
        <f t="shared" si="1"/>
        <v>0.29734375000000002</v>
      </c>
      <c r="G33" s="2">
        <f t="shared" si="10"/>
        <v>0.29734375000000002</v>
      </c>
      <c r="H33" s="17"/>
      <c r="J33">
        <f t="shared" si="2"/>
        <v>4.9999999999999989E-2</v>
      </c>
      <c r="K33" s="1">
        <v>31</v>
      </c>
      <c r="L33" s="2">
        <v>-0.5</v>
      </c>
      <c r="M33" s="13">
        <v>5.9468750000000004</v>
      </c>
      <c r="N33" s="2">
        <f t="shared" si="3"/>
        <v>5.9468750000000004</v>
      </c>
      <c r="O33" s="2">
        <f t="shared" si="4"/>
        <v>0.29734375000000002</v>
      </c>
      <c r="P33" s="2">
        <f t="shared" si="11"/>
        <v>0.29734375000000002</v>
      </c>
      <c r="Q33" s="17"/>
      <c r="S33" s="1">
        <v>31</v>
      </c>
      <c r="T33" s="2">
        <v>-0.5</v>
      </c>
      <c r="U33" s="2">
        <f t="shared" si="5"/>
        <v>5.9468750000000004</v>
      </c>
      <c r="V33" s="2">
        <f t="shared" si="6"/>
        <v>0.29734375000000002</v>
      </c>
      <c r="W33" s="2">
        <f t="shared" si="12"/>
        <v>0.29734375000000002</v>
      </c>
      <c r="X33" s="17"/>
      <c r="Z33" s="1">
        <v>31</v>
      </c>
      <c r="AA33" s="2">
        <v>-0.5</v>
      </c>
      <c r="AB33" s="2">
        <f t="shared" si="7"/>
        <v>5.9468750000000004</v>
      </c>
      <c r="AC33" s="2">
        <f t="shared" si="8"/>
        <v>5.9468750000000004</v>
      </c>
      <c r="AD33" s="2">
        <f t="shared" si="9"/>
        <v>0.29734375000000002</v>
      </c>
      <c r="AE33" s="2">
        <f t="shared" si="13"/>
        <v>0.29734375000000002</v>
      </c>
    </row>
    <row r="34" spans="2:31" ht="17.5" thickBot="1" x14ac:dyDescent="0.4">
      <c r="B34">
        <f t="shared" si="0"/>
        <v>4.9999999999999989E-2</v>
      </c>
      <c r="C34" s="1">
        <v>32</v>
      </c>
      <c r="D34" s="2">
        <v>-0.45</v>
      </c>
      <c r="E34" s="13">
        <v>5.9218390000000003</v>
      </c>
      <c r="F34" s="2">
        <f t="shared" si="1"/>
        <v>0.29609195000000005</v>
      </c>
      <c r="G34" s="2">
        <f t="shared" si="10"/>
        <v>0.29609195000000005</v>
      </c>
      <c r="H34" s="17"/>
      <c r="J34">
        <f t="shared" si="2"/>
        <v>4.9999999999999989E-2</v>
      </c>
      <c r="K34" s="1">
        <v>32</v>
      </c>
      <c r="L34" s="2">
        <v>-0.45</v>
      </c>
      <c r="M34" s="13">
        <v>5.9218390000000003</v>
      </c>
      <c r="N34" s="2">
        <f t="shared" si="3"/>
        <v>5.9218390000000003</v>
      </c>
      <c r="O34" s="2">
        <f t="shared" si="4"/>
        <v>0.29609195000000005</v>
      </c>
      <c r="P34" s="2">
        <f t="shared" si="11"/>
        <v>0.29609195000000005</v>
      </c>
      <c r="Q34" s="17"/>
      <c r="S34" s="1">
        <v>32</v>
      </c>
      <c r="T34" s="2">
        <v>-0.45</v>
      </c>
      <c r="U34" s="2">
        <f t="shared" si="5"/>
        <v>5.9218392468749999</v>
      </c>
      <c r="V34" s="2">
        <f t="shared" si="6"/>
        <v>0.29609196234375001</v>
      </c>
      <c r="W34" s="2">
        <f t="shared" si="12"/>
        <v>0.29609196234375001</v>
      </c>
      <c r="X34" s="17"/>
      <c r="Z34" s="1">
        <v>32</v>
      </c>
      <c r="AA34" s="2">
        <v>-0.45</v>
      </c>
      <c r="AB34" s="2">
        <f t="shared" si="7"/>
        <v>5.9218392468749999</v>
      </c>
      <c r="AC34" s="2">
        <f t="shared" si="8"/>
        <v>5.9218392468749999</v>
      </c>
      <c r="AD34" s="2">
        <f t="shared" si="9"/>
        <v>0.29609196234375001</v>
      </c>
      <c r="AE34" s="2">
        <f t="shared" si="13"/>
        <v>0.29609196234375001</v>
      </c>
    </row>
    <row r="35" spans="2:31" ht="17.5" thickBot="1" x14ac:dyDescent="0.4">
      <c r="B35">
        <f t="shared" si="0"/>
        <v>5.0000000000000044E-2</v>
      </c>
      <c r="C35" s="1">
        <v>33</v>
      </c>
      <c r="D35" s="2">
        <v>-0.4</v>
      </c>
      <c r="E35" s="13">
        <v>5.903181</v>
      </c>
      <c r="F35" s="2">
        <f t="shared" si="1"/>
        <v>0.29515905000000003</v>
      </c>
      <c r="G35" s="2">
        <f t="shared" si="10"/>
        <v>0.29515905000000003</v>
      </c>
      <c r="H35" s="17"/>
      <c r="J35">
        <f t="shared" si="2"/>
        <v>5.0000000000000044E-2</v>
      </c>
      <c r="K35" s="1">
        <v>33</v>
      </c>
      <c r="L35" s="2">
        <v>-0.4</v>
      </c>
      <c r="M35" s="13">
        <v>5.903181</v>
      </c>
      <c r="N35" s="2">
        <f t="shared" si="3"/>
        <v>5.903181</v>
      </c>
      <c r="O35" s="2">
        <f t="shared" si="4"/>
        <v>0.29515905000000003</v>
      </c>
      <c r="P35" s="2">
        <f t="shared" si="11"/>
        <v>0.29515905000000003</v>
      </c>
      <c r="Q35" s="17"/>
      <c r="S35" s="1">
        <v>33</v>
      </c>
      <c r="T35" s="2">
        <v>-0.4</v>
      </c>
      <c r="U35" s="2">
        <f t="shared" si="5"/>
        <v>5.9031808000000003</v>
      </c>
      <c r="V35" s="2">
        <f t="shared" si="6"/>
        <v>0.29515904000000004</v>
      </c>
      <c r="W35" s="2">
        <f t="shared" si="12"/>
        <v>0.29515904000000004</v>
      </c>
      <c r="X35" s="17"/>
      <c r="Z35" s="1">
        <v>33</v>
      </c>
      <c r="AA35" s="2">
        <v>-0.4</v>
      </c>
      <c r="AB35" s="2">
        <f t="shared" si="7"/>
        <v>5.9031808000000003</v>
      </c>
      <c r="AC35" s="2">
        <f t="shared" si="8"/>
        <v>5.9031808000000003</v>
      </c>
      <c r="AD35" s="2">
        <f t="shared" si="9"/>
        <v>0.29515904000000004</v>
      </c>
      <c r="AE35" s="2">
        <f t="shared" si="13"/>
        <v>0.29515904000000004</v>
      </c>
    </row>
    <row r="36" spans="2:31" ht="17.5" thickBot="1" x14ac:dyDescent="0.4">
      <c r="B36">
        <f t="shared" si="0"/>
        <v>4.9999999999999989E-2</v>
      </c>
      <c r="C36" s="1">
        <v>34</v>
      </c>
      <c r="D36" s="2">
        <v>-0.35</v>
      </c>
      <c r="E36" s="13">
        <v>5.8911319999999998</v>
      </c>
      <c r="F36" s="2">
        <f t="shared" si="1"/>
        <v>0.2945566</v>
      </c>
      <c r="G36" s="2">
        <f t="shared" si="10"/>
        <v>0.2945566</v>
      </c>
      <c r="H36" s="17"/>
      <c r="J36">
        <f t="shared" si="2"/>
        <v>4.9999999999999989E-2</v>
      </c>
      <c r="K36" s="1">
        <v>34</v>
      </c>
      <c r="L36" s="2">
        <v>-0.35</v>
      </c>
      <c r="M36" s="13">
        <v>5.8911319999999998</v>
      </c>
      <c r="N36" s="2">
        <f t="shared" si="3"/>
        <v>5.8911319999999998</v>
      </c>
      <c r="O36" s="2">
        <f t="shared" si="4"/>
        <v>0.2945566</v>
      </c>
      <c r="P36" s="2">
        <f t="shared" si="11"/>
        <v>0.2945566</v>
      </c>
      <c r="Q36" s="17"/>
      <c r="S36" s="1">
        <v>34</v>
      </c>
      <c r="T36" s="2">
        <v>-0.35</v>
      </c>
      <c r="U36" s="2">
        <f t="shared" si="5"/>
        <v>5.8911323468749996</v>
      </c>
      <c r="V36" s="2">
        <f t="shared" si="6"/>
        <v>0.29455661734374999</v>
      </c>
      <c r="W36" s="2">
        <f t="shared" si="12"/>
        <v>0.29455661734374999</v>
      </c>
      <c r="X36" s="17"/>
      <c r="Z36" s="1">
        <v>34</v>
      </c>
      <c r="AA36" s="2">
        <v>-0.35</v>
      </c>
      <c r="AB36" s="2">
        <f t="shared" si="7"/>
        <v>5.8911323468749996</v>
      </c>
      <c r="AC36" s="2">
        <f t="shared" si="8"/>
        <v>5.8911323468749996</v>
      </c>
      <c r="AD36" s="2">
        <f t="shared" si="9"/>
        <v>0.29455661734374999</v>
      </c>
      <c r="AE36" s="2">
        <f t="shared" si="13"/>
        <v>0.29455661734374999</v>
      </c>
    </row>
    <row r="37" spans="2:31" ht="17.5" thickBot="1" x14ac:dyDescent="0.4">
      <c r="B37">
        <f t="shared" si="0"/>
        <v>4.9999999999999989E-2</v>
      </c>
      <c r="C37" s="1">
        <v>35</v>
      </c>
      <c r="D37" s="2">
        <v>-0.3</v>
      </c>
      <c r="E37" s="13">
        <v>5.8858540000000001</v>
      </c>
      <c r="F37" s="2">
        <f t="shared" si="1"/>
        <v>0.29429270000000002</v>
      </c>
      <c r="G37" s="2">
        <f t="shared" si="10"/>
        <v>0.29429270000000002</v>
      </c>
      <c r="H37" s="17"/>
      <c r="J37">
        <f t="shared" si="2"/>
        <v>4.9999999999999989E-2</v>
      </c>
      <c r="K37" s="1">
        <v>35</v>
      </c>
      <c r="L37" s="2">
        <v>-0.3</v>
      </c>
      <c r="M37" s="13">
        <v>5.8858540000000001</v>
      </c>
      <c r="N37" s="2">
        <f t="shared" si="3"/>
        <v>5.8858540000000001</v>
      </c>
      <c r="O37" s="2">
        <f t="shared" si="4"/>
        <v>0.29429270000000002</v>
      </c>
      <c r="P37" s="2">
        <f t="shared" si="11"/>
        <v>0.29429270000000002</v>
      </c>
      <c r="Q37" s="17"/>
      <c r="S37" s="1">
        <v>35</v>
      </c>
      <c r="T37" s="2">
        <v>-0.3</v>
      </c>
      <c r="U37" s="2">
        <f t="shared" si="5"/>
        <v>5.8858541999999998</v>
      </c>
      <c r="V37" s="2">
        <f t="shared" si="6"/>
        <v>0.29429271000000001</v>
      </c>
      <c r="W37" s="2">
        <f t="shared" si="12"/>
        <v>0.29429271000000001</v>
      </c>
      <c r="X37" s="17"/>
      <c r="Z37" s="1">
        <v>35</v>
      </c>
      <c r="AA37" s="2">
        <v>-0.3</v>
      </c>
      <c r="AB37" s="2">
        <f t="shared" si="7"/>
        <v>5.8858541999999998</v>
      </c>
      <c r="AC37" s="2">
        <f t="shared" si="8"/>
        <v>5.8858541999999998</v>
      </c>
      <c r="AD37" s="2">
        <f t="shared" si="9"/>
        <v>0.29429271000000001</v>
      </c>
      <c r="AE37" s="2">
        <f t="shared" si="13"/>
        <v>0.29429271000000001</v>
      </c>
    </row>
    <row r="38" spans="2:31" ht="17.5" thickBot="1" x14ac:dyDescent="0.4">
      <c r="B38">
        <f t="shared" si="0"/>
        <v>4.9999999999999989E-2</v>
      </c>
      <c r="C38" s="1">
        <v>36</v>
      </c>
      <c r="D38" s="2">
        <v>-0.25</v>
      </c>
      <c r="E38" s="13">
        <v>5.8874510000000004</v>
      </c>
      <c r="F38" s="2">
        <f t="shared" si="1"/>
        <v>0.29437255000000001</v>
      </c>
      <c r="G38" s="2">
        <f t="shared" si="10"/>
        <v>0.29437255000000001</v>
      </c>
      <c r="H38" s="17"/>
      <c r="J38">
        <f t="shared" si="2"/>
        <v>4.9999999999999989E-2</v>
      </c>
      <c r="K38" s="1">
        <v>36</v>
      </c>
      <c r="L38" s="2">
        <v>-0.25</v>
      </c>
      <c r="M38" s="13">
        <v>5.8874510000000004</v>
      </c>
      <c r="N38" s="2">
        <f t="shared" si="3"/>
        <v>5.8874510000000004</v>
      </c>
      <c r="O38" s="2">
        <f t="shared" si="4"/>
        <v>0.29437255000000001</v>
      </c>
      <c r="P38" s="2">
        <f t="shared" si="11"/>
        <v>0.29437255000000001</v>
      </c>
      <c r="Q38" s="17"/>
      <c r="S38" s="1">
        <v>36</v>
      </c>
      <c r="T38" s="2">
        <v>-0.25</v>
      </c>
      <c r="U38" s="2">
        <f t="shared" si="5"/>
        <v>5.887451171875</v>
      </c>
      <c r="V38" s="2">
        <f t="shared" si="6"/>
        <v>0.29437255859375</v>
      </c>
      <c r="W38" s="2">
        <f t="shared" si="12"/>
        <v>0.29437255859375</v>
      </c>
      <c r="X38" s="17"/>
      <c r="Z38" s="1">
        <v>36</v>
      </c>
      <c r="AA38" s="2">
        <v>-0.25</v>
      </c>
      <c r="AB38" s="2">
        <f t="shared" si="7"/>
        <v>5.887451171875</v>
      </c>
      <c r="AC38" s="2">
        <f t="shared" si="8"/>
        <v>5.887451171875</v>
      </c>
      <c r="AD38" s="2">
        <f t="shared" si="9"/>
        <v>0.29437255859375</v>
      </c>
      <c r="AE38" s="2">
        <f t="shared" si="13"/>
        <v>0.29437255859375</v>
      </c>
    </row>
    <row r="39" spans="2:31" ht="17.5" thickBot="1" x14ac:dyDescent="0.4">
      <c r="B39">
        <f t="shared" si="0"/>
        <v>5.0000000000000017E-2</v>
      </c>
      <c r="C39" s="1">
        <v>37</v>
      </c>
      <c r="D39" s="2">
        <v>-0.2</v>
      </c>
      <c r="E39" s="13">
        <v>5.8959869999999999</v>
      </c>
      <c r="F39" s="2">
        <f t="shared" si="1"/>
        <v>0.29479935000000002</v>
      </c>
      <c r="G39" s="2">
        <f t="shared" si="10"/>
        <v>0.29479935000000002</v>
      </c>
      <c r="H39" s="17"/>
      <c r="J39">
        <f t="shared" si="2"/>
        <v>5.0000000000000017E-2</v>
      </c>
      <c r="K39" s="1">
        <v>37</v>
      </c>
      <c r="L39" s="2">
        <v>-0.2</v>
      </c>
      <c r="M39" s="13">
        <v>5.8959869999999999</v>
      </c>
      <c r="N39" s="2">
        <f t="shared" si="3"/>
        <v>5.8959869999999999</v>
      </c>
      <c r="O39" s="2">
        <f t="shared" si="4"/>
        <v>0.29479935000000002</v>
      </c>
      <c r="P39" s="2">
        <f t="shared" si="11"/>
        <v>0.29479935000000002</v>
      </c>
      <c r="Q39" s="17"/>
      <c r="S39" s="1">
        <v>37</v>
      </c>
      <c r="T39" s="2">
        <v>-0.2</v>
      </c>
      <c r="U39" s="2">
        <f t="shared" si="5"/>
        <v>5.8959872000000004</v>
      </c>
      <c r="V39" s="2">
        <f t="shared" si="6"/>
        <v>0.29479936000000001</v>
      </c>
      <c r="W39" s="2">
        <f t="shared" si="12"/>
        <v>0.29479936000000001</v>
      </c>
      <c r="X39" s="17"/>
      <c r="Z39" s="1">
        <v>37</v>
      </c>
      <c r="AA39" s="2">
        <v>-0.2</v>
      </c>
      <c r="AB39" s="2">
        <f t="shared" si="7"/>
        <v>5.8959872000000004</v>
      </c>
      <c r="AC39" s="2">
        <f t="shared" si="8"/>
        <v>5.8959872000000004</v>
      </c>
      <c r="AD39" s="2">
        <f t="shared" si="9"/>
        <v>0.29479936000000001</v>
      </c>
      <c r="AE39" s="2">
        <f t="shared" si="13"/>
        <v>0.29479936000000001</v>
      </c>
    </row>
    <row r="40" spans="2:31" ht="17.5" thickBot="1" x14ac:dyDescent="0.4">
      <c r="B40">
        <f t="shared" si="0"/>
        <v>4.9999999999999989E-2</v>
      </c>
      <c r="C40" s="1">
        <v>38</v>
      </c>
      <c r="D40" s="2">
        <v>-0.15</v>
      </c>
      <c r="E40" s="13">
        <v>5.9114979999999999</v>
      </c>
      <c r="F40" s="2">
        <f t="shared" si="1"/>
        <v>0.29557490000000003</v>
      </c>
      <c r="G40" s="2">
        <f t="shared" si="10"/>
        <v>0.29557490000000003</v>
      </c>
      <c r="H40" s="17"/>
      <c r="J40">
        <f t="shared" si="2"/>
        <v>4.9999999999999989E-2</v>
      </c>
      <c r="K40" s="1">
        <v>38</v>
      </c>
      <c r="L40" s="2">
        <v>-0.15</v>
      </c>
      <c r="M40" s="13">
        <v>5.9114979999999999</v>
      </c>
      <c r="N40" s="2">
        <f t="shared" si="3"/>
        <v>5.9114979999999999</v>
      </c>
      <c r="O40" s="2">
        <f t="shared" si="4"/>
        <v>0.29557490000000003</v>
      </c>
      <c r="P40" s="2">
        <f t="shared" si="11"/>
        <v>0.29557490000000003</v>
      </c>
      <c r="Q40" s="17"/>
      <c r="S40" s="1">
        <v>38</v>
      </c>
      <c r="T40" s="2">
        <v>-0.15</v>
      </c>
      <c r="U40" s="2">
        <f t="shared" si="5"/>
        <v>5.9114977218749996</v>
      </c>
      <c r="V40" s="2">
        <f t="shared" si="6"/>
        <v>0.29557488609374999</v>
      </c>
      <c r="W40" s="2">
        <f t="shared" si="12"/>
        <v>0.29557488609374999</v>
      </c>
      <c r="X40" s="17"/>
      <c r="Z40" s="1">
        <v>38</v>
      </c>
      <c r="AA40" s="2">
        <v>-0.15</v>
      </c>
      <c r="AB40" s="2">
        <f t="shared" si="7"/>
        <v>5.9114977218749996</v>
      </c>
      <c r="AC40" s="2">
        <f t="shared" si="8"/>
        <v>5.9114977218749996</v>
      </c>
      <c r="AD40" s="2">
        <f t="shared" si="9"/>
        <v>0.29557488609374999</v>
      </c>
      <c r="AE40" s="2">
        <f t="shared" si="13"/>
        <v>0.29557488609374999</v>
      </c>
    </row>
    <row r="41" spans="2:31" ht="17.5" thickBot="1" x14ac:dyDescent="0.4">
      <c r="B41">
        <f t="shared" si="0"/>
        <v>0.05</v>
      </c>
      <c r="C41" s="1">
        <v>39</v>
      </c>
      <c r="D41" s="2">
        <v>-0.1</v>
      </c>
      <c r="E41" s="13">
        <v>5.9340000000000002</v>
      </c>
      <c r="F41" s="2">
        <f t="shared" si="1"/>
        <v>0.29670000000000002</v>
      </c>
      <c r="G41" s="2">
        <f t="shared" si="10"/>
        <v>0.29670000000000002</v>
      </c>
      <c r="H41" s="17"/>
      <c r="J41">
        <f t="shared" si="2"/>
        <v>0.05</v>
      </c>
      <c r="K41" s="1">
        <v>39</v>
      </c>
      <c r="L41" s="2">
        <v>-0.1</v>
      </c>
      <c r="M41" s="13">
        <v>5.9340000000000002</v>
      </c>
      <c r="N41" s="2">
        <f t="shared" si="3"/>
        <v>5.9340000000000002</v>
      </c>
      <c r="O41" s="2">
        <f t="shared" si="4"/>
        <v>0.29670000000000002</v>
      </c>
      <c r="P41" s="2">
        <f t="shared" si="11"/>
        <v>0.29670000000000002</v>
      </c>
      <c r="Q41" s="17"/>
      <c r="S41" s="1">
        <v>39</v>
      </c>
      <c r="T41" s="2">
        <v>-0.1</v>
      </c>
      <c r="U41" s="2">
        <f t="shared" si="5"/>
        <v>5.9339997999999996</v>
      </c>
      <c r="V41" s="2">
        <f t="shared" si="6"/>
        <v>0.29669998999999997</v>
      </c>
      <c r="W41" s="2">
        <f t="shared" si="12"/>
        <v>0.29669998999999997</v>
      </c>
      <c r="X41" s="17"/>
      <c r="Z41" s="1">
        <v>39</v>
      </c>
      <c r="AA41" s="2">
        <v>-0.1</v>
      </c>
      <c r="AB41" s="2">
        <f t="shared" si="7"/>
        <v>5.9339997999999996</v>
      </c>
      <c r="AC41" s="2">
        <f t="shared" si="8"/>
        <v>5.9339997999999996</v>
      </c>
      <c r="AD41" s="2">
        <f t="shared" si="9"/>
        <v>0.29669998999999997</v>
      </c>
      <c r="AE41" s="2">
        <f t="shared" si="13"/>
        <v>0.29669998999999997</v>
      </c>
    </row>
    <row r="42" spans="2:31" ht="17.5" thickBot="1" x14ac:dyDescent="0.4">
      <c r="B42">
        <f t="shared" si="0"/>
        <v>0.05</v>
      </c>
      <c r="C42" s="1">
        <v>40</v>
      </c>
      <c r="D42" s="2">
        <v>-0.05</v>
      </c>
      <c r="E42" s="13">
        <v>5.9634999999999998</v>
      </c>
      <c r="F42" s="2">
        <f t="shared" si="1"/>
        <v>0.29817500000000002</v>
      </c>
      <c r="G42" s="2">
        <f t="shared" si="10"/>
        <v>0.29817500000000002</v>
      </c>
      <c r="H42" s="17"/>
      <c r="J42">
        <f t="shared" si="2"/>
        <v>0.05</v>
      </c>
      <c r="K42" s="1">
        <v>40</v>
      </c>
      <c r="L42" s="2">
        <v>-0.05</v>
      </c>
      <c r="M42" s="13">
        <v>5.9634999999999998</v>
      </c>
      <c r="N42" s="2">
        <f t="shared" si="3"/>
        <v>5.9634999999999998</v>
      </c>
      <c r="O42" s="2">
        <f t="shared" si="4"/>
        <v>0.29817500000000002</v>
      </c>
      <c r="P42" s="2">
        <f t="shared" si="11"/>
        <v>0.29817500000000002</v>
      </c>
      <c r="Q42" s="17"/>
      <c r="S42" s="1">
        <v>40</v>
      </c>
      <c r="T42" s="2">
        <v>-0.05</v>
      </c>
      <c r="U42" s="2">
        <f t="shared" si="5"/>
        <v>5.963499996875</v>
      </c>
      <c r="V42" s="2">
        <f t="shared" si="6"/>
        <v>0.29817499984375001</v>
      </c>
      <c r="W42" s="2">
        <f t="shared" si="12"/>
        <v>0.29817499984375001</v>
      </c>
      <c r="X42" s="17"/>
      <c r="Z42" s="1">
        <v>40</v>
      </c>
      <c r="AA42" s="2">
        <v>-0.05</v>
      </c>
      <c r="AB42" s="2">
        <f t="shared" si="7"/>
        <v>5.963499996875</v>
      </c>
      <c r="AC42" s="2">
        <f t="shared" si="8"/>
        <v>5.963499996875</v>
      </c>
      <c r="AD42" s="2">
        <f t="shared" si="9"/>
        <v>0.29817499984375001</v>
      </c>
      <c r="AE42" s="2">
        <f t="shared" si="13"/>
        <v>0.29817499984375001</v>
      </c>
    </row>
    <row r="43" spans="2:31" ht="17.5" thickBot="1" x14ac:dyDescent="0.4">
      <c r="B43">
        <f t="shared" si="0"/>
        <v>0.05</v>
      </c>
      <c r="C43" s="1">
        <v>41</v>
      </c>
      <c r="D43" s="2">
        <v>0</v>
      </c>
      <c r="E43" s="13">
        <v>6</v>
      </c>
      <c r="F43" s="2">
        <f t="shared" si="1"/>
        <v>0.30000000000000004</v>
      </c>
      <c r="G43" s="2">
        <f t="shared" si="10"/>
        <v>0.30000000000000004</v>
      </c>
      <c r="H43" s="17"/>
      <c r="J43">
        <f t="shared" si="2"/>
        <v>0.05</v>
      </c>
      <c r="K43" s="1">
        <v>41</v>
      </c>
      <c r="L43" s="2">
        <v>0</v>
      </c>
      <c r="M43" s="13">
        <v>6</v>
      </c>
      <c r="N43" s="2">
        <f t="shared" si="3"/>
        <v>6</v>
      </c>
      <c r="O43" s="2">
        <f t="shared" si="4"/>
        <v>0.30000000000000004</v>
      </c>
      <c r="P43" s="2">
        <f t="shared" si="11"/>
        <v>0.30000000000000004</v>
      </c>
      <c r="Q43" s="17"/>
      <c r="S43" s="1">
        <v>41</v>
      </c>
      <c r="T43" s="2">
        <v>0</v>
      </c>
      <c r="U43" s="2">
        <f t="shared" si="5"/>
        <v>6</v>
      </c>
      <c r="V43" s="2">
        <f t="shared" si="6"/>
        <v>0.30000000000000004</v>
      </c>
      <c r="W43" s="2">
        <f t="shared" si="12"/>
        <v>0.30000000000000004</v>
      </c>
      <c r="X43" s="17"/>
      <c r="Z43" s="1">
        <v>41</v>
      </c>
      <c r="AA43" s="2">
        <v>0</v>
      </c>
      <c r="AB43" s="2">
        <f t="shared" si="7"/>
        <v>6</v>
      </c>
      <c r="AC43" s="2">
        <f t="shared" si="8"/>
        <v>6</v>
      </c>
      <c r="AD43" s="2">
        <f t="shared" si="9"/>
        <v>0.30000000000000004</v>
      </c>
      <c r="AE43" s="2">
        <f t="shared" si="13"/>
        <v>0.30000000000000004</v>
      </c>
    </row>
    <row r="44" spans="2:31" ht="17.5" thickBot="1" x14ac:dyDescent="0.4">
      <c r="B44">
        <f t="shared" si="0"/>
        <v>0.05</v>
      </c>
      <c r="C44" s="1">
        <v>42</v>
      </c>
      <c r="D44" s="2">
        <v>0.05</v>
      </c>
      <c r="E44" s="13">
        <v>6.0434999999999999</v>
      </c>
      <c r="F44" s="2">
        <f t="shared" si="1"/>
        <v>0.30217500000000003</v>
      </c>
      <c r="G44" s="2">
        <f t="shared" si="10"/>
        <v>0.30217500000000003</v>
      </c>
      <c r="H44" s="17"/>
      <c r="J44">
        <f t="shared" si="2"/>
        <v>0.05</v>
      </c>
      <c r="K44" s="1">
        <v>42</v>
      </c>
      <c r="L44" s="2">
        <v>0.05</v>
      </c>
      <c r="M44" s="13">
        <v>6.0434999999999999</v>
      </c>
      <c r="N44" s="2">
        <f t="shared" si="3"/>
        <v>6.0434999999999999</v>
      </c>
      <c r="O44" s="2">
        <f t="shared" si="4"/>
        <v>0.30217500000000003</v>
      </c>
      <c r="P44" s="2">
        <f t="shared" si="11"/>
        <v>0.30217500000000003</v>
      </c>
      <c r="Q44" s="17"/>
      <c r="S44" s="1">
        <v>42</v>
      </c>
      <c r="T44" s="2">
        <v>0.05</v>
      </c>
      <c r="U44" s="2">
        <f t="shared" si="5"/>
        <v>6.0434999968750001</v>
      </c>
      <c r="V44" s="2">
        <f t="shared" si="6"/>
        <v>0.30217499984375001</v>
      </c>
      <c r="W44" s="2">
        <f t="shared" si="12"/>
        <v>0.30217499984375001</v>
      </c>
      <c r="X44" s="17"/>
      <c r="Z44" s="1">
        <v>42</v>
      </c>
      <c r="AA44" s="2">
        <v>0.05</v>
      </c>
      <c r="AB44" s="2">
        <f t="shared" si="7"/>
        <v>6.0434999968750001</v>
      </c>
      <c r="AC44" s="2">
        <f t="shared" si="8"/>
        <v>6.0434999968750001</v>
      </c>
      <c r="AD44" s="2">
        <f t="shared" si="9"/>
        <v>0.30217499984375001</v>
      </c>
      <c r="AE44" s="2">
        <f t="shared" si="13"/>
        <v>0.30217499984375001</v>
      </c>
    </row>
    <row r="45" spans="2:31" ht="17.5" thickBot="1" x14ac:dyDescent="0.4">
      <c r="B45">
        <f t="shared" si="0"/>
        <v>4.9999999999999989E-2</v>
      </c>
      <c r="C45" s="1">
        <v>43</v>
      </c>
      <c r="D45" s="2">
        <v>0.1</v>
      </c>
      <c r="E45" s="13">
        <v>6.0940000000000003</v>
      </c>
      <c r="F45" s="2">
        <f t="shared" si="1"/>
        <v>0.30470000000000003</v>
      </c>
      <c r="G45" s="2">
        <f t="shared" si="10"/>
        <v>0.30470000000000003</v>
      </c>
      <c r="H45" s="17"/>
      <c r="J45">
        <f t="shared" si="2"/>
        <v>4.9999999999999989E-2</v>
      </c>
      <c r="K45" s="1">
        <v>43</v>
      </c>
      <c r="L45" s="2">
        <v>0.1</v>
      </c>
      <c r="M45" s="13">
        <v>6.0940000000000003</v>
      </c>
      <c r="N45" s="2">
        <f t="shared" si="3"/>
        <v>6.0940000000000003</v>
      </c>
      <c r="O45" s="2">
        <f t="shared" si="4"/>
        <v>0.30470000000000003</v>
      </c>
      <c r="P45" s="2">
        <f t="shared" si="11"/>
        <v>0.30470000000000003</v>
      </c>
      <c r="Q45" s="17"/>
      <c r="S45" s="1">
        <v>43</v>
      </c>
      <c r="T45" s="2">
        <v>0.1</v>
      </c>
      <c r="U45" s="2">
        <f t="shared" si="5"/>
        <v>6.0939997999999997</v>
      </c>
      <c r="V45" s="2">
        <f t="shared" si="6"/>
        <v>0.30469999000000003</v>
      </c>
      <c r="W45" s="2">
        <f t="shared" si="12"/>
        <v>0.30469999000000003</v>
      </c>
      <c r="X45" s="17"/>
      <c r="Z45" s="1">
        <v>43</v>
      </c>
      <c r="AA45" s="2">
        <v>0.1</v>
      </c>
      <c r="AB45" s="2">
        <f t="shared" si="7"/>
        <v>6.0939997999999997</v>
      </c>
      <c r="AC45" s="2">
        <f t="shared" si="8"/>
        <v>6.0939997999999997</v>
      </c>
      <c r="AD45" s="2">
        <f t="shared" si="9"/>
        <v>0.30469999000000003</v>
      </c>
      <c r="AE45" s="2">
        <f t="shared" si="13"/>
        <v>0.30469999000000003</v>
      </c>
    </row>
    <row r="46" spans="2:31" ht="17.5" thickBot="1" x14ac:dyDescent="0.4">
      <c r="B46">
        <f t="shared" si="0"/>
        <v>5.0000000000000017E-2</v>
      </c>
      <c r="C46" s="1">
        <v>44</v>
      </c>
      <c r="D46" s="2">
        <v>0.15</v>
      </c>
      <c r="E46" s="13">
        <v>6.1514980000000001</v>
      </c>
      <c r="F46" s="2">
        <f t="shared" si="1"/>
        <v>0.30757490000000004</v>
      </c>
      <c r="G46" s="2">
        <f t="shared" si="10"/>
        <v>0.30757490000000004</v>
      </c>
      <c r="H46" s="17"/>
      <c r="J46">
        <f t="shared" si="2"/>
        <v>5.0000000000000017E-2</v>
      </c>
      <c r="K46" s="1">
        <v>44</v>
      </c>
      <c r="L46" s="2">
        <v>0.15</v>
      </c>
      <c r="M46" s="13">
        <v>6.1514980000000001</v>
      </c>
      <c r="N46" s="2">
        <f t="shared" si="3"/>
        <v>6.1514980000000001</v>
      </c>
      <c r="O46" s="2">
        <f t="shared" si="4"/>
        <v>0.30757490000000004</v>
      </c>
      <c r="P46" s="2">
        <f t="shared" si="11"/>
        <v>0.30757490000000004</v>
      </c>
      <c r="Q46" s="17"/>
      <c r="S46" s="1">
        <v>44</v>
      </c>
      <c r="T46" s="2">
        <v>0.15</v>
      </c>
      <c r="U46" s="2">
        <f t="shared" si="5"/>
        <v>6.1514977218749998</v>
      </c>
      <c r="V46" s="2">
        <f t="shared" si="6"/>
        <v>0.30757488609375</v>
      </c>
      <c r="W46" s="2">
        <f t="shared" si="12"/>
        <v>0.30757488609375</v>
      </c>
      <c r="X46" s="17"/>
      <c r="Z46" s="1">
        <v>44</v>
      </c>
      <c r="AA46" s="2">
        <v>0.15</v>
      </c>
      <c r="AB46" s="2">
        <f t="shared" si="7"/>
        <v>6.1514977218749998</v>
      </c>
      <c r="AC46" s="2">
        <f t="shared" si="8"/>
        <v>6.1514977218749998</v>
      </c>
      <c r="AD46" s="2">
        <f t="shared" si="9"/>
        <v>0.30757488609375</v>
      </c>
      <c r="AE46" s="2">
        <f t="shared" si="13"/>
        <v>0.30757488609375</v>
      </c>
    </row>
    <row r="47" spans="2:31" ht="17.5" thickBot="1" x14ac:dyDescent="0.4">
      <c r="B47">
        <f t="shared" si="0"/>
        <v>4.9999999999999989E-2</v>
      </c>
      <c r="C47" s="1">
        <v>45</v>
      </c>
      <c r="D47" s="2">
        <v>0.2</v>
      </c>
      <c r="E47" s="13">
        <v>6.2159870000000002</v>
      </c>
      <c r="F47" s="2">
        <f t="shared" si="1"/>
        <v>0.31079935000000003</v>
      </c>
      <c r="G47" s="2">
        <f t="shared" si="10"/>
        <v>0.31079935000000003</v>
      </c>
      <c r="H47" s="17"/>
      <c r="J47">
        <f t="shared" si="2"/>
        <v>4.9999999999999989E-2</v>
      </c>
      <c r="K47" s="1">
        <v>45</v>
      </c>
      <c r="L47" s="2">
        <v>0.2</v>
      </c>
      <c r="M47" s="13">
        <v>6.2159870000000002</v>
      </c>
      <c r="N47" s="2">
        <f t="shared" si="3"/>
        <v>6.2159870000000002</v>
      </c>
      <c r="O47" s="2">
        <f t="shared" si="4"/>
        <v>0.31079935000000003</v>
      </c>
      <c r="P47" s="2">
        <f t="shared" si="11"/>
        <v>0.31079935000000003</v>
      </c>
      <c r="Q47" s="17"/>
      <c r="S47" s="1">
        <v>45</v>
      </c>
      <c r="T47" s="2">
        <v>0.2</v>
      </c>
      <c r="U47" s="2">
        <f t="shared" si="5"/>
        <v>6.2159871999999998</v>
      </c>
      <c r="V47" s="2">
        <f t="shared" si="6"/>
        <v>0.31079936000000002</v>
      </c>
      <c r="W47" s="2">
        <f t="shared" si="12"/>
        <v>0.31079936000000002</v>
      </c>
      <c r="X47" s="17"/>
      <c r="Z47" s="1">
        <v>45</v>
      </c>
      <c r="AA47" s="2">
        <v>0.2</v>
      </c>
      <c r="AB47" s="2">
        <f t="shared" si="7"/>
        <v>6.2159871999999998</v>
      </c>
      <c r="AC47" s="2">
        <f t="shared" si="8"/>
        <v>6.2159871999999998</v>
      </c>
      <c r="AD47" s="2">
        <f t="shared" si="9"/>
        <v>0.31079936000000002</v>
      </c>
      <c r="AE47" s="2">
        <f t="shared" si="13"/>
        <v>0.31079936000000002</v>
      </c>
    </row>
    <row r="48" spans="2:31" ht="17.5" thickBot="1" x14ac:dyDescent="0.4">
      <c r="B48">
        <f t="shared" si="0"/>
        <v>4.9999999999999989E-2</v>
      </c>
      <c r="C48" s="1">
        <v>46</v>
      </c>
      <c r="D48" s="2">
        <v>0.25</v>
      </c>
      <c r="E48" s="13">
        <v>6.2874509999999999</v>
      </c>
      <c r="F48" s="2">
        <f t="shared" si="1"/>
        <v>0.31437255000000003</v>
      </c>
      <c r="G48" s="2">
        <f t="shared" si="10"/>
        <v>0.31437255000000003</v>
      </c>
      <c r="H48" s="17"/>
      <c r="J48">
        <f t="shared" si="2"/>
        <v>4.9999999999999989E-2</v>
      </c>
      <c r="K48" s="1">
        <v>46</v>
      </c>
      <c r="L48" s="2">
        <v>0.25</v>
      </c>
      <c r="M48" s="13">
        <v>6.2874509999999999</v>
      </c>
      <c r="N48" s="2">
        <f t="shared" si="3"/>
        <v>6.2874509999999999</v>
      </c>
      <c r="O48" s="2">
        <f t="shared" si="4"/>
        <v>0.31437255000000003</v>
      </c>
      <c r="P48" s="2">
        <f t="shared" si="11"/>
        <v>0.31437255000000003</v>
      </c>
      <c r="Q48" s="17"/>
      <c r="S48" s="1">
        <v>46</v>
      </c>
      <c r="T48" s="2">
        <v>0.25</v>
      </c>
      <c r="U48" s="2">
        <f t="shared" si="5"/>
        <v>6.2874511718750004</v>
      </c>
      <c r="V48" s="2">
        <f t="shared" si="6"/>
        <v>0.31437255859375002</v>
      </c>
      <c r="W48" s="2">
        <f t="shared" si="12"/>
        <v>0.31437255859375002</v>
      </c>
      <c r="X48" s="17"/>
      <c r="Z48" s="1">
        <v>46</v>
      </c>
      <c r="AA48" s="2">
        <v>0.25</v>
      </c>
      <c r="AB48" s="2">
        <f t="shared" si="7"/>
        <v>6.2874511718750004</v>
      </c>
      <c r="AC48" s="2">
        <f t="shared" si="8"/>
        <v>6.2874511718750004</v>
      </c>
      <c r="AD48" s="2">
        <f t="shared" si="9"/>
        <v>0.31437255859375002</v>
      </c>
      <c r="AE48" s="2">
        <f t="shared" si="13"/>
        <v>0.31437255859375002</v>
      </c>
    </row>
    <row r="49" spans="2:31" ht="17.5" thickBot="1" x14ac:dyDescent="0.4">
      <c r="B49">
        <f t="shared" si="0"/>
        <v>4.9999999999999989E-2</v>
      </c>
      <c r="C49" s="1">
        <v>47</v>
      </c>
      <c r="D49" s="2">
        <v>0.3</v>
      </c>
      <c r="E49" s="13">
        <v>6.3658539999999997</v>
      </c>
      <c r="F49" s="2">
        <f t="shared" si="1"/>
        <v>0.31829269999999998</v>
      </c>
      <c r="G49" s="2">
        <f t="shared" si="10"/>
        <v>0.31829269999999998</v>
      </c>
      <c r="H49" s="17"/>
      <c r="J49">
        <f t="shared" si="2"/>
        <v>4.9999999999999989E-2</v>
      </c>
      <c r="K49" s="1">
        <v>47</v>
      </c>
      <c r="L49" s="2">
        <v>0.3</v>
      </c>
      <c r="M49" s="13">
        <v>6.3658539999999997</v>
      </c>
      <c r="N49" s="2">
        <f t="shared" si="3"/>
        <v>6.3658539999999997</v>
      </c>
      <c r="O49" s="2">
        <f t="shared" si="4"/>
        <v>0.31829269999999998</v>
      </c>
      <c r="P49" s="2">
        <f t="shared" si="11"/>
        <v>0.31829269999999998</v>
      </c>
      <c r="Q49" s="17"/>
      <c r="S49" s="1">
        <v>47</v>
      </c>
      <c r="T49" s="2">
        <v>0.3</v>
      </c>
      <c r="U49" s="2">
        <f t="shared" si="5"/>
        <v>6.3658542000000002</v>
      </c>
      <c r="V49" s="2">
        <f t="shared" si="6"/>
        <v>0.31829271000000003</v>
      </c>
      <c r="W49" s="2">
        <f t="shared" si="12"/>
        <v>0.31829271000000003</v>
      </c>
      <c r="X49" s="17"/>
      <c r="Z49" s="1">
        <v>47</v>
      </c>
      <c r="AA49" s="2">
        <v>0.3</v>
      </c>
      <c r="AB49" s="2">
        <f t="shared" si="7"/>
        <v>6.3658542000000002</v>
      </c>
      <c r="AC49" s="2">
        <f t="shared" si="8"/>
        <v>6.3658542000000002</v>
      </c>
      <c r="AD49" s="2">
        <f t="shared" si="9"/>
        <v>0.31829271000000003</v>
      </c>
      <c r="AE49" s="2">
        <f t="shared" si="13"/>
        <v>0.31829271000000003</v>
      </c>
    </row>
    <row r="50" spans="2:31" ht="17.5" thickBot="1" x14ac:dyDescent="0.4">
      <c r="B50">
        <f t="shared" si="0"/>
        <v>5.0000000000000044E-2</v>
      </c>
      <c r="C50" s="1">
        <v>48</v>
      </c>
      <c r="D50" s="2">
        <v>0.35</v>
      </c>
      <c r="E50" s="13">
        <v>6.4511320000000003</v>
      </c>
      <c r="F50" s="2">
        <f t="shared" si="1"/>
        <v>0.32255660000000003</v>
      </c>
      <c r="G50" s="2">
        <f t="shared" si="10"/>
        <v>0.32255660000000003</v>
      </c>
      <c r="H50" s="17"/>
      <c r="J50">
        <f t="shared" si="2"/>
        <v>5.0000000000000044E-2</v>
      </c>
      <c r="K50" s="1">
        <v>48</v>
      </c>
      <c r="L50" s="2">
        <v>0.35</v>
      </c>
      <c r="M50" s="13">
        <v>6.4511320000000003</v>
      </c>
      <c r="N50" s="2">
        <f t="shared" si="3"/>
        <v>6.4511320000000003</v>
      </c>
      <c r="O50" s="2">
        <f t="shared" si="4"/>
        <v>0.32255660000000003</v>
      </c>
      <c r="P50" s="2">
        <f t="shared" si="11"/>
        <v>0.32255660000000003</v>
      </c>
      <c r="Q50" s="17"/>
      <c r="S50" s="1">
        <v>48</v>
      </c>
      <c r="T50" s="2">
        <v>0.35</v>
      </c>
      <c r="U50" s="2">
        <f t="shared" si="5"/>
        <v>6.4511323468750001</v>
      </c>
      <c r="V50" s="2">
        <f t="shared" si="6"/>
        <v>0.32255661734375002</v>
      </c>
      <c r="W50" s="2">
        <f t="shared" si="12"/>
        <v>0.32255661734375002</v>
      </c>
      <c r="X50" s="17"/>
      <c r="Z50" s="1">
        <v>48</v>
      </c>
      <c r="AA50" s="2">
        <v>0.35</v>
      </c>
      <c r="AB50" s="2">
        <f t="shared" si="7"/>
        <v>6.4511323468750001</v>
      </c>
      <c r="AC50" s="2">
        <f t="shared" si="8"/>
        <v>6.4511323468750001</v>
      </c>
      <c r="AD50" s="2">
        <f t="shared" si="9"/>
        <v>0.32255661734375002</v>
      </c>
      <c r="AE50" s="2">
        <f t="shared" si="13"/>
        <v>0.32255661734375002</v>
      </c>
    </row>
    <row r="51" spans="2:31" ht="17.5" thickBot="1" x14ac:dyDescent="0.4">
      <c r="B51">
        <f t="shared" si="0"/>
        <v>4.9999999999999989E-2</v>
      </c>
      <c r="C51" s="1">
        <v>49</v>
      </c>
      <c r="D51" s="2">
        <v>0.4</v>
      </c>
      <c r="E51" s="13">
        <v>6.5431809999999997</v>
      </c>
      <c r="F51" s="2">
        <f t="shared" si="1"/>
        <v>0.32715905000000001</v>
      </c>
      <c r="G51" s="2">
        <f t="shared" si="10"/>
        <v>0.32715905000000001</v>
      </c>
      <c r="H51" s="17"/>
      <c r="J51">
        <f t="shared" si="2"/>
        <v>4.9999999999999989E-2</v>
      </c>
      <c r="K51" s="1">
        <v>49</v>
      </c>
      <c r="L51" s="2">
        <v>0.4</v>
      </c>
      <c r="M51" s="13">
        <v>6.5431809999999997</v>
      </c>
      <c r="N51" s="2">
        <f t="shared" si="3"/>
        <v>6.5431809999999997</v>
      </c>
      <c r="O51" s="2">
        <f t="shared" si="4"/>
        <v>0.32715905000000001</v>
      </c>
      <c r="P51" s="2">
        <f t="shared" si="11"/>
        <v>0.32715905000000001</v>
      </c>
      <c r="Q51" s="17"/>
      <c r="S51" s="1">
        <v>49</v>
      </c>
      <c r="T51" s="2">
        <v>0.4</v>
      </c>
      <c r="U51" s="2">
        <f t="shared" si="5"/>
        <v>6.5431808</v>
      </c>
      <c r="V51" s="2">
        <f t="shared" si="6"/>
        <v>0.32715904000000001</v>
      </c>
      <c r="W51" s="2">
        <f t="shared" si="12"/>
        <v>0.32715904000000001</v>
      </c>
      <c r="X51" s="17"/>
      <c r="Z51" s="1">
        <v>49</v>
      </c>
      <c r="AA51" s="2">
        <v>0.4</v>
      </c>
      <c r="AB51" s="2">
        <f t="shared" si="7"/>
        <v>6.5431808</v>
      </c>
      <c r="AC51" s="2">
        <f t="shared" si="8"/>
        <v>6.5431808</v>
      </c>
      <c r="AD51" s="2">
        <f t="shared" si="9"/>
        <v>0.32715904000000001</v>
      </c>
      <c r="AE51" s="2">
        <f t="shared" si="13"/>
        <v>0.32715904000000001</v>
      </c>
    </row>
    <row r="52" spans="2:31" ht="17.5" thickBot="1" x14ac:dyDescent="0.4">
      <c r="B52">
        <f t="shared" si="0"/>
        <v>4.9999999999999989E-2</v>
      </c>
      <c r="C52" s="1">
        <v>50</v>
      </c>
      <c r="D52" s="2">
        <v>0.45</v>
      </c>
      <c r="E52" s="13">
        <v>6.641839</v>
      </c>
      <c r="F52" s="2">
        <f t="shared" si="1"/>
        <v>0.33209195000000002</v>
      </c>
      <c r="G52" s="2">
        <f t="shared" si="10"/>
        <v>0.33209195000000002</v>
      </c>
      <c r="H52" s="17"/>
      <c r="J52">
        <f t="shared" si="2"/>
        <v>4.9999999999999989E-2</v>
      </c>
      <c r="K52" s="1">
        <v>50</v>
      </c>
      <c r="L52" s="2">
        <v>0.45</v>
      </c>
      <c r="M52" s="13">
        <v>6.641839</v>
      </c>
      <c r="N52" s="2">
        <f t="shared" si="3"/>
        <v>6.641839</v>
      </c>
      <c r="O52" s="2">
        <f t="shared" si="4"/>
        <v>0.33209195000000002</v>
      </c>
      <c r="P52" s="2">
        <f t="shared" si="11"/>
        <v>0.33209195000000002</v>
      </c>
      <c r="Q52" s="17"/>
      <c r="S52" s="1">
        <v>50</v>
      </c>
      <c r="T52" s="2">
        <v>0.45</v>
      </c>
      <c r="U52" s="2">
        <f t="shared" si="5"/>
        <v>6.6418392468749996</v>
      </c>
      <c r="V52" s="2">
        <f t="shared" si="6"/>
        <v>0.33209196234374999</v>
      </c>
      <c r="W52" s="2">
        <f t="shared" si="12"/>
        <v>0.33209196234374999</v>
      </c>
      <c r="X52" s="17"/>
      <c r="Z52" s="1">
        <v>50</v>
      </c>
      <c r="AA52" s="2">
        <v>0.45</v>
      </c>
      <c r="AB52" s="2">
        <f t="shared" si="7"/>
        <v>6.6418392468749996</v>
      </c>
      <c r="AC52" s="2">
        <f t="shared" si="8"/>
        <v>6.6418392468749996</v>
      </c>
      <c r="AD52" s="2">
        <f t="shared" si="9"/>
        <v>0.33209196234374999</v>
      </c>
      <c r="AE52" s="2">
        <f t="shared" si="13"/>
        <v>0.33209196234374999</v>
      </c>
    </row>
    <row r="53" spans="2:31" ht="17.5" thickBot="1" x14ac:dyDescent="0.4">
      <c r="B53">
        <f t="shared" si="0"/>
        <v>5.0000000000000044E-2</v>
      </c>
      <c r="C53" s="1">
        <v>51</v>
      </c>
      <c r="D53" s="2">
        <v>0.5</v>
      </c>
      <c r="E53" s="13">
        <v>6.7468750000000002</v>
      </c>
      <c r="F53" s="2">
        <f t="shared" si="1"/>
        <v>0.33734375000000005</v>
      </c>
      <c r="G53" s="2">
        <f t="shared" si="10"/>
        <v>0.33734375000000005</v>
      </c>
      <c r="H53" s="17"/>
      <c r="J53">
        <f t="shared" si="2"/>
        <v>5.0000000000000044E-2</v>
      </c>
      <c r="K53" s="1">
        <v>51</v>
      </c>
      <c r="L53" s="2">
        <v>0.5</v>
      </c>
      <c r="M53" s="13">
        <v>6.7468750000000002</v>
      </c>
      <c r="N53" s="2">
        <f t="shared" si="3"/>
        <v>6.7468750000000002</v>
      </c>
      <c r="O53" s="2">
        <f t="shared" si="4"/>
        <v>0.33734375000000005</v>
      </c>
      <c r="P53" s="2">
        <f t="shared" si="11"/>
        <v>0.33734375000000005</v>
      </c>
      <c r="Q53" s="17"/>
      <c r="S53" s="1">
        <v>51</v>
      </c>
      <c r="T53" s="2">
        <v>0.5</v>
      </c>
      <c r="U53" s="2">
        <f t="shared" si="5"/>
        <v>6.7468750000000002</v>
      </c>
      <c r="V53" s="2">
        <f t="shared" si="6"/>
        <v>0.33734375000000005</v>
      </c>
      <c r="W53" s="2">
        <f t="shared" si="12"/>
        <v>0.33734375000000005</v>
      </c>
      <c r="X53" s="17"/>
      <c r="Z53" s="1">
        <v>51</v>
      </c>
      <c r="AA53" s="2">
        <v>0.5</v>
      </c>
      <c r="AB53" s="2">
        <f t="shared" si="7"/>
        <v>6.7468750000000002</v>
      </c>
      <c r="AC53" s="2">
        <f t="shared" si="8"/>
        <v>6.7468750000000002</v>
      </c>
      <c r="AD53" s="2">
        <f t="shared" si="9"/>
        <v>0.33734375000000005</v>
      </c>
      <c r="AE53" s="2">
        <f t="shared" si="13"/>
        <v>0.33734375000000005</v>
      </c>
    </row>
    <row r="54" spans="2:31" ht="17.5" thickBot="1" x14ac:dyDescent="0.4">
      <c r="B54">
        <f t="shared" si="0"/>
        <v>4.9999999999999933E-2</v>
      </c>
      <c r="C54" s="1">
        <v>52</v>
      </c>
      <c r="D54" s="2">
        <v>0.55000000000000004</v>
      </c>
      <c r="E54" s="13">
        <v>6.8579639999999999</v>
      </c>
      <c r="F54" s="2">
        <f t="shared" si="1"/>
        <v>0.34289820000000004</v>
      </c>
      <c r="G54" s="2">
        <f t="shared" si="10"/>
        <v>0.34289820000000004</v>
      </c>
      <c r="H54" s="17"/>
      <c r="J54">
        <f t="shared" si="2"/>
        <v>4.9999999999999933E-2</v>
      </c>
      <c r="K54" s="1">
        <v>52</v>
      </c>
      <c r="L54" s="2">
        <v>0.55000000000000004</v>
      </c>
      <c r="M54" s="13">
        <v>6.8579639999999999</v>
      </c>
      <c r="N54" s="2">
        <f t="shared" si="3"/>
        <v>6.8579639999999999</v>
      </c>
      <c r="O54" s="2">
        <f t="shared" si="4"/>
        <v>0.34289820000000004</v>
      </c>
      <c r="P54" s="2">
        <f t="shared" si="11"/>
        <v>0.34289820000000004</v>
      </c>
      <c r="Q54" s="17"/>
      <c r="S54" s="1">
        <v>52</v>
      </c>
      <c r="T54" s="2">
        <v>0.55000000000000004</v>
      </c>
      <c r="U54" s="2">
        <f t="shared" si="5"/>
        <v>6.8579638718750005</v>
      </c>
      <c r="V54" s="2">
        <f t="shared" si="6"/>
        <v>0.34289819359375007</v>
      </c>
      <c r="W54" s="2">
        <f t="shared" si="12"/>
        <v>0.34289819359375007</v>
      </c>
      <c r="X54" s="17"/>
      <c r="Z54" s="1">
        <v>52</v>
      </c>
      <c r="AA54" s="2">
        <v>0.55000000000000004</v>
      </c>
      <c r="AB54" s="2">
        <f t="shared" si="7"/>
        <v>6.8579638718750005</v>
      </c>
      <c r="AC54" s="2">
        <f t="shared" si="8"/>
        <v>6.8579638718750005</v>
      </c>
      <c r="AD54" s="2">
        <f t="shared" si="9"/>
        <v>0.34289819359375007</v>
      </c>
      <c r="AE54" s="2">
        <f t="shared" si="13"/>
        <v>0.34289819359375007</v>
      </c>
    </row>
    <row r="55" spans="2:31" ht="17.5" thickBot="1" x14ac:dyDescent="0.4">
      <c r="B55">
        <f t="shared" si="0"/>
        <v>5.0000000000000044E-2</v>
      </c>
      <c r="C55" s="1">
        <v>53</v>
      </c>
      <c r="D55" s="2">
        <v>0.6</v>
      </c>
      <c r="E55" s="13">
        <v>6.9746689999999996</v>
      </c>
      <c r="F55" s="2">
        <f t="shared" si="1"/>
        <v>0.34873345</v>
      </c>
      <c r="G55" s="2">
        <f t="shared" si="10"/>
        <v>0.34873345</v>
      </c>
      <c r="H55" s="17"/>
      <c r="J55">
        <f t="shared" si="2"/>
        <v>5.0000000000000044E-2</v>
      </c>
      <c r="K55" s="1">
        <v>53</v>
      </c>
      <c r="L55" s="2">
        <v>0.6</v>
      </c>
      <c r="M55" s="13">
        <v>6.9746689999999996</v>
      </c>
      <c r="N55" s="2">
        <f t="shared" si="3"/>
        <v>6.9746689999999996</v>
      </c>
      <c r="O55" s="2">
        <f t="shared" si="4"/>
        <v>0.34873345</v>
      </c>
      <c r="P55" s="2">
        <f t="shared" si="11"/>
        <v>0.34873345</v>
      </c>
      <c r="Q55" s="17"/>
      <c r="S55" s="1">
        <v>53</v>
      </c>
      <c r="T55" s="2">
        <v>0.6</v>
      </c>
      <c r="U55" s="2">
        <f t="shared" si="5"/>
        <v>6.9746687999999999</v>
      </c>
      <c r="V55" s="2">
        <f t="shared" si="6"/>
        <v>0.34873344000000001</v>
      </c>
      <c r="W55" s="2">
        <f t="shared" si="12"/>
        <v>0.34873344000000001</v>
      </c>
      <c r="X55" s="17"/>
      <c r="Z55" s="1">
        <v>53</v>
      </c>
      <c r="AA55" s="2">
        <v>0.6</v>
      </c>
      <c r="AB55" s="2">
        <f t="shared" si="7"/>
        <v>6.9746687999999999</v>
      </c>
      <c r="AC55" s="2">
        <f t="shared" si="8"/>
        <v>6.9746687999999999</v>
      </c>
      <c r="AD55" s="2">
        <f t="shared" si="9"/>
        <v>0.34873344000000001</v>
      </c>
      <c r="AE55" s="2">
        <f t="shared" si="13"/>
        <v>0.34873344000000001</v>
      </c>
    </row>
    <row r="56" spans="2:31" ht="17.5" thickBot="1" x14ac:dyDescent="0.4">
      <c r="B56">
        <f t="shared" si="0"/>
        <v>4.9999999999999933E-2</v>
      </c>
      <c r="C56" s="1">
        <v>54</v>
      </c>
      <c r="D56" s="2">
        <v>0.65</v>
      </c>
      <c r="E56" s="13">
        <v>7.0964159999999996</v>
      </c>
      <c r="F56" s="2">
        <f t="shared" si="1"/>
        <v>0.35482079999999999</v>
      </c>
      <c r="G56" s="2">
        <f t="shared" si="10"/>
        <v>0.35482079999999999</v>
      </c>
      <c r="H56" s="17"/>
      <c r="J56">
        <f t="shared" si="2"/>
        <v>4.9999999999999933E-2</v>
      </c>
      <c r="K56" s="1">
        <v>54</v>
      </c>
      <c r="L56" s="2">
        <v>0.65</v>
      </c>
      <c r="M56" s="13">
        <v>7.0964159999999996</v>
      </c>
      <c r="N56" s="2">
        <f t="shared" si="3"/>
        <v>7.0964159999999996</v>
      </c>
      <c r="O56" s="2">
        <f t="shared" si="4"/>
        <v>0.35482079999999999</v>
      </c>
      <c r="P56" s="2">
        <f t="shared" si="11"/>
        <v>0.35482079999999999</v>
      </c>
      <c r="Q56" s="17"/>
      <c r="S56" s="1">
        <v>54</v>
      </c>
      <c r="T56" s="2">
        <v>0.65</v>
      </c>
      <c r="U56" s="2">
        <f t="shared" si="5"/>
        <v>7.0964162218749998</v>
      </c>
      <c r="V56" s="2">
        <f t="shared" si="6"/>
        <v>0.35482081109375002</v>
      </c>
      <c r="W56" s="2">
        <f t="shared" si="12"/>
        <v>0.35482081109375002</v>
      </c>
      <c r="X56" s="17"/>
      <c r="Z56" s="1">
        <v>54</v>
      </c>
      <c r="AA56" s="2">
        <v>0.65</v>
      </c>
      <c r="AB56" s="2">
        <f t="shared" si="7"/>
        <v>7.0964162218749998</v>
      </c>
      <c r="AC56" s="2">
        <f t="shared" si="8"/>
        <v>7.0964162218749998</v>
      </c>
      <c r="AD56" s="2">
        <f t="shared" si="9"/>
        <v>0.35482081109375002</v>
      </c>
      <c r="AE56" s="2">
        <f t="shared" si="13"/>
        <v>0.35482081109375002</v>
      </c>
    </row>
    <row r="57" spans="2:31" ht="17.5" thickBot="1" x14ac:dyDescent="0.4">
      <c r="B57">
        <f t="shared" si="0"/>
        <v>5.0000000000000044E-2</v>
      </c>
      <c r="C57" s="4">
        <v>55</v>
      </c>
      <c r="D57" s="5">
        <v>0.7</v>
      </c>
      <c r="E57" s="12">
        <v>7.2224700000000004</v>
      </c>
      <c r="F57" s="2">
        <f t="shared" si="1"/>
        <v>0.36112350000000004</v>
      </c>
      <c r="G57" s="2">
        <f t="shared" si="10"/>
        <v>0.36112350000000004</v>
      </c>
      <c r="H57" s="17"/>
      <c r="J57">
        <f t="shared" si="2"/>
        <v>5.0000000000000044E-2</v>
      </c>
      <c r="K57" s="4">
        <v>55</v>
      </c>
      <c r="L57" s="5">
        <v>0.7</v>
      </c>
      <c r="M57" s="12">
        <v>7.2224700000000004</v>
      </c>
      <c r="N57" s="2">
        <f t="shared" si="3"/>
        <v>7.2224700000000004</v>
      </c>
      <c r="O57" s="2">
        <f t="shared" si="4"/>
        <v>0.36112350000000004</v>
      </c>
      <c r="P57" s="2">
        <f t="shared" si="11"/>
        <v>0.36112350000000004</v>
      </c>
      <c r="Q57" s="17"/>
      <c r="S57" s="4">
        <v>55</v>
      </c>
      <c r="T57" s="5">
        <v>0.7</v>
      </c>
      <c r="U57" s="2">
        <f t="shared" si="5"/>
        <v>7.2224702000000001</v>
      </c>
      <c r="V57" s="2">
        <f t="shared" si="6"/>
        <v>0.36112351000000004</v>
      </c>
      <c r="W57" s="2">
        <f t="shared" si="12"/>
        <v>0.36112351000000004</v>
      </c>
      <c r="X57" s="17"/>
      <c r="Z57" s="4">
        <v>55</v>
      </c>
      <c r="AA57" s="5">
        <v>0.7</v>
      </c>
      <c r="AB57" s="2">
        <f t="shared" si="7"/>
        <v>7.2224702000000001</v>
      </c>
      <c r="AC57" s="2">
        <f t="shared" si="8"/>
        <v>7.2224702000000001</v>
      </c>
      <c r="AD57" s="2">
        <f t="shared" si="9"/>
        <v>0.36112351000000004</v>
      </c>
      <c r="AE57" s="2">
        <f t="shared" si="13"/>
        <v>0.36112351000000004</v>
      </c>
    </row>
    <row r="58" spans="2:31" ht="17.5" thickBot="1" x14ac:dyDescent="0.4">
      <c r="B58">
        <f t="shared" si="0"/>
        <v>5.0000000000000044E-2</v>
      </c>
      <c r="C58" s="1">
        <v>56</v>
      </c>
      <c r="D58" s="2">
        <v>0.75</v>
      </c>
      <c r="E58" s="13">
        <v>7.3519040000000002</v>
      </c>
      <c r="F58" s="2">
        <f t="shared" si="1"/>
        <v>0.36759520000000001</v>
      </c>
      <c r="G58" s="2">
        <f t="shared" si="10"/>
        <v>0.36759520000000001</v>
      </c>
      <c r="H58" s="17"/>
      <c r="J58">
        <f t="shared" si="2"/>
        <v>5.0000000000000044E-2</v>
      </c>
      <c r="K58" s="1">
        <v>56</v>
      </c>
      <c r="L58" s="2">
        <v>0.75</v>
      </c>
      <c r="M58" s="13">
        <v>7.3519040000000002</v>
      </c>
      <c r="N58" s="2">
        <f t="shared" si="3"/>
        <v>7.3519040000000002</v>
      </c>
      <c r="O58" s="2">
        <f t="shared" si="4"/>
        <v>0.36759520000000001</v>
      </c>
      <c r="P58" s="2">
        <f t="shared" si="11"/>
        <v>0.36759520000000001</v>
      </c>
      <c r="Q58" s="17"/>
      <c r="S58" s="1">
        <v>56</v>
      </c>
      <c r="T58" s="2">
        <v>0.75</v>
      </c>
      <c r="U58" s="2">
        <f t="shared" si="5"/>
        <v>7.3519042968750004</v>
      </c>
      <c r="V58" s="2">
        <f t="shared" si="6"/>
        <v>0.36759521484375002</v>
      </c>
      <c r="W58" s="2">
        <f t="shared" si="12"/>
        <v>0.36759521484375002</v>
      </c>
      <c r="X58" s="17"/>
      <c r="Z58" s="1">
        <v>56</v>
      </c>
      <c r="AA58" s="2">
        <v>0.75</v>
      </c>
      <c r="AB58" s="2">
        <f t="shared" si="7"/>
        <v>7.3519042968750004</v>
      </c>
      <c r="AC58" s="2">
        <f t="shared" si="8"/>
        <v>7.3519042968750004</v>
      </c>
      <c r="AD58" s="2">
        <f t="shared" si="9"/>
        <v>0.36759521484375002</v>
      </c>
      <c r="AE58" s="2">
        <f t="shared" si="13"/>
        <v>0.36759521484375002</v>
      </c>
    </row>
    <row r="59" spans="2:31" ht="17.5" thickBot="1" x14ac:dyDescent="0.4">
      <c r="B59">
        <f t="shared" si="0"/>
        <v>4.9999999999999933E-2</v>
      </c>
      <c r="C59" s="1">
        <v>57</v>
      </c>
      <c r="D59" s="2">
        <v>0.8</v>
      </c>
      <c r="E59" s="13">
        <v>7.4835710000000004</v>
      </c>
      <c r="F59" s="2">
        <f t="shared" si="1"/>
        <v>0.37417855000000005</v>
      </c>
      <c r="G59" s="2">
        <f t="shared" si="10"/>
        <v>0.37417855000000005</v>
      </c>
      <c r="H59" s="17"/>
      <c r="J59">
        <f t="shared" si="2"/>
        <v>4.9999999999999933E-2</v>
      </c>
      <c r="K59" s="1">
        <v>57</v>
      </c>
      <c r="L59" s="2">
        <v>0.8</v>
      </c>
      <c r="M59" s="13">
        <v>7.4835710000000004</v>
      </c>
      <c r="N59" s="2">
        <f t="shared" si="3"/>
        <v>7.4835710000000004</v>
      </c>
      <c r="O59" s="2">
        <f t="shared" si="4"/>
        <v>0.37417855000000005</v>
      </c>
      <c r="P59" s="2">
        <f t="shared" si="11"/>
        <v>0.37417855000000005</v>
      </c>
      <c r="Q59" s="17"/>
      <c r="S59" s="1">
        <v>57</v>
      </c>
      <c r="T59" s="2">
        <v>0.8</v>
      </c>
      <c r="U59" s="2">
        <f t="shared" si="5"/>
        <v>7.4835712000000001</v>
      </c>
      <c r="V59" s="2">
        <f t="shared" si="6"/>
        <v>0.37417856000000005</v>
      </c>
      <c r="W59" s="2">
        <f t="shared" si="12"/>
        <v>0.37417856000000005</v>
      </c>
      <c r="X59" s="17"/>
      <c r="Z59" s="1">
        <v>57</v>
      </c>
      <c r="AA59" s="2">
        <v>0.8</v>
      </c>
      <c r="AB59" s="2">
        <f t="shared" si="7"/>
        <v>7.4835712000000001</v>
      </c>
      <c r="AC59" s="2">
        <f t="shared" si="8"/>
        <v>7.4835712000000001</v>
      </c>
      <c r="AD59" s="2">
        <f t="shared" si="9"/>
        <v>0.37417856000000005</v>
      </c>
      <c r="AE59" s="2">
        <f t="shared" si="13"/>
        <v>0.37417856000000005</v>
      </c>
    </row>
    <row r="60" spans="2:31" ht="17.5" thickBot="1" x14ac:dyDescent="0.4">
      <c r="B60">
        <f t="shared" si="0"/>
        <v>5.0000000000000044E-2</v>
      </c>
      <c r="C60" s="1">
        <v>58</v>
      </c>
      <c r="D60" s="2">
        <v>0.85</v>
      </c>
      <c r="E60" s="13">
        <v>7.6160699999999997</v>
      </c>
      <c r="F60" s="2">
        <f t="shared" si="1"/>
        <v>0.38080350000000002</v>
      </c>
      <c r="G60" s="2">
        <f t="shared" si="10"/>
        <v>0.38080350000000002</v>
      </c>
      <c r="H60" s="17"/>
      <c r="J60">
        <f t="shared" si="2"/>
        <v>5.0000000000000044E-2</v>
      </c>
      <c r="K60" s="1">
        <v>58</v>
      </c>
      <c r="L60" s="2">
        <v>0.85</v>
      </c>
      <c r="M60" s="13">
        <v>7.6160699999999997</v>
      </c>
      <c r="N60" s="2">
        <f t="shared" si="3"/>
        <v>7.6160699999999997</v>
      </c>
      <c r="O60" s="2">
        <f t="shared" si="4"/>
        <v>0.38080350000000002</v>
      </c>
      <c r="P60" s="2">
        <f t="shared" si="11"/>
        <v>0.38080350000000002</v>
      </c>
      <c r="Q60" s="17"/>
      <c r="S60" s="1">
        <v>58</v>
      </c>
      <c r="T60" s="2">
        <v>0.85</v>
      </c>
      <c r="U60" s="2">
        <f t="shared" si="5"/>
        <v>7.6160700968750001</v>
      </c>
      <c r="V60" s="2">
        <f t="shared" si="6"/>
        <v>0.38080350484375003</v>
      </c>
      <c r="W60" s="2">
        <f t="shared" si="12"/>
        <v>0.38080350484375003</v>
      </c>
      <c r="X60" s="17"/>
      <c r="Z60" s="1">
        <v>58</v>
      </c>
      <c r="AA60" s="2">
        <v>0.85</v>
      </c>
      <c r="AB60" s="2">
        <f t="shared" si="7"/>
        <v>7.6160700968750001</v>
      </c>
      <c r="AC60" s="2">
        <f t="shared" si="8"/>
        <v>7.6160700968750001</v>
      </c>
      <c r="AD60" s="2">
        <f t="shared" si="9"/>
        <v>0.38080350484375003</v>
      </c>
      <c r="AE60" s="2">
        <f t="shared" si="13"/>
        <v>0.38080350484375003</v>
      </c>
    </row>
    <row r="61" spans="2:31" ht="17.5" thickBot="1" x14ac:dyDescent="0.4">
      <c r="B61">
        <f t="shared" si="0"/>
        <v>4.9999999999999933E-2</v>
      </c>
      <c r="C61" s="1">
        <v>59</v>
      </c>
      <c r="D61" s="2">
        <v>0.9</v>
      </c>
      <c r="E61" s="13">
        <v>7.7477119999999999</v>
      </c>
      <c r="F61" s="2">
        <f t="shared" si="1"/>
        <v>0.3873856</v>
      </c>
      <c r="G61" s="2">
        <f t="shared" si="10"/>
        <v>0.3873856</v>
      </c>
      <c r="H61" s="17"/>
      <c r="J61">
        <f t="shared" si="2"/>
        <v>4.9999999999999933E-2</v>
      </c>
      <c r="K61" s="1">
        <v>59</v>
      </c>
      <c r="L61" s="2">
        <v>0.9</v>
      </c>
      <c r="M61" s="13">
        <v>7.7477119999999999</v>
      </c>
      <c r="N61" s="2">
        <f t="shared" si="3"/>
        <v>7.7477119999999999</v>
      </c>
      <c r="O61" s="2">
        <f t="shared" si="4"/>
        <v>0.3873856</v>
      </c>
      <c r="P61" s="2">
        <f t="shared" si="11"/>
        <v>0.3873856</v>
      </c>
      <c r="Q61" s="17"/>
      <c r="S61" s="1">
        <v>59</v>
      </c>
      <c r="T61" s="2">
        <v>0.9</v>
      </c>
      <c r="U61" s="2">
        <f t="shared" si="5"/>
        <v>7.7477117999999994</v>
      </c>
      <c r="V61" s="2">
        <f t="shared" si="6"/>
        <v>0.38738559</v>
      </c>
      <c r="W61" s="2">
        <f t="shared" si="12"/>
        <v>0.38738559</v>
      </c>
      <c r="X61" s="17"/>
      <c r="Z61" s="1">
        <v>59</v>
      </c>
      <c r="AA61" s="2">
        <v>0.9</v>
      </c>
      <c r="AB61" s="2">
        <f t="shared" si="7"/>
        <v>7.7477117999999994</v>
      </c>
      <c r="AC61" s="2">
        <f t="shared" si="8"/>
        <v>7.7477117999999994</v>
      </c>
      <c r="AD61" s="2">
        <f t="shared" si="9"/>
        <v>0.38738559</v>
      </c>
      <c r="AE61" s="2">
        <f t="shared" si="13"/>
        <v>0.38738559</v>
      </c>
    </row>
    <row r="62" spans="2:31" ht="17.5" thickBot="1" x14ac:dyDescent="0.4">
      <c r="B62">
        <f t="shared" si="0"/>
        <v>5.0000000000000044E-2</v>
      </c>
      <c r="C62" s="1">
        <v>60</v>
      </c>
      <c r="D62" s="2">
        <v>0.95</v>
      </c>
      <c r="E62" s="13">
        <v>7.8764820000000002</v>
      </c>
      <c r="F62" s="2">
        <f t="shared" si="1"/>
        <v>0.39382410000000001</v>
      </c>
      <c r="G62" s="2">
        <f t="shared" si="10"/>
        <v>0.39382410000000001</v>
      </c>
      <c r="H62" s="17"/>
      <c r="J62">
        <f t="shared" si="2"/>
        <v>5.0000000000000044E-2</v>
      </c>
      <c r="K62" s="1">
        <v>60</v>
      </c>
      <c r="L62" s="2">
        <v>0.95</v>
      </c>
      <c r="M62" s="13">
        <v>7.8764820000000002</v>
      </c>
      <c r="N62" s="2">
        <f t="shared" si="3"/>
        <v>7.8764820000000002</v>
      </c>
      <c r="O62" s="2">
        <f t="shared" si="4"/>
        <v>0.39382410000000001</v>
      </c>
      <c r="P62" s="2">
        <f t="shared" si="11"/>
        <v>0.39382410000000001</v>
      </c>
      <c r="Q62" s="17"/>
      <c r="S62" s="1">
        <v>60</v>
      </c>
      <c r="T62" s="2">
        <v>0.95</v>
      </c>
      <c r="U62" s="2">
        <f t="shared" si="5"/>
        <v>7.8764816218749996</v>
      </c>
      <c r="V62" s="2">
        <f t="shared" si="6"/>
        <v>0.39382408109375</v>
      </c>
      <c r="W62" s="2">
        <f t="shared" si="12"/>
        <v>0.39382408109375</v>
      </c>
      <c r="X62" s="17"/>
      <c r="Z62" s="1">
        <v>60</v>
      </c>
      <c r="AA62" s="2">
        <v>0.95</v>
      </c>
      <c r="AB62" s="2">
        <f t="shared" si="7"/>
        <v>7.8764816218749996</v>
      </c>
      <c r="AC62" s="2">
        <f t="shared" si="8"/>
        <v>7.8764816218749996</v>
      </c>
      <c r="AD62" s="2">
        <f t="shared" si="9"/>
        <v>0.39382408109375</v>
      </c>
      <c r="AE62" s="2">
        <f t="shared" si="13"/>
        <v>0.39382408109375</v>
      </c>
    </row>
    <row r="63" spans="2:31" ht="17.5" thickBot="1" x14ac:dyDescent="0.4">
      <c r="B63">
        <f t="shared" si="0"/>
        <v>5.0000000000000044E-2</v>
      </c>
      <c r="C63" s="1">
        <v>61</v>
      </c>
      <c r="D63" s="2">
        <v>1</v>
      </c>
      <c r="E63" s="13">
        <v>8</v>
      </c>
      <c r="F63" s="2">
        <f t="shared" si="1"/>
        <v>0.4</v>
      </c>
      <c r="G63" s="2">
        <f t="shared" si="10"/>
        <v>0.4</v>
      </c>
      <c r="H63" s="17"/>
      <c r="J63">
        <f t="shared" si="2"/>
        <v>5.0000000000000044E-2</v>
      </c>
      <c r="K63" s="1">
        <v>61</v>
      </c>
      <c r="L63" s="2">
        <v>1</v>
      </c>
      <c r="M63" s="13">
        <v>8</v>
      </c>
      <c r="N63" s="2">
        <f t="shared" si="3"/>
        <v>8</v>
      </c>
      <c r="O63" s="2">
        <f t="shared" si="4"/>
        <v>0.4</v>
      </c>
      <c r="P63" s="2">
        <f t="shared" si="11"/>
        <v>0.4</v>
      </c>
      <c r="Q63" s="17"/>
      <c r="S63" s="1">
        <v>61</v>
      </c>
      <c r="T63" s="2">
        <v>1</v>
      </c>
      <c r="U63" s="2">
        <f t="shared" si="5"/>
        <v>8</v>
      </c>
      <c r="V63" s="2">
        <f t="shared" si="6"/>
        <v>0.4</v>
      </c>
      <c r="W63" s="2">
        <f t="shared" si="12"/>
        <v>0.4</v>
      </c>
      <c r="X63" s="17"/>
      <c r="Z63" s="1">
        <v>61</v>
      </c>
      <c r="AA63" s="2">
        <v>1</v>
      </c>
      <c r="AB63" s="2">
        <f t="shared" si="7"/>
        <v>8</v>
      </c>
      <c r="AC63" s="2">
        <f t="shared" si="8"/>
        <v>8</v>
      </c>
      <c r="AD63" s="2">
        <f t="shared" si="9"/>
        <v>0.4</v>
      </c>
      <c r="AE63" s="2">
        <f t="shared" si="13"/>
        <v>0.4</v>
      </c>
    </row>
    <row r="64" spans="2:31" ht="17.5" thickBot="1" x14ac:dyDescent="0.4">
      <c r="B64">
        <f t="shared" si="0"/>
        <v>5.0000000000000044E-2</v>
      </c>
      <c r="C64" s="1">
        <v>62</v>
      </c>
      <c r="D64" s="2">
        <v>1.05</v>
      </c>
      <c r="E64" s="13">
        <v>8.1154810000000008</v>
      </c>
      <c r="F64" s="2">
        <f t="shared" si="1"/>
        <v>0.40577405000000005</v>
      </c>
      <c r="G64" s="2">
        <f t="shared" si="10"/>
        <v>0.40577405000000005</v>
      </c>
      <c r="H64" s="17"/>
      <c r="J64">
        <f t="shared" si="2"/>
        <v>5.0000000000000044E-2</v>
      </c>
      <c r="K64" s="1">
        <v>62</v>
      </c>
      <c r="L64" s="2">
        <v>1.05</v>
      </c>
      <c r="M64" s="13">
        <v>8.1154810000000008</v>
      </c>
      <c r="N64" s="2">
        <f t="shared" si="3"/>
        <v>8.1154810000000008</v>
      </c>
      <c r="O64" s="2">
        <f t="shared" si="4"/>
        <v>0.40577405000000005</v>
      </c>
      <c r="P64" s="2">
        <f t="shared" si="11"/>
        <v>0.40577405000000005</v>
      </c>
      <c r="Q64" s="17"/>
      <c r="S64" s="1">
        <v>62</v>
      </c>
      <c r="T64" s="2">
        <v>1.05</v>
      </c>
      <c r="U64" s="2">
        <f t="shared" si="5"/>
        <v>8.1154808718750004</v>
      </c>
      <c r="V64" s="2">
        <f t="shared" si="6"/>
        <v>0.40577404359375002</v>
      </c>
      <c r="W64" s="2">
        <f t="shared" si="12"/>
        <v>0.40577404359375002</v>
      </c>
      <c r="X64" s="17"/>
      <c r="Z64" s="1">
        <v>62</v>
      </c>
      <c r="AA64" s="2">
        <v>1.05</v>
      </c>
      <c r="AB64" s="2">
        <f t="shared" si="7"/>
        <v>8.1154808718750004</v>
      </c>
      <c r="AC64" s="2">
        <f t="shared" si="8"/>
        <v>8.1154808718750004</v>
      </c>
      <c r="AD64" s="2">
        <f t="shared" si="9"/>
        <v>0.40577404359375002</v>
      </c>
      <c r="AE64" s="2">
        <f t="shared" si="13"/>
        <v>0.40577404359375002</v>
      </c>
    </row>
    <row r="65" spans="2:31" ht="17.5" thickBot="1" x14ac:dyDescent="0.4">
      <c r="B65">
        <f t="shared" si="0"/>
        <v>4.9999999999999822E-2</v>
      </c>
      <c r="C65" s="1">
        <v>63</v>
      </c>
      <c r="D65" s="2">
        <v>1.1000000000000001</v>
      </c>
      <c r="E65" s="13">
        <v>8.2196879999999997</v>
      </c>
      <c r="F65" s="2">
        <f t="shared" si="1"/>
        <v>0.41098440000000003</v>
      </c>
      <c r="G65" s="2">
        <f t="shared" si="10"/>
        <v>0.41098440000000003</v>
      </c>
      <c r="H65" s="17"/>
      <c r="J65">
        <f t="shared" si="2"/>
        <v>4.9999999999999822E-2</v>
      </c>
      <c r="K65" s="1">
        <v>63</v>
      </c>
      <c r="L65" s="2">
        <v>1.1000000000000001</v>
      </c>
      <c r="M65" s="13">
        <v>8.2196879999999997</v>
      </c>
      <c r="N65" s="2">
        <f t="shared" si="3"/>
        <v>8.2196879999999997</v>
      </c>
      <c r="O65" s="2">
        <f t="shared" si="4"/>
        <v>0.41098440000000003</v>
      </c>
      <c r="P65" s="2">
        <f t="shared" si="11"/>
        <v>0.41098440000000003</v>
      </c>
      <c r="Q65" s="17"/>
      <c r="S65" s="1">
        <v>63</v>
      </c>
      <c r="T65" s="2">
        <v>1.1000000000000001</v>
      </c>
      <c r="U65" s="2">
        <f t="shared" si="5"/>
        <v>8.2196877999999991</v>
      </c>
      <c r="V65" s="2">
        <f t="shared" si="6"/>
        <v>0.41098438999999998</v>
      </c>
      <c r="W65" s="2">
        <f t="shared" si="12"/>
        <v>0.41098438999999998</v>
      </c>
      <c r="X65" s="17"/>
      <c r="Z65" s="1">
        <v>63</v>
      </c>
      <c r="AA65" s="2">
        <v>1.1000000000000001</v>
      </c>
      <c r="AB65" s="2">
        <f t="shared" si="7"/>
        <v>8.2196877999999991</v>
      </c>
      <c r="AC65" s="2">
        <f t="shared" si="8"/>
        <v>8.2196877999999991</v>
      </c>
      <c r="AD65" s="2">
        <f t="shared" si="9"/>
        <v>0.41098438999999998</v>
      </c>
      <c r="AE65" s="2">
        <f t="shared" si="13"/>
        <v>0.41098438999999998</v>
      </c>
    </row>
    <row r="66" spans="2:31" ht="17.5" thickBot="1" x14ac:dyDescent="0.4">
      <c r="B66">
        <f t="shared" si="0"/>
        <v>5.0000000000000044E-2</v>
      </c>
      <c r="C66" s="1">
        <v>64</v>
      </c>
      <c r="D66" s="2">
        <v>1.1499999999999999</v>
      </c>
      <c r="E66" s="13">
        <v>8.3088879999999996</v>
      </c>
      <c r="F66" s="2">
        <f t="shared" si="1"/>
        <v>0.41544439999999999</v>
      </c>
      <c r="G66" s="2">
        <f t="shared" si="10"/>
        <v>0.41544439999999999</v>
      </c>
      <c r="H66" s="17"/>
      <c r="J66">
        <f t="shared" si="2"/>
        <v>5.0000000000000044E-2</v>
      </c>
      <c r="K66" s="1">
        <v>64</v>
      </c>
      <c r="L66" s="2">
        <v>1.1499999999999999</v>
      </c>
      <c r="M66" s="13">
        <v>8.3088879999999996</v>
      </c>
      <c r="N66" s="2">
        <f t="shared" si="3"/>
        <v>8.3088879999999996</v>
      </c>
      <c r="O66" s="2">
        <f t="shared" si="4"/>
        <v>0.41544439999999999</v>
      </c>
      <c r="P66" s="2">
        <f t="shared" si="11"/>
        <v>0.41544439999999999</v>
      </c>
      <c r="Q66" s="17"/>
      <c r="S66" s="1">
        <v>64</v>
      </c>
      <c r="T66" s="2">
        <v>1.1499999999999999</v>
      </c>
      <c r="U66" s="2">
        <f t="shared" si="5"/>
        <v>8.3088878468749989</v>
      </c>
      <c r="V66" s="2">
        <f t="shared" si="6"/>
        <v>0.41544439234374997</v>
      </c>
      <c r="W66" s="2">
        <f t="shared" si="12"/>
        <v>0.41544439234374997</v>
      </c>
      <c r="X66" s="17"/>
      <c r="Z66" s="1">
        <v>64</v>
      </c>
      <c r="AA66" s="2">
        <v>1.1499999999999999</v>
      </c>
      <c r="AB66" s="2">
        <f t="shared" si="7"/>
        <v>8.3088878468749989</v>
      </c>
      <c r="AC66" s="2">
        <f t="shared" si="8"/>
        <v>8.3088878468749989</v>
      </c>
      <c r="AD66" s="2">
        <f t="shared" si="9"/>
        <v>0.41544439234374997</v>
      </c>
      <c r="AE66" s="2">
        <f t="shared" si="13"/>
        <v>0.41544439234374997</v>
      </c>
    </row>
    <row r="67" spans="2:31" ht="17.5" thickBot="1" x14ac:dyDescent="0.4">
      <c r="B67">
        <f t="shared" si="0"/>
        <v>5.0000000000000044E-2</v>
      </c>
      <c r="C67" s="1">
        <v>65</v>
      </c>
      <c r="D67" s="2">
        <v>1.2</v>
      </c>
      <c r="E67" s="13">
        <v>8.3788029999999996</v>
      </c>
      <c r="F67" s="2">
        <f t="shared" si="1"/>
        <v>0.41894015000000001</v>
      </c>
      <c r="G67" s="2">
        <f t="shared" si="10"/>
        <v>0.41894015000000001</v>
      </c>
      <c r="H67" s="17"/>
      <c r="J67">
        <f t="shared" si="2"/>
        <v>5.0000000000000044E-2</v>
      </c>
      <c r="K67" s="1">
        <v>65</v>
      </c>
      <c r="L67" s="2">
        <v>1.2</v>
      </c>
      <c r="M67" s="13">
        <v>8.3788029999999996</v>
      </c>
      <c r="N67" s="2">
        <f t="shared" si="3"/>
        <v>8.3788029999999996</v>
      </c>
      <c r="O67" s="2">
        <f t="shared" si="4"/>
        <v>0.41894015000000001</v>
      </c>
      <c r="P67" s="2">
        <f t="shared" si="11"/>
        <v>0.41894015000000001</v>
      </c>
      <c r="Q67" s="17"/>
      <c r="S67" s="1">
        <v>65</v>
      </c>
      <c r="T67" s="2">
        <v>1.2</v>
      </c>
      <c r="U67" s="2">
        <f t="shared" si="5"/>
        <v>8.3788032000000001</v>
      </c>
      <c r="V67" s="2">
        <f t="shared" si="6"/>
        <v>0.41894016000000001</v>
      </c>
      <c r="W67" s="2">
        <f t="shared" si="12"/>
        <v>0.41894016000000001</v>
      </c>
      <c r="X67" s="17"/>
      <c r="Z67" s="1">
        <v>65</v>
      </c>
      <c r="AA67" s="2">
        <v>1.2</v>
      </c>
      <c r="AB67" s="2">
        <f t="shared" si="7"/>
        <v>8.3788032000000001</v>
      </c>
      <c r="AC67" s="2">
        <f t="shared" si="8"/>
        <v>8.3788032000000001</v>
      </c>
      <c r="AD67" s="2">
        <f t="shared" si="9"/>
        <v>0.41894016000000001</v>
      </c>
      <c r="AE67" s="2">
        <f t="shared" si="13"/>
        <v>0.41894016000000001</v>
      </c>
    </row>
    <row r="68" spans="2:31" ht="17.5" thickBot="1" x14ac:dyDescent="0.4">
      <c r="B68">
        <f t="shared" ref="B68:B87" si="14">D69-D68</f>
        <v>5.0000000000000044E-2</v>
      </c>
      <c r="C68" s="1">
        <v>66</v>
      </c>
      <c r="D68" s="2">
        <v>1.25</v>
      </c>
      <c r="E68" s="13">
        <v>8.4245610000000006</v>
      </c>
      <c r="F68" s="2">
        <f t="shared" ref="F68:F87" si="15">E68*$A$9</f>
        <v>0.42122805000000008</v>
      </c>
      <c r="G68" s="2">
        <f t="shared" si="10"/>
        <v>0.42122805000000008</v>
      </c>
      <c r="H68" s="17"/>
      <c r="J68">
        <f t="shared" ref="J68:J87" si="16">L69-L68</f>
        <v>5.0000000000000044E-2</v>
      </c>
      <c r="K68" s="1">
        <v>66</v>
      </c>
      <c r="L68" s="2">
        <v>1.25</v>
      </c>
      <c r="M68" s="13">
        <v>8.4245610000000006</v>
      </c>
      <c r="N68" s="2">
        <f t="shared" ref="N68:N88" si="17">ABS(M68)</f>
        <v>8.4245610000000006</v>
      </c>
      <c r="O68" s="2">
        <f t="shared" ref="O68:O87" si="18">N68*$A$9</f>
        <v>0.42122805000000008</v>
      </c>
      <c r="P68" s="2">
        <f t="shared" si="11"/>
        <v>0.42122805000000008</v>
      </c>
      <c r="Q68" s="17"/>
      <c r="S68" s="1">
        <v>66</v>
      </c>
      <c r="T68" s="2">
        <v>1.25</v>
      </c>
      <c r="U68" s="2">
        <f t="shared" ref="U68:U88" si="19">-0.2*T68^6+1.4*T68^2+0.8*T68+6</f>
        <v>8.424560546875</v>
      </c>
      <c r="V68" s="2">
        <f t="shared" ref="V68:V87" si="20">U68*$A$9</f>
        <v>0.42122802734375003</v>
      </c>
      <c r="W68" s="2">
        <f t="shared" si="12"/>
        <v>0.42122802734375003</v>
      </c>
      <c r="X68" s="17"/>
      <c r="Z68" s="1">
        <v>66</v>
      </c>
      <c r="AA68" s="2">
        <v>1.25</v>
      </c>
      <c r="AB68" s="2">
        <f t="shared" ref="AB68:AB88" si="21">-0.2*AA68^6+1.4*AA68^2+0.8*AA68+6</f>
        <v>8.424560546875</v>
      </c>
      <c r="AC68" s="2">
        <f t="shared" ref="AC68:AC88" si="22">ABS(AB68)</f>
        <v>8.424560546875</v>
      </c>
      <c r="AD68" s="2">
        <f t="shared" ref="AD68:AD87" si="23">AC68*$A$9</f>
        <v>0.42122802734375003</v>
      </c>
      <c r="AE68" s="2">
        <f t="shared" si="13"/>
        <v>0.42122802734375003</v>
      </c>
    </row>
    <row r="69" spans="2:31" ht="17.5" thickBot="1" x14ac:dyDescent="0.4">
      <c r="B69">
        <f t="shared" si="14"/>
        <v>5.0000000000000044E-2</v>
      </c>
      <c r="C69" s="1">
        <v>67</v>
      </c>
      <c r="D69" s="2">
        <v>1.3</v>
      </c>
      <c r="E69" s="13">
        <v>8.4406379999999999</v>
      </c>
      <c r="F69" s="2">
        <f t="shared" si="15"/>
        <v>0.42203190000000002</v>
      </c>
      <c r="G69" s="2">
        <f t="shared" ref="G69:G88" si="24">E69*$A$9</f>
        <v>0.42203190000000002</v>
      </c>
      <c r="H69" s="17"/>
      <c r="J69">
        <f t="shared" si="16"/>
        <v>5.0000000000000044E-2</v>
      </c>
      <c r="K69" s="1">
        <v>67</v>
      </c>
      <c r="L69" s="2">
        <v>1.3</v>
      </c>
      <c r="M69" s="13">
        <v>8.4406379999999999</v>
      </c>
      <c r="N69" s="2">
        <f t="shared" si="17"/>
        <v>8.4406379999999999</v>
      </c>
      <c r="O69" s="2">
        <f t="shared" si="18"/>
        <v>0.42203190000000002</v>
      </c>
      <c r="P69" s="2">
        <f t="shared" ref="P69:P88" si="25">N69*$A$9</f>
        <v>0.42203190000000002</v>
      </c>
      <c r="Q69" s="17"/>
      <c r="S69" s="1">
        <v>67</v>
      </c>
      <c r="T69" s="2">
        <v>1.3</v>
      </c>
      <c r="U69" s="2">
        <f t="shared" si="19"/>
        <v>8.4406381999999986</v>
      </c>
      <c r="V69" s="2">
        <f t="shared" si="20"/>
        <v>0.42203190999999995</v>
      </c>
      <c r="W69" s="2">
        <f t="shared" ref="W69:W88" si="26">U69*$A$9</f>
        <v>0.42203190999999995</v>
      </c>
      <c r="X69" s="17"/>
      <c r="Z69" s="1">
        <v>67</v>
      </c>
      <c r="AA69" s="2">
        <v>1.3</v>
      </c>
      <c r="AB69" s="2">
        <f t="shared" si="21"/>
        <v>8.4406381999999986</v>
      </c>
      <c r="AC69" s="2">
        <f t="shared" si="22"/>
        <v>8.4406381999999986</v>
      </c>
      <c r="AD69" s="2">
        <f t="shared" si="23"/>
        <v>0.42203190999999995</v>
      </c>
      <c r="AE69" s="2">
        <f t="shared" ref="AE69:AE88" si="27">AC69*$A$9</f>
        <v>0.42203190999999995</v>
      </c>
    </row>
    <row r="70" spans="2:31" ht="17.5" thickBot="1" x14ac:dyDescent="0.4">
      <c r="B70">
        <f t="shared" si="14"/>
        <v>4.9999999999999822E-2</v>
      </c>
      <c r="C70" s="1">
        <v>68</v>
      </c>
      <c r="D70" s="2">
        <v>1.35</v>
      </c>
      <c r="E70" s="13">
        <v>8.4208110000000005</v>
      </c>
      <c r="F70" s="2">
        <f t="shared" si="15"/>
        <v>0.42104055000000007</v>
      </c>
      <c r="G70" s="2">
        <f t="shared" si="24"/>
        <v>0.42104055000000007</v>
      </c>
      <c r="H70" s="17"/>
      <c r="J70">
        <f t="shared" si="16"/>
        <v>4.9999999999999822E-2</v>
      </c>
      <c r="K70" s="1">
        <v>68</v>
      </c>
      <c r="L70" s="2">
        <v>1.35</v>
      </c>
      <c r="M70" s="13">
        <v>8.4208110000000005</v>
      </c>
      <c r="N70" s="2">
        <f t="shared" si="17"/>
        <v>8.4208110000000005</v>
      </c>
      <c r="O70" s="2">
        <f t="shared" si="18"/>
        <v>0.42104055000000007</v>
      </c>
      <c r="P70" s="2">
        <f t="shared" si="25"/>
        <v>0.42104055000000007</v>
      </c>
      <c r="Q70" s="17"/>
      <c r="S70" s="1">
        <v>68</v>
      </c>
      <c r="T70" s="2">
        <v>1.35</v>
      </c>
      <c r="U70" s="2">
        <f t="shared" si="19"/>
        <v>8.4208109718749995</v>
      </c>
      <c r="V70" s="2">
        <f t="shared" si="20"/>
        <v>0.42104054859375001</v>
      </c>
      <c r="W70" s="2">
        <f t="shared" si="26"/>
        <v>0.42104054859375001</v>
      </c>
      <c r="X70" s="17"/>
      <c r="Z70" s="1">
        <v>68</v>
      </c>
      <c r="AA70" s="2">
        <v>1.35</v>
      </c>
      <c r="AB70" s="2">
        <f t="shared" si="21"/>
        <v>8.4208109718749995</v>
      </c>
      <c r="AC70" s="2">
        <f t="shared" si="22"/>
        <v>8.4208109718749995</v>
      </c>
      <c r="AD70" s="2">
        <f t="shared" si="23"/>
        <v>0.42104054859375001</v>
      </c>
      <c r="AE70" s="2">
        <f t="shared" si="27"/>
        <v>0.42104054859375001</v>
      </c>
    </row>
    <row r="71" spans="2:31" ht="17.5" thickBot="1" x14ac:dyDescent="0.4">
      <c r="B71">
        <f t="shared" si="14"/>
        <v>5.0000000000000044E-2</v>
      </c>
      <c r="C71" s="1">
        <v>69</v>
      </c>
      <c r="D71" s="2">
        <v>1.4</v>
      </c>
      <c r="E71" s="13">
        <v>8.3580930000000002</v>
      </c>
      <c r="F71" s="2">
        <f t="shared" si="15"/>
        <v>0.41790465000000004</v>
      </c>
      <c r="G71" s="2">
        <f t="shared" si="24"/>
        <v>0.41790465000000004</v>
      </c>
      <c r="H71" s="17"/>
      <c r="J71">
        <f t="shared" si="16"/>
        <v>5.0000000000000044E-2</v>
      </c>
      <c r="K71" s="1">
        <v>69</v>
      </c>
      <c r="L71" s="2">
        <v>1.4</v>
      </c>
      <c r="M71" s="13">
        <v>8.3580930000000002</v>
      </c>
      <c r="N71" s="2">
        <f t="shared" si="17"/>
        <v>8.3580930000000002</v>
      </c>
      <c r="O71" s="2">
        <f t="shared" si="18"/>
        <v>0.41790465000000004</v>
      </c>
      <c r="P71" s="2">
        <f t="shared" si="25"/>
        <v>0.41790465000000004</v>
      </c>
      <c r="Q71" s="17"/>
      <c r="S71" s="1">
        <v>69</v>
      </c>
      <c r="T71" s="2">
        <v>1.4</v>
      </c>
      <c r="U71" s="2">
        <f t="shared" si="19"/>
        <v>8.3580927999999997</v>
      </c>
      <c r="V71" s="2">
        <f t="shared" si="20"/>
        <v>0.41790463999999999</v>
      </c>
      <c r="W71" s="2">
        <f t="shared" si="26"/>
        <v>0.41790463999999999</v>
      </c>
      <c r="X71" s="17"/>
      <c r="Z71" s="1">
        <v>69</v>
      </c>
      <c r="AA71" s="2">
        <v>1.4</v>
      </c>
      <c r="AB71" s="2">
        <f t="shared" si="21"/>
        <v>8.3580927999999997</v>
      </c>
      <c r="AC71" s="2">
        <f t="shared" si="22"/>
        <v>8.3580927999999997</v>
      </c>
      <c r="AD71" s="2">
        <f t="shared" si="23"/>
        <v>0.41790463999999999</v>
      </c>
      <c r="AE71" s="2">
        <f t="shared" si="27"/>
        <v>0.41790463999999999</v>
      </c>
    </row>
    <row r="72" spans="2:31" ht="17.5" thickBot="1" x14ac:dyDescent="0.4">
      <c r="B72">
        <f t="shared" si="14"/>
        <v>5.0000000000000044E-2</v>
      </c>
      <c r="C72" s="1">
        <v>70</v>
      </c>
      <c r="D72" s="2">
        <v>1.45</v>
      </c>
      <c r="E72" s="13">
        <v>8.2446769999999994</v>
      </c>
      <c r="F72" s="2">
        <f t="shared" si="15"/>
        <v>0.41223385000000001</v>
      </c>
      <c r="G72" s="2">
        <f t="shared" si="24"/>
        <v>0.41223385000000001</v>
      </c>
      <c r="H72" s="17"/>
      <c r="J72">
        <f t="shared" si="16"/>
        <v>5.0000000000000044E-2</v>
      </c>
      <c r="K72" s="1">
        <v>70</v>
      </c>
      <c r="L72" s="2">
        <v>1.45</v>
      </c>
      <c r="M72" s="13">
        <v>8.2446769999999994</v>
      </c>
      <c r="N72" s="2">
        <f t="shared" si="17"/>
        <v>8.2446769999999994</v>
      </c>
      <c r="O72" s="2">
        <f t="shared" si="18"/>
        <v>0.41223385000000001</v>
      </c>
      <c r="P72" s="2">
        <f t="shared" si="25"/>
        <v>0.41223385000000001</v>
      </c>
      <c r="Q72" s="17"/>
      <c r="S72" s="1">
        <v>70</v>
      </c>
      <c r="T72" s="2">
        <v>1.45</v>
      </c>
      <c r="U72" s="2">
        <f t="shared" si="19"/>
        <v>8.2446771218750001</v>
      </c>
      <c r="V72" s="2">
        <f t="shared" si="20"/>
        <v>0.41223385609375002</v>
      </c>
      <c r="W72" s="2">
        <f t="shared" si="26"/>
        <v>0.41223385609375002</v>
      </c>
      <c r="X72" s="17"/>
      <c r="Z72" s="1">
        <v>70</v>
      </c>
      <c r="AA72" s="2">
        <v>1.45</v>
      </c>
      <c r="AB72" s="2">
        <f t="shared" si="21"/>
        <v>8.2446771218750001</v>
      </c>
      <c r="AC72" s="2">
        <f t="shared" si="22"/>
        <v>8.2446771218750001</v>
      </c>
      <c r="AD72" s="2">
        <f t="shared" si="23"/>
        <v>0.41223385609375002</v>
      </c>
      <c r="AE72" s="2">
        <f t="shared" si="27"/>
        <v>0.41223385609375002</v>
      </c>
    </row>
    <row r="73" spans="2:31" ht="17.5" thickBot="1" x14ac:dyDescent="0.4">
      <c r="B73">
        <f t="shared" si="14"/>
        <v>5.0000000000000044E-2</v>
      </c>
      <c r="C73" s="1">
        <v>71</v>
      </c>
      <c r="D73" s="2">
        <v>1.5</v>
      </c>
      <c r="E73" s="13">
        <v>8.0718750000000004</v>
      </c>
      <c r="F73" s="2">
        <f t="shared" si="15"/>
        <v>0.40359375000000003</v>
      </c>
      <c r="G73" s="2">
        <f t="shared" si="24"/>
        <v>0.40359375000000003</v>
      </c>
      <c r="H73" s="17"/>
      <c r="J73">
        <f t="shared" si="16"/>
        <v>5.0000000000000044E-2</v>
      </c>
      <c r="K73" s="1">
        <v>71</v>
      </c>
      <c r="L73" s="2">
        <v>1.5</v>
      </c>
      <c r="M73" s="13">
        <v>8.0718750000000004</v>
      </c>
      <c r="N73" s="2">
        <f t="shared" si="17"/>
        <v>8.0718750000000004</v>
      </c>
      <c r="O73" s="2">
        <f t="shared" si="18"/>
        <v>0.40359375000000003</v>
      </c>
      <c r="P73" s="2">
        <f t="shared" si="25"/>
        <v>0.40359375000000003</v>
      </c>
      <c r="Q73" s="17"/>
      <c r="S73" s="1">
        <v>71</v>
      </c>
      <c r="T73" s="2">
        <v>1.5</v>
      </c>
      <c r="U73" s="2">
        <f t="shared" si="19"/>
        <v>8.0718750000000004</v>
      </c>
      <c r="V73" s="2">
        <f t="shared" si="20"/>
        <v>0.40359375000000003</v>
      </c>
      <c r="W73" s="2">
        <f t="shared" si="26"/>
        <v>0.40359375000000003</v>
      </c>
      <c r="X73" s="17"/>
      <c r="Z73" s="1">
        <v>71</v>
      </c>
      <c r="AA73" s="2">
        <v>1.5</v>
      </c>
      <c r="AB73" s="2">
        <f t="shared" si="21"/>
        <v>8.0718750000000004</v>
      </c>
      <c r="AC73" s="2">
        <f t="shared" si="22"/>
        <v>8.0718750000000004</v>
      </c>
      <c r="AD73" s="2">
        <f t="shared" si="23"/>
        <v>0.40359375000000003</v>
      </c>
      <c r="AE73" s="2">
        <f t="shared" si="27"/>
        <v>0.40359375000000003</v>
      </c>
    </row>
    <row r="74" spans="2:31" ht="17.5" thickBot="1" x14ac:dyDescent="0.4">
      <c r="B74">
        <f t="shared" si="14"/>
        <v>5.0000000000000044E-2</v>
      </c>
      <c r="C74" s="1">
        <v>72</v>
      </c>
      <c r="D74" s="2">
        <v>1.55</v>
      </c>
      <c r="E74" s="13">
        <v>7.8300510000000001</v>
      </c>
      <c r="F74" s="2">
        <f t="shared" si="15"/>
        <v>0.39150255</v>
      </c>
      <c r="G74" s="2">
        <f t="shared" si="24"/>
        <v>0.39150255</v>
      </c>
      <c r="H74" s="17"/>
      <c r="J74">
        <f t="shared" si="16"/>
        <v>5.0000000000000044E-2</v>
      </c>
      <c r="K74" s="1">
        <v>72</v>
      </c>
      <c r="L74" s="2">
        <v>1.55</v>
      </c>
      <c r="M74" s="13">
        <v>7.8300510000000001</v>
      </c>
      <c r="N74" s="2">
        <f t="shared" si="17"/>
        <v>7.8300510000000001</v>
      </c>
      <c r="O74" s="2">
        <f t="shared" si="18"/>
        <v>0.39150255</v>
      </c>
      <c r="P74" s="2">
        <f t="shared" si="25"/>
        <v>0.39150255</v>
      </c>
      <c r="Q74" s="17"/>
      <c r="S74" s="1">
        <v>72</v>
      </c>
      <c r="T74" s="2">
        <v>1.55</v>
      </c>
      <c r="U74" s="2">
        <f t="shared" si="19"/>
        <v>7.8300509968749985</v>
      </c>
      <c r="V74" s="2">
        <f t="shared" si="20"/>
        <v>0.39150254984374994</v>
      </c>
      <c r="W74" s="2">
        <f t="shared" si="26"/>
        <v>0.39150254984374994</v>
      </c>
      <c r="X74" s="17"/>
      <c r="Z74" s="1">
        <v>72</v>
      </c>
      <c r="AA74" s="2">
        <v>1.55</v>
      </c>
      <c r="AB74" s="2">
        <f t="shared" si="21"/>
        <v>7.8300509968749985</v>
      </c>
      <c r="AC74" s="2">
        <f t="shared" si="22"/>
        <v>7.8300509968749985</v>
      </c>
      <c r="AD74" s="2">
        <f t="shared" si="23"/>
        <v>0.39150254984374994</v>
      </c>
      <c r="AE74" s="2">
        <f t="shared" si="27"/>
        <v>0.39150254984374994</v>
      </c>
    </row>
    <row r="75" spans="2:31" ht="17.5" thickBot="1" x14ac:dyDescent="0.4">
      <c r="B75">
        <f t="shared" si="14"/>
        <v>4.9999999999999822E-2</v>
      </c>
      <c r="C75" s="1">
        <v>73</v>
      </c>
      <c r="D75" s="2">
        <v>1.6</v>
      </c>
      <c r="E75" s="13">
        <v>7.5085569999999997</v>
      </c>
      <c r="F75" s="2">
        <f t="shared" si="15"/>
        <v>0.37542785000000001</v>
      </c>
      <c r="G75" s="2">
        <f t="shared" si="24"/>
        <v>0.37542785000000001</v>
      </c>
      <c r="H75" s="17"/>
      <c r="J75">
        <f t="shared" si="16"/>
        <v>4.9999999999999822E-2</v>
      </c>
      <c r="K75" s="1">
        <v>73</v>
      </c>
      <c r="L75" s="2">
        <v>1.6</v>
      </c>
      <c r="M75" s="13">
        <v>7.5085569999999997</v>
      </c>
      <c r="N75" s="2">
        <f t="shared" si="17"/>
        <v>7.5085569999999997</v>
      </c>
      <c r="O75" s="2">
        <f t="shared" si="18"/>
        <v>0.37542785000000001</v>
      </c>
      <c r="P75" s="2">
        <f t="shared" si="25"/>
        <v>0.37542785000000001</v>
      </c>
      <c r="Q75" s="17"/>
      <c r="S75" s="1">
        <v>73</v>
      </c>
      <c r="T75" s="2">
        <v>1.6</v>
      </c>
      <c r="U75" s="2">
        <f t="shared" si="19"/>
        <v>7.5085567999999991</v>
      </c>
      <c r="V75" s="2">
        <f t="shared" si="20"/>
        <v>0.37542783999999996</v>
      </c>
      <c r="W75" s="2">
        <f t="shared" si="26"/>
        <v>0.37542783999999996</v>
      </c>
      <c r="X75" s="17"/>
      <c r="Z75" s="1">
        <v>73</v>
      </c>
      <c r="AA75" s="2">
        <v>1.6</v>
      </c>
      <c r="AB75" s="2">
        <f t="shared" si="21"/>
        <v>7.5085567999999991</v>
      </c>
      <c r="AC75" s="2">
        <f t="shared" si="22"/>
        <v>7.5085567999999991</v>
      </c>
      <c r="AD75" s="2">
        <f t="shared" si="23"/>
        <v>0.37542783999999996</v>
      </c>
      <c r="AE75" s="2">
        <f t="shared" si="27"/>
        <v>0.37542783999999996</v>
      </c>
    </row>
    <row r="76" spans="2:31" ht="17.5" thickBot="1" x14ac:dyDescent="0.4">
      <c r="B76">
        <f t="shared" si="14"/>
        <v>5.0000000000000044E-2</v>
      </c>
      <c r="C76" s="1">
        <v>74</v>
      </c>
      <c r="D76" s="2">
        <v>1.65</v>
      </c>
      <c r="E76" s="13">
        <v>7.0956630000000001</v>
      </c>
      <c r="F76" s="2">
        <f t="shared" si="15"/>
        <v>0.35478315000000005</v>
      </c>
      <c r="G76" s="2">
        <f t="shared" si="24"/>
        <v>0.35478315000000005</v>
      </c>
      <c r="H76" s="17"/>
      <c r="J76">
        <f t="shared" si="16"/>
        <v>5.0000000000000044E-2</v>
      </c>
      <c r="K76" s="1">
        <v>74</v>
      </c>
      <c r="L76" s="2">
        <v>1.65</v>
      </c>
      <c r="M76" s="13">
        <v>7.0956630000000001</v>
      </c>
      <c r="N76" s="2">
        <f t="shared" si="17"/>
        <v>7.0956630000000001</v>
      </c>
      <c r="O76" s="2">
        <f t="shared" si="18"/>
        <v>0.35478315000000005</v>
      </c>
      <c r="P76" s="2">
        <f t="shared" si="25"/>
        <v>0.35478315000000005</v>
      </c>
      <c r="Q76" s="17"/>
      <c r="S76" s="1">
        <v>74</v>
      </c>
      <c r="T76" s="2">
        <v>1.65</v>
      </c>
      <c r="U76" s="2">
        <f t="shared" si="19"/>
        <v>7.095662596875</v>
      </c>
      <c r="V76" s="2">
        <f t="shared" si="20"/>
        <v>0.35478312984375004</v>
      </c>
      <c r="W76" s="2">
        <f t="shared" si="26"/>
        <v>0.35478312984375004</v>
      </c>
      <c r="X76" s="17"/>
      <c r="Z76" s="1">
        <v>74</v>
      </c>
      <c r="AA76" s="2">
        <v>1.65</v>
      </c>
      <c r="AB76" s="2">
        <f t="shared" si="21"/>
        <v>7.095662596875</v>
      </c>
      <c r="AC76" s="2">
        <f t="shared" si="22"/>
        <v>7.095662596875</v>
      </c>
      <c r="AD76" s="2">
        <f t="shared" si="23"/>
        <v>0.35478312984375004</v>
      </c>
      <c r="AE76" s="2">
        <f t="shared" si="27"/>
        <v>0.35478312984375004</v>
      </c>
    </row>
    <row r="77" spans="2:31" ht="17.5" thickBot="1" x14ac:dyDescent="0.4">
      <c r="B77">
        <f t="shared" si="14"/>
        <v>5.0000000000000044E-2</v>
      </c>
      <c r="C77" s="1">
        <v>75</v>
      </c>
      <c r="D77" s="2">
        <v>1.7</v>
      </c>
      <c r="E77" s="13">
        <v>6.5784859999999998</v>
      </c>
      <c r="F77" s="2">
        <f t="shared" si="15"/>
        <v>0.3289243</v>
      </c>
      <c r="G77" s="2">
        <f t="shared" si="24"/>
        <v>0.3289243</v>
      </c>
      <c r="H77" s="17"/>
      <c r="J77">
        <f t="shared" si="16"/>
        <v>5.0000000000000044E-2</v>
      </c>
      <c r="K77" s="1">
        <v>75</v>
      </c>
      <c r="L77" s="2">
        <v>1.7</v>
      </c>
      <c r="M77" s="13">
        <v>6.5784859999999998</v>
      </c>
      <c r="N77" s="2">
        <f t="shared" si="17"/>
        <v>6.5784859999999998</v>
      </c>
      <c r="O77" s="2">
        <f t="shared" si="18"/>
        <v>0.3289243</v>
      </c>
      <c r="P77" s="2">
        <f t="shared" si="25"/>
        <v>0.3289243</v>
      </c>
      <c r="Q77" s="17"/>
      <c r="S77" s="1">
        <v>75</v>
      </c>
      <c r="T77" s="2">
        <v>1.7</v>
      </c>
      <c r="U77" s="2">
        <f t="shared" si="19"/>
        <v>6.5784862000000013</v>
      </c>
      <c r="V77" s="2">
        <f t="shared" si="20"/>
        <v>0.32892431000000011</v>
      </c>
      <c r="W77" s="2">
        <f t="shared" si="26"/>
        <v>0.32892431000000011</v>
      </c>
      <c r="X77" s="17"/>
      <c r="Z77" s="1">
        <v>75</v>
      </c>
      <c r="AA77" s="2">
        <v>1.7</v>
      </c>
      <c r="AB77" s="2">
        <f t="shared" si="21"/>
        <v>6.5784862000000013</v>
      </c>
      <c r="AC77" s="2">
        <f t="shared" si="22"/>
        <v>6.5784862000000013</v>
      </c>
      <c r="AD77" s="2">
        <f t="shared" si="23"/>
        <v>0.32892431000000011</v>
      </c>
      <c r="AE77" s="2">
        <f t="shared" si="27"/>
        <v>0.32892431000000011</v>
      </c>
    </row>
    <row r="78" spans="2:31" ht="17.5" thickBot="1" x14ac:dyDescent="0.4">
      <c r="B78">
        <f t="shared" si="14"/>
        <v>5.0000000000000044E-2</v>
      </c>
      <c r="C78" s="1">
        <v>76</v>
      </c>
      <c r="D78" s="2">
        <v>1.75</v>
      </c>
      <c r="E78" s="13">
        <v>5.94292</v>
      </c>
      <c r="F78" s="2">
        <f t="shared" si="15"/>
        <v>0.29714600000000002</v>
      </c>
      <c r="G78" s="2">
        <f t="shared" si="24"/>
        <v>0.29714600000000002</v>
      </c>
      <c r="H78" s="17"/>
      <c r="J78">
        <f t="shared" si="16"/>
        <v>5.0000000000000044E-2</v>
      </c>
      <c r="K78" s="1">
        <v>76</v>
      </c>
      <c r="L78" s="2">
        <v>1.75</v>
      </c>
      <c r="M78" s="13">
        <v>5.94292</v>
      </c>
      <c r="N78" s="2">
        <f t="shared" si="17"/>
        <v>5.94292</v>
      </c>
      <c r="O78" s="2">
        <f t="shared" si="18"/>
        <v>0.29714600000000002</v>
      </c>
      <c r="P78" s="2">
        <f t="shared" si="25"/>
        <v>0.29714600000000002</v>
      </c>
      <c r="Q78" s="17"/>
      <c r="S78" s="1">
        <v>76</v>
      </c>
      <c r="T78" s="2">
        <v>1.75</v>
      </c>
      <c r="U78" s="2">
        <f t="shared" si="19"/>
        <v>5.9429199218749993</v>
      </c>
      <c r="V78" s="2">
        <f t="shared" si="20"/>
        <v>0.29714599609374998</v>
      </c>
      <c r="W78" s="2">
        <f t="shared" si="26"/>
        <v>0.29714599609374998</v>
      </c>
      <c r="X78" s="17"/>
      <c r="Z78" s="1">
        <v>76</v>
      </c>
      <c r="AA78" s="2">
        <v>1.75</v>
      </c>
      <c r="AB78" s="2">
        <f t="shared" si="21"/>
        <v>5.9429199218749993</v>
      </c>
      <c r="AC78" s="2">
        <f t="shared" si="22"/>
        <v>5.9429199218749993</v>
      </c>
      <c r="AD78" s="2">
        <f t="shared" si="23"/>
        <v>0.29714599609374998</v>
      </c>
      <c r="AE78" s="2">
        <f t="shared" si="27"/>
        <v>0.29714599609374998</v>
      </c>
    </row>
    <row r="79" spans="2:31" ht="17.5" thickBot="1" x14ac:dyDescent="0.4">
      <c r="B79">
        <f t="shared" si="14"/>
        <v>5.0000000000000044E-2</v>
      </c>
      <c r="C79" s="1">
        <v>77</v>
      </c>
      <c r="D79" s="2">
        <v>1.8</v>
      </c>
      <c r="E79" s="13">
        <v>5.1735550000000003</v>
      </c>
      <c r="F79" s="2">
        <f t="shared" si="15"/>
        <v>0.25867775000000004</v>
      </c>
      <c r="G79" s="2">
        <f t="shared" si="24"/>
        <v>0.25867775000000004</v>
      </c>
      <c r="H79" s="17"/>
      <c r="J79">
        <f t="shared" si="16"/>
        <v>5.0000000000000044E-2</v>
      </c>
      <c r="K79" s="1">
        <v>77</v>
      </c>
      <c r="L79" s="2">
        <v>1.8</v>
      </c>
      <c r="M79" s="13">
        <v>5.1735550000000003</v>
      </c>
      <c r="N79" s="2">
        <f t="shared" si="17"/>
        <v>5.1735550000000003</v>
      </c>
      <c r="O79" s="2">
        <f t="shared" si="18"/>
        <v>0.25867775000000004</v>
      </c>
      <c r="P79" s="2">
        <f t="shared" si="25"/>
        <v>0.25867775000000004</v>
      </c>
      <c r="Q79" s="17"/>
      <c r="S79" s="1">
        <v>77</v>
      </c>
      <c r="T79" s="2">
        <v>1.8</v>
      </c>
      <c r="U79" s="2">
        <f t="shared" si="19"/>
        <v>5.1735551999999974</v>
      </c>
      <c r="V79" s="2">
        <f t="shared" si="20"/>
        <v>0.25867775999999987</v>
      </c>
      <c r="W79" s="2">
        <f t="shared" si="26"/>
        <v>0.25867775999999987</v>
      </c>
      <c r="X79" s="17"/>
      <c r="Z79" s="1">
        <v>77</v>
      </c>
      <c r="AA79" s="2">
        <v>1.8</v>
      </c>
      <c r="AB79" s="2">
        <f t="shared" si="21"/>
        <v>5.1735551999999974</v>
      </c>
      <c r="AC79" s="2">
        <f t="shared" si="22"/>
        <v>5.1735551999999974</v>
      </c>
      <c r="AD79" s="2">
        <f t="shared" si="23"/>
        <v>0.25867775999999987</v>
      </c>
      <c r="AE79" s="2">
        <f t="shared" si="27"/>
        <v>0.25867775999999987</v>
      </c>
    </row>
    <row r="80" spans="2:31" ht="17.5" thickBot="1" x14ac:dyDescent="0.4">
      <c r="B80">
        <f t="shared" si="14"/>
        <v>4.9999999999999822E-2</v>
      </c>
      <c r="C80" s="1">
        <v>78</v>
      </c>
      <c r="D80" s="2">
        <v>1.85</v>
      </c>
      <c r="E80" s="13">
        <v>4.2536050000000003</v>
      </c>
      <c r="F80" s="2">
        <f t="shared" si="15"/>
        <v>0.21268025000000002</v>
      </c>
      <c r="G80" s="2">
        <f t="shared" si="24"/>
        <v>0.21268025000000002</v>
      </c>
      <c r="H80" s="17"/>
      <c r="J80">
        <f t="shared" si="16"/>
        <v>4.9999999999999822E-2</v>
      </c>
      <c r="K80" s="1">
        <v>78</v>
      </c>
      <c r="L80" s="2">
        <v>1.85</v>
      </c>
      <c r="M80" s="13">
        <v>4.2536050000000003</v>
      </c>
      <c r="N80" s="2">
        <f t="shared" si="17"/>
        <v>4.2536050000000003</v>
      </c>
      <c r="O80" s="2">
        <f t="shared" si="18"/>
        <v>0.21268025000000002</v>
      </c>
      <c r="P80" s="2">
        <f t="shared" si="25"/>
        <v>0.21268025000000002</v>
      </c>
      <c r="Q80" s="17"/>
      <c r="S80" s="1">
        <v>78</v>
      </c>
      <c r="T80" s="2">
        <v>1.85</v>
      </c>
      <c r="U80" s="2">
        <f t="shared" si="19"/>
        <v>4.2536049718749984</v>
      </c>
      <c r="V80" s="2">
        <f t="shared" si="20"/>
        <v>0.21268024859374993</v>
      </c>
      <c r="W80" s="2">
        <f t="shared" si="26"/>
        <v>0.21268024859374993</v>
      </c>
      <c r="X80" s="17"/>
      <c r="Z80" s="1">
        <v>78</v>
      </c>
      <c r="AA80" s="2">
        <v>1.85</v>
      </c>
      <c r="AB80" s="2">
        <f t="shared" si="21"/>
        <v>4.2536049718749984</v>
      </c>
      <c r="AC80" s="2">
        <f t="shared" si="22"/>
        <v>4.2536049718749984</v>
      </c>
      <c r="AD80" s="2">
        <f t="shared" si="23"/>
        <v>0.21268024859374993</v>
      </c>
      <c r="AE80" s="2">
        <f t="shared" si="27"/>
        <v>0.21268024859374993</v>
      </c>
    </row>
    <row r="81" spans="2:31" ht="17.5" thickBot="1" x14ac:dyDescent="0.4">
      <c r="B81">
        <f t="shared" si="14"/>
        <v>5.0000000000000044E-2</v>
      </c>
      <c r="C81" s="1">
        <v>79</v>
      </c>
      <c r="D81" s="2">
        <v>1.9</v>
      </c>
      <c r="E81" s="13">
        <v>3.1648239999999999</v>
      </c>
      <c r="F81" s="2">
        <f t="shared" si="15"/>
        <v>0.1582412</v>
      </c>
      <c r="G81" s="2">
        <f t="shared" si="24"/>
        <v>0.1582412</v>
      </c>
      <c r="H81" s="17"/>
      <c r="J81">
        <f t="shared" si="16"/>
        <v>5.0000000000000044E-2</v>
      </c>
      <c r="K81" s="1">
        <v>79</v>
      </c>
      <c r="L81" s="2">
        <v>1.9</v>
      </c>
      <c r="M81" s="13">
        <v>3.1648239999999999</v>
      </c>
      <c r="N81" s="2">
        <f t="shared" si="17"/>
        <v>3.1648239999999999</v>
      </c>
      <c r="O81" s="2">
        <f t="shared" si="18"/>
        <v>0.1582412</v>
      </c>
      <c r="P81" s="2">
        <f t="shared" si="25"/>
        <v>0.1582412</v>
      </c>
      <c r="Q81" s="17"/>
      <c r="S81" s="1">
        <v>79</v>
      </c>
      <c r="T81" s="2">
        <v>1.9</v>
      </c>
      <c r="U81" s="2">
        <f t="shared" si="19"/>
        <v>3.1648238000000002</v>
      </c>
      <c r="V81" s="2">
        <f t="shared" si="20"/>
        <v>0.15824119000000003</v>
      </c>
      <c r="W81" s="2">
        <f t="shared" si="26"/>
        <v>0.15824119000000003</v>
      </c>
      <c r="X81" s="17"/>
      <c r="Z81" s="1">
        <v>79</v>
      </c>
      <c r="AA81" s="2">
        <v>1.9</v>
      </c>
      <c r="AB81" s="2">
        <f t="shared" si="21"/>
        <v>3.1648238000000002</v>
      </c>
      <c r="AC81" s="2">
        <f t="shared" si="22"/>
        <v>3.1648238000000002</v>
      </c>
      <c r="AD81" s="2">
        <f t="shared" si="23"/>
        <v>0.15824119000000003</v>
      </c>
      <c r="AE81" s="2">
        <f t="shared" si="27"/>
        <v>0.15824119000000003</v>
      </c>
    </row>
    <row r="82" spans="2:31" ht="17.5" thickBot="1" x14ac:dyDescent="0.4">
      <c r="B82">
        <f t="shared" si="14"/>
        <v>5.0000000000000044E-2</v>
      </c>
      <c r="C82" s="1">
        <v>80</v>
      </c>
      <c r="D82" s="2">
        <v>1.95</v>
      </c>
      <c r="E82" s="13">
        <v>1.887426</v>
      </c>
      <c r="F82" s="2">
        <f t="shared" si="15"/>
        <v>9.4371300000000005E-2</v>
      </c>
      <c r="G82" s="2">
        <f t="shared" si="24"/>
        <v>9.4371300000000005E-2</v>
      </c>
      <c r="H82" s="17"/>
      <c r="J82">
        <f t="shared" si="16"/>
        <v>5.0000000000000044E-2</v>
      </c>
      <c r="K82" s="1">
        <v>80</v>
      </c>
      <c r="L82" s="2">
        <v>1.95</v>
      </c>
      <c r="M82" s="13">
        <v>1.887426</v>
      </c>
      <c r="N82" s="2">
        <f t="shared" si="17"/>
        <v>1.887426</v>
      </c>
      <c r="O82" s="2">
        <f t="shared" si="18"/>
        <v>9.4371300000000005E-2</v>
      </c>
      <c r="P82" s="2">
        <f t="shared" si="25"/>
        <v>9.4371300000000005E-2</v>
      </c>
      <c r="Q82" s="17"/>
      <c r="S82" s="1">
        <v>80</v>
      </c>
      <c r="T82" s="2">
        <v>1.95</v>
      </c>
      <c r="U82" s="2">
        <f t="shared" si="19"/>
        <v>1.8874257468750013</v>
      </c>
      <c r="V82" s="2">
        <f t="shared" si="20"/>
        <v>9.4371287343750068E-2</v>
      </c>
      <c r="W82" s="2">
        <f t="shared" si="26"/>
        <v>9.4371287343750068E-2</v>
      </c>
      <c r="X82" s="17"/>
      <c r="Z82" s="1">
        <v>80</v>
      </c>
      <c r="AA82" s="2">
        <v>1.95</v>
      </c>
      <c r="AB82" s="2">
        <f t="shared" si="21"/>
        <v>1.8874257468750013</v>
      </c>
      <c r="AC82" s="2">
        <f t="shared" si="22"/>
        <v>1.8874257468750013</v>
      </c>
      <c r="AD82" s="2">
        <f t="shared" si="23"/>
        <v>9.4371287343750068E-2</v>
      </c>
      <c r="AE82" s="2">
        <f t="shared" si="27"/>
        <v>9.4371287343750068E-2</v>
      </c>
    </row>
    <row r="83" spans="2:31" ht="17.5" thickBot="1" x14ac:dyDescent="0.4">
      <c r="B83">
        <f t="shared" si="14"/>
        <v>4.9999999999999822E-2</v>
      </c>
      <c r="C83" s="1">
        <v>81</v>
      </c>
      <c r="D83" s="2">
        <v>2</v>
      </c>
      <c r="E83" s="13">
        <v>0.4</v>
      </c>
      <c r="F83" s="2">
        <f t="shared" si="15"/>
        <v>2.0000000000000004E-2</v>
      </c>
      <c r="G83" s="2">
        <f t="shared" si="24"/>
        <v>2.0000000000000004E-2</v>
      </c>
      <c r="H83" s="17"/>
      <c r="J83">
        <f t="shared" si="16"/>
        <v>4.9999999999999822E-2</v>
      </c>
      <c r="K83" s="1">
        <v>81</v>
      </c>
      <c r="L83" s="2">
        <v>2</v>
      </c>
      <c r="M83" s="13">
        <v>0.4</v>
      </c>
      <c r="N83" s="2">
        <f t="shared" si="17"/>
        <v>0.4</v>
      </c>
      <c r="O83" s="2">
        <f t="shared" si="18"/>
        <v>2.0000000000000004E-2</v>
      </c>
      <c r="P83" s="2">
        <f t="shared" si="25"/>
        <v>2.0000000000000004E-2</v>
      </c>
      <c r="Q83" s="17"/>
      <c r="S83" s="1">
        <v>81</v>
      </c>
      <c r="T83" s="2">
        <v>2</v>
      </c>
      <c r="U83" s="2">
        <f t="shared" si="19"/>
        <v>0.39999999999999858</v>
      </c>
      <c r="V83" s="2">
        <f t="shared" si="20"/>
        <v>1.9999999999999931E-2</v>
      </c>
      <c r="W83" s="2">
        <f t="shared" si="26"/>
        <v>1.9999999999999931E-2</v>
      </c>
      <c r="X83" s="17"/>
      <c r="Z83" s="1">
        <v>81</v>
      </c>
      <c r="AA83" s="2">
        <v>2</v>
      </c>
      <c r="AB83" s="2">
        <f t="shared" si="21"/>
        <v>0.39999999999999858</v>
      </c>
      <c r="AC83" s="2">
        <f t="shared" si="22"/>
        <v>0.39999999999999858</v>
      </c>
      <c r="AD83" s="2">
        <f t="shared" si="23"/>
        <v>1.9999999999999931E-2</v>
      </c>
      <c r="AE83" s="2">
        <f t="shared" si="27"/>
        <v>1.9999999999999931E-2</v>
      </c>
    </row>
    <row r="84" spans="2:31" ht="17.5" thickBot="1" x14ac:dyDescent="0.4">
      <c r="B84">
        <f t="shared" si="14"/>
        <v>5.0000000000000266E-2</v>
      </c>
      <c r="C84" s="1">
        <v>82</v>
      </c>
      <c r="D84" s="2">
        <v>2.0499999999999998</v>
      </c>
      <c r="E84" s="14">
        <v>-1.320576</v>
      </c>
      <c r="F84" s="2">
        <f t="shared" si="15"/>
        <v>-6.6028799999999999E-2</v>
      </c>
      <c r="G84" s="2">
        <f t="shared" si="24"/>
        <v>-6.6028799999999999E-2</v>
      </c>
      <c r="H84" s="17"/>
      <c r="J84">
        <f t="shared" si="16"/>
        <v>5.0000000000000266E-2</v>
      </c>
      <c r="K84" s="1">
        <v>82</v>
      </c>
      <c r="L84" s="2">
        <v>2.0499999999999998</v>
      </c>
      <c r="M84" s="14">
        <v>-1.320576</v>
      </c>
      <c r="N84" s="2">
        <f t="shared" si="17"/>
        <v>1.320576</v>
      </c>
      <c r="O84" s="2">
        <f t="shared" si="18"/>
        <v>6.6028799999999999E-2</v>
      </c>
      <c r="P84" s="2">
        <f t="shared" si="25"/>
        <v>6.6028799999999999E-2</v>
      </c>
      <c r="Q84" s="17"/>
      <c r="S84" s="1">
        <v>82</v>
      </c>
      <c r="T84" s="2">
        <v>2.0499999999999998</v>
      </c>
      <c r="U84" s="2">
        <f t="shared" si="19"/>
        <v>-1.320575753124996</v>
      </c>
      <c r="V84" s="2">
        <f t="shared" si="20"/>
        <v>-6.6028787656249796E-2</v>
      </c>
      <c r="W84" s="2">
        <f t="shared" si="26"/>
        <v>-6.6028787656249796E-2</v>
      </c>
      <c r="X84" s="17"/>
      <c r="Z84" s="1">
        <v>82</v>
      </c>
      <c r="AA84" s="2">
        <v>2.0499999999999998</v>
      </c>
      <c r="AB84" s="2">
        <f t="shared" si="21"/>
        <v>-1.320575753124996</v>
      </c>
      <c r="AC84" s="2">
        <f t="shared" si="22"/>
        <v>1.320575753124996</v>
      </c>
      <c r="AD84" s="2">
        <f t="shared" si="23"/>
        <v>6.6028787656249796E-2</v>
      </c>
      <c r="AE84" s="2">
        <f t="shared" si="27"/>
        <v>6.6028787656249796E-2</v>
      </c>
    </row>
    <row r="85" spans="2:31" ht="17.5" thickBot="1" x14ac:dyDescent="0.4">
      <c r="B85">
        <f t="shared" si="14"/>
        <v>4.9999999999999822E-2</v>
      </c>
      <c r="C85" s="1">
        <v>83</v>
      </c>
      <c r="D85" s="2">
        <v>2.1</v>
      </c>
      <c r="E85" s="14">
        <v>-3.2992240000000002</v>
      </c>
      <c r="F85" s="2">
        <f t="shared" si="15"/>
        <v>-0.16496120000000003</v>
      </c>
      <c r="G85" s="2">
        <f t="shared" si="24"/>
        <v>-0.16496120000000003</v>
      </c>
      <c r="H85" s="17"/>
      <c r="J85">
        <f t="shared" si="16"/>
        <v>4.9999999999999822E-2</v>
      </c>
      <c r="K85" s="1">
        <v>83</v>
      </c>
      <c r="L85" s="2">
        <v>2.1</v>
      </c>
      <c r="M85" s="14">
        <v>-3.2992240000000002</v>
      </c>
      <c r="N85" s="2">
        <f t="shared" si="17"/>
        <v>3.2992240000000002</v>
      </c>
      <c r="O85" s="2">
        <f t="shared" si="18"/>
        <v>0.16496120000000003</v>
      </c>
      <c r="P85" s="2">
        <f t="shared" si="25"/>
        <v>0.16496120000000003</v>
      </c>
      <c r="Q85" s="17"/>
      <c r="S85" s="1">
        <v>83</v>
      </c>
      <c r="T85" s="2">
        <v>2.1</v>
      </c>
      <c r="U85" s="2">
        <f t="shared" si="19"/>
        <v>-3.2992242000000012</v>
      </c>
      <c r="V85" s="2">
        <f t="shared" si="20"/>
        <v>-0.16496121000000008</v>
      </c>
      <c r="W85" s="2">
        <f t="shared" si="26"/>
        <v>-0.16496121000000008</v>
      </c>
      <c r="X85" s="17"/>
      <c r="Z85" s="1">
        <v>83</v>
      </c>
      <c r="AA85" s="2">
        <v>2.1</v>
      </c>
      <c r="AB85" s="2">
        <f t="shared" si="21"/>
        <v>-3.2992242000000012</v>
      </c>
      <c r="AC85" s="2">
        <f t="shared" si="22"/>
        <v>3.2992242000000012</v>
      </c>
      <c r="AD85" s="2">
        <f t="shared" si="23"/>
        <v>0.16496121000000008</v>
      </c>
      <c r="AE85" s="2">
        <f t="shared" si="27"/>
        <v>0.16496121000000008</v>
      </c>
    </row>
    <row r="86" spans="2:31" ht="17.5" thickBot="1" x14ac:dyDescent="0.4">
      <c r="B86">
        <f t="shared" si="14"/>
        <v>5.0000000000000266E-2</v>
      </c>
      <c r="C86" s="1">
        <v>84</v>
      </c>
      <c r="D86" s="2">
        <v>2.15</v>
      </c>
      <c r="E86" s="14">
        <v>-5.5627599999999999</v>
      </c>
      <c r="F86" s="2">
        <f t="shared" si="15"/>
        <v>-0.278138</v>
      </c>
      <c r="G86" s="2">
        <f t="shared" si="24"/>
        <v>-0.278138</v>
      </c>
      <c r="H86" s="17"/>
      <c r="J86">
        <f t="shared" si="16"/>
        <v>5.0000000000000266E-2</v>
      </c>
      <c r="K86" s="1">
        <v>84</v>
      </c>
      <c r="L86" s="2">
        <v>2.15</v>
      </c>
      <c r="M86" s="14">
        <v>-5.5627599999999999</v>
      </c>
      <c r="N86" s="2">
        <f t="shared" si="17"/>
        <v>5.5627599999999999</v>
      </c>
      <c r="O86" s="2">
        <f t="shared" si="18"/>
        <v>0.278138</v>
      </c>
      <c r="P86" s="2">
        <f t="shared" si="25"/>
        <v>0.278138</v>
      </c>
      <c r="Q86" s="17"/>
      <c r="S86" s="1">
        <v>84</v>
      </c>
      <c r="T86" s="2">
        <v>2.15</v>
      </c>
      <c r="U86" s="2">
        <f t="shared" si="19"/>
        <v>-5.5627595281249977</v>
      </c>
      <c r="V86" s="2">
        <f t="shared" si="20"/>
        <v>-0.27813797640624988</v>
      </c>
      <c r="W86" s="2">
        <f t="shared" si="26"/>
        <v>-0.27813797640624988</v>
      </c>
      <c r="X86" s="17"/>
      <c r="Z86" s="1">
        <v>84</v>
      </c>
      <c r="AA86" s="2">
        <v>2.15</v>
      </c>
      <c r="AB86" s="2">
        <f t="shared" si="21"/>
        <v>-5.5627595281249977</v>
      </c>
      <c r="AC86" s="2">
        <f t="shared" si="22"/>
        <v>5.5627595281249977</v>
      </c>
      <c r="AD86" s="2">
        <f t="shared" si="23"/>
        <v>0.27813797640624988</v>
      </c>
      <c r="AE86" s="2">
        <f t="shared" si="27"/>
        <v>0.27813797640624988</v>
      </c>
    </row>
    <row r="87" spans="2:31" ht="17.5" thickBot="1" x14ac:dyDescent="0.4">
      <c r="B87">
        <f t="shared" si="14"/>
        <v>4.9999999999999822E-2</v>
      </c>
      <c r="C87" s="1">
        <v>85</v>
      </c>
      <c r="D87" s="2">
        <v>2.2000000000000002</v>
      </c>
      <c r="E87" s="14">
        <v>-8.1399810000000006</v>
      </c>
      <c r="F87" s="2">
        <f t="shared" si="15"/>
        <v>-0.40699905000000003</v>
      </c>
      <c r="G87" s="2">
        <f t="shared" si="24"/>
        <v>-0.40699905000000003</v>
      </c>
      <c r="H87" s="17"/>
      <c r="J87">
        <f t="shared" si="16"/>
        <v>4.9999999999999822E-2</v>
      </c>
      <c r="K87" s="1">
        <v>85</v>
      </c>
      <c r="L87" s="2">
        <v>2.2000000000000002</v>
      </c>
      <c r="M87" s="14">
        <v>-8.1399810000000006</v>
      </c>
      <c r="N87" s="2">
        <f t="shared" si="17"/>
        <v>8.1399810000000006</v>
      </c>
      <c r="O87" s="2">
        <f t="shared" si="18"/>
        <v>0.40699905000000003</v>
      </c>
      <c r="P87" s="2">
        <f t="shared" si="25"/>
        <v>0.40699905000000003</v>
      </c>
      <c r="Q87" s="17"/>
      <c r="S87" s="1">
        <v>85</v>
      </c>
      <c r="T87" s="2">
        <v>2.2000000000000002</v>
      </c>
      <c r="U87" s="2">
        <f t="shared" si="19"/>
        <v>-8.1399808000000125</v>
      </c>
      <c r="V87" s="2">
        <f t="shared" si="20"/>
        <v>-0.40699904000000064</v>
      </c>
      <c r="W87" s="2">
        <f t="shared" si="26"/>
        <v>-0.40699904000000064</v>
      </c>
      <c r="X87" s="17"/>
      <c r="Z87" s="1">
        <v>85</v>
      </c>
      <c r="AA87" s="2">
        <v>2.2000000000000002</v>
      </c>
      <c r="AB87" s="2">
        <f t="shared" si="21"/>
        <v>-8.1399808000000125</v>
      </c>
      <c r="AC87" s="2">
        <f t="shared" si="22"/>
        <v>8.1399808000000125</v>
      </c>
      <c r="AD87" s="2">
        <f t="shared" si="23"/>
        <v>0.40699904000000064</v>
      </c>
      <c r="AE87" s="2">
        <f t="shared" si="27"/>
        <v>0.40699904000000064</v>
      </c>
    </row>
    <row r="88" spans="2:31" ht="17.5" thickBot="1" x14ac:dyDescent="0.4">
      <c r="C88" s="15">
        <v>86</v>
      </c>
      <c r="D88" s="16">
        <v>2.25</v>
      </c>
      <c r="E88" s="16">
        <v>-11.061768000000001</v>
      </c>
      <c r="F88" s="16"/>
      <c r="G88" s="2">
        <f t="shared" si="24"/>
        <v>-0.55308840000000004</v>
      </c>
      <c r="H88" s="17"/>
      <c r="K88" s="15">
        <v>86</v>
      </c>
      <c r="L88" s="16">
        <v>2.25</v>
      </c>
      <c r="M88" s="16">
        <v>-11.061768000000001</v>
      </c>
      <c r="N88" s="2">
        <f t="shared" si="17"/>
        <v>11.061768000000001</v>
      </c>
      <c r="O88" s="16"/>
      <c r="P88" s="2">
        <f t="shared" si="25"/>
        <v>0.55308840000000004</v>
      </c>
      <c r="Q88" s="17"/>
      <c r="S88" s="15">
        <v>86</v>
      </c>
      <c r="T88" s="16">
        <v>2.25</v>
      </c>
      <c r="U88" s="2">
        <f t="shared" si="19"/>
        <v>-11.061767578125004</v>
      </c>
      <c r="V88" s="16"/>
      <c r="W88" s="2">
        <f t="shared" si="26"/>
        <v>-0.55308837890625018</v>
      </c>
      <c r="X88" s="17"/>
      <c r="Z88" s="15">
        <v>86</v>
      </c>
      <c r="AA88" s="16">
        <v>2.25</v>
      </c>
      <c r="AB88" s="2">
        <f t="shared" si="21"/>
        <v>-11.061767578125004</v>
      </c>
      <c r="AC88" s="2">
        <f t="shared" si="22"/>
        <v>11.061767578125004</v>
      </c>
      <c r="AD88" s="16"/>
      <c r="AE88" s="2">
        <f t="shared" si="27"/>
        <v>0.55308837890625018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13D6-624D-4787-8006-B27AB2BB910C}">
  <dimension ref="A1:P89"/>
  <sheetViews>
    <sheetView tabSelected="1" workbookViewId="0">
      <selection activeCell="I6" sqref="I6"/>
    </sheetView>
  </sheetViews>
  <sheetFormatPr baseColWidth="10" defaultRowHeight="14.5" x14ac:dyDescent="0.35"/>
  <cols>
    <col min="2" max="2" width="6.54296875" customWidth="1"/>
    <col min="5" max="5" width="13.54296875" customWidth="1"/>
    <col min="6" max="7" width="13.453125" bestFit="1" customWidth="1"/>
    <col min="9" max="9" width="14" customWidth="1"/>
    <col min="10" max="10" width="6.54296875" customWidth="1"/>
    <col min="13" max="13" width="13.54296875" style="19" customWidth="1"/>
    <col min="14" max="16" width="13.453125" bestFit="1" customWidth="1"/>
  </cols>
  <sheetData>
    <row r="1" spans="1:16" x14ac:dyDescent="0.35">
      <c r="A1" t="s">
        <v>26</v>
      </c>
    </row>
    <row r="2" spans="1:16" ht="17.5" thickBot="1" x14ac:dyDescent="0.4">
      <c r="A2" t="s">
        <v>17</v>
      </c>
      <c r="C2" s="1" t="s">
        <v>0</v>
      </c>
      <c r="D2" s="2" t="s">
        <v>1</v>
      </c>
      <c r="E2" s="2" t="s">
        <v>2</v>
      </c>
      <c r="F2" s="2" t="s">
        <v>50</v>
      </c>
      <c r="G2" s="2" t="s">
        <v>51</v>
      </c>
      <c r="I2" t="s">
        <v>17</v>
      </c>
      <c r="K2" s="1" t="s">
        <v>0</v>
      </c>
      <c r="L2" s="2" t="s">
        <v>1</v>
      </c>
      <c r="M2" s="18" t="s">
        <v>2</v>
      </c>
      <c r="N2" s="2" t="s">
        <v>24</v>
      </c>
      <c r="O2" s="2" t="s">
        <v>50</v>
      </c>
      <c r="P2" s="2" t="s">
        <v>51</v>
      </c>
    </row>
    <row r="3" spans="1:16" ht="17.5" thickBot="1" x14ac:dyDescent="0.4">
      <c r="A3">
        <v>-2</v>
      </c>
      <c r="C3" s="1">
        <v>1</v>
      </c>
      <c r="D3" s="2">
        <f>A3</f>
        <v>-2</v>
      </c>
      <c r="E3" s="2">
        <f>(20*COS((5/2)*D3^2+1))/(D3^2+2)</f>
        <v>1.4752326626835953E-2</v>
      </c>
      <c r="F3" s="2">
        <f>(IF(C3=1,E3,""))</f>
        <v>1.4752326626835953E-2</v>
      </c>
      <c r="G3" s="2"/>
      <c r="I3">
        <v>-2</v>
      </c>
      <c r="K3" s="1">
        <v>1</v>
      </c>
      <c r="L3" s="2">
        <f>I3</f>
        <v>-2</v>
      </c>
      <c r="M3" s="18">
        <f>(20*COS((5/2)*L3^2+1))/(L3^2+2)</f>
        <v>1.4752326626835953E-2</v>
      </c>
      <c r="N3" s="2">
        <f>ABS(M3)</f>
        <v>1.4752326626835953E-2</v>
      </c>
      <c r="O3" s="2">
        <f>(IF(K3=1,N3,""))</f>
        <v>1.4752326626835953E-2</v>
      </c>
      <c r="P3" s="2"/>
    </row>
    <row r="4" spans="1:16" ht="17.5" thickBot="1" x14ac:dyDescent="0.4">
      <c r="A4" t="s">
        <v>16</v>
      </c>
      <c r="C4" s="1">
        <f>IF(C3&lt;=$A$7,C3+1,"")</f>
        <v>2</v>
      </c>
      <c r="D4" s="2">
        <f>IF(C3&lt;=$A$7,D3+$A$9,"")</f>
        <v>-1.825</v>
      </c>
      <c r="E4" s="2">
        <f>IF(C3&lt;=$A$7,(20*COS((5/2)*D4^2+1))/(D4^2+2),"")</f>
        <v>-3.7338238480369781</v>
      </c>
      <c r="F4" s="2" t="str">
        <f>(IF(C4=$A$7+1,E4,""))</f>
        <v/>
      </c>
      <c r="G4" s="2">
        <f>IF(C4&lt;=$A$7,E4,"")</f>
        <v>-3.7338238480369781</v>
      </c>
      <c r="I4" t="s">
        <v>16</v>
      </c>
      <c r="K4" s="1">
        <f>IF(K3&lt;=$A$7,K3+1,"")</f>
        <v>2</v>
      </c>
      <c r="L4" s="2">
        <f>IF(K3&lt;=$A$7,L3+$A$9,"")</f>
        <v>-1.825</v>
      </c>
      <c r="M4" s="18">
        <f>IF(K3&lt;=$A$7,(20*COS((5/2)*L4^2+1))/(L4^2+2),"")</f>
        <v>-3.7338238480369781</v>
      </c>
      <c r="N4" s="2">
        <f>IF(K3&lt;=$A$7,ABS(M4),"")</f>
        <v>3.7338238480369781</v>
      </c>
      <c r="O4" s="2" t="str">
        <f>(IF(K4=$A$7+1,N4,""))</f>
        <v/>
      </c>
      <c r="P4" s="2">
        <f>IF(K4&lt;=$A$7,N4,"")</f>
        <v>3.7338238480369781</v>
      </c>
    </row>
    <row r="5" spans="1:16" ht="17.5" thickBot="1" x14ac:dyDescent="0.4">
      <c r="A5">
        <v>1.5</v>
      </c>
      <c r="C5" s="1">
        <f t="shared" ref="C5:C68" si="0">IF(C4&lt;=$A$7,C4+1,"")</f>
        <v>3</v>
      </c>
      <c r="D5" s="2">
        <f t="shared" ref="D5:D68" si="1">IF(C4&lt;=$A$7,D4+$A$9,"")</f>
        <v>-1.65</v>
      </c>
      <c r="E5" s="2">
        <f t="shared" ref="E5:E68" si="2">IF(C4&lt;=$A$7,(20*COS((5/2)*D5^2+1))/(D5^2+2),"")</f>
        <v>0.20206886806324925</v>
      </c>
      <c r="F5" s="2" t="str">
        <f>(IF(C5=$A$7+1,E5,""))</f>
        <v/>
      </c>
      <c r="G5" s="2">
        <f t="shared" ref="G5:G68" si="3">IF(C5&lt;=$A$7,E5,"")</f>
        <v>0.20206886806324925</v>
      </c>
      <c r="I5">
        <v>1.5</v>
      </c>
      <c r="K5" s="1">
        <f t="shared" ref="K5:K68" si="4">IF(K4&lt;=$A$7,K4+1,"")</f>
        <v>3</v>
      </c>
      <c r="L5" s="2">
        <f t="shared" ref="L5:L68" si="5">IF(K4&lt;=$A$7,L4+$A$9,"")</f>
        <v>-1.65</v>
      </c>
      <c r="M5" s="18">
        <f t="shared" ref="M5:M68" si="6">IF(K4&lt;=$A$7,(20*COS((5/2)*L5^2+1))/(L5^2+2),"")</f>
        <v>0.20206886806324925</v>
      </c>
      <c r="N5" s="2">
        <f t="shared" ref="N5:N68" si="7">IF(K4&lt;=$A$7,ABS(M5),"")</f>
        <v>0.20206886806324925</v>
      </c>
      <c r="O5" s="2" t="str">
        <f t="shared" ref="O5:O68" si="8">(IF(K5=$A$7+1,N5,""))</f>
        <v/>
      </c>
      <c r="P5" s="2">
        <f t="shared" ref="P5:P68" si="9">IF(K5&lt;=$A$7,N5,"")</f>
        <v>0.20206886806324925</v>
      </c>
    </row>
    <row r="6" spans="1:16" ht="17.5" thickBot="1" x14ac:dyDescent="0.4">
      <c r="A6" t="s">
        <v>0</v>
      </c>
      <c r="C6" s="1">
        <f t="shared" si="0"/>
        <v>4</v>
      </c>
      <c r="D6" s="2">
        <f t="shared" si="1"/>
        <v>-1.4749999999999999</v>
      </c>
      <c r="E6" s="2">
        <f t="shared" si="2"/>
        <v>4.7316304963001397</v>
      </c>
      <c r="F6" s="2" t="str">
        <f>(IF(C6=$A$7+1,E6,""))</f>
        <v/>
      </c>
      <c r="G6" s="2">
        <f t="shared" si="3"/>
        <v>4.7316304963001397</v>
      </c>
      <c r="I6" t="s">
        <v>0</v>
      </c>
      <c r="K6" s="1">
        <f t="shared" si="4"/>
        <v>4</v>
      </c>
      <c r="L6" s="2">
        <f t="shared" si="5"/>
        <v>-1.4749999999999999</v>
      </c>
      <c r="M6" s="18">
        <f t="shared" si="6"/>
        <v>4.7316304963001397</v>
      </c>
      <c r="N6" s="2">
        <f t="shared" si="7"/>
        <v>4.7316304963001397</v>
      </c>
      <c r="O6" s="2" t="str">
        <f t="shared" si="8"/>
        <v/>
      </c>
      <c r="P6" s="2">
        <f t="shared" si="9"/>
        <v>4.7316304963001397</v>
      </c>
    </row>
    <row r="7" spans="1:16" ht="17.5" thickBot="1" x14ac:dyDescent="0.4">
      <c r="A7">
        <v>20</v>
      </c>
      <c r="C7" s="1">
        <f t="shared" si="0"/>
        <v>5</v>
      </c>
      <c r="D7" s="2">
        <f t="shared" si="1"/>
        <v>-1.2999999999999998</v>
      </c>
      <c r="E7" s="2">
        <f t="shared" si="2"/>
        <v>2.6582890692019787</v>
      </c>
      <c r="F7" s="2" t="str">
        <f>(IF(C7=$A$7+1,E7,""))</f>
        <v/>
      </c>
      <c r="G7" s="2">
        <f t="shared" si="3"/>
        <v>2.6582890692019787</v>
      </c>
      <c r="I7">
        <v>20</v>
      </c>
      <c r="K7" s="1">
        <f t="shared" si="4"/>
        <v>5</v>
      </c>
      <c r="L7" s="2">
        <f t="shared" si="5"/>
        <v>-1.2999999999999998</v>
      </c>
      <c r="M7" s="18">
        <f t="shared" si="6"/>
        <v>2.6582890692019787</v>
      </c>
      <c r="N7" s="2">
        <f t="shared" si="7"/>
        <v>2.6582890692019787</v>
      </c>
      <c r="O7" s="2" t="str">
        <f t="shared" si="8"/>
        <v/>
      </c>
      <c r="P7" s="2">
        <f t="shared" si="9"/>
        <v>2.6582890692019787</v>
      </c>
    </row>
    <row r="8" spans="1:16" ht="17.5" thickBot="1" x14ac:dyDescent="0.4">
      <c r="A8" t="s">
        <v>18</v>
      </c>
      <c r="C8" s="1">
        <f t="shared" si="0"/>
        <v>6</v>
      </c>
      <c r="D8" s="2">
        <f t="shared" si="1"/>
        <v>-1.1249999999999998</v>
      </c>
      <c r="E8" s="2">
        <f t="shared" si="2"/>
        <v>-3.1924044013009354</v>
      </c>
      <c r="F8" s="2" t="str">
        <f>(IF(C8=$A$7+1,E8,""))</f>
        <v/>
      </c>
      <c r="G8" s="2">
        <f t="shared" si="3"/>
        <v>-3.1924044013009354</v>
      </c>
      <c r="I8" t="s">
        <v>18</v>
      </c>
      <c r="K8" s="1">
        <f t="shared" si="4"/>
        <v>6</v>
      </c>
      <c r="L8" s="2">
        <f t="shared" si="5"/>
        <v>-1.1249999999999998</v>
      </c>
      <c r="M8" s="18">
        <f t="shared" si="6"/>
        <v>-3.1924044013009354</v>
      </c>
      <c r="N8" s="2">
        <f t="shared" si="7"/>
        <v>3.1924044013009354</v>
      </c>
      <c r="O8" s="2" t="str">
        <f t="shared" si="8"/>
        <v/>
      </c>
      <c r="P8" s="2">
        <f t="shared" si="9"/>
        <v>3.1924044013009354</v>
      </c>
    </row>
    <row r="9" spans="1:16" ht="17.5" thickBot="1" x14ac:dyDescent="0.4">
      <c r="A9">
        <f>(A5-A3)/(A7)</f>
        <v>0.17499999999999999</v>
      </c>
      <c r="C9" s="1">
        <f t="shared" si="0"/>
        <v>7</v>
      </c>
      <c r="D9" s="2">
        <f t="shared" si="1"/>
        <v>-0.94999999999999973</v>
      </c>
      <c r="E9" s="2">
        <f t="shared" si="2"/>
        <v>-6.8453680920597071</v>
      </c>
      <c r="F9" s="2" t="str">
        <f>(IF(C9=$A$7+1,E9,""))</f>
        <v/>
      </c>
      <c r="G9" s="2">
        <f t="shared" si="3"/>
        <v>-6.8453680920597071</v>
      </c>
      <c r="I9">
        <f>(I5-I3)/(I7)</f>
        <v>0.17499999999999999</v>
      </c>
      <c r="K9" s="1">
        <f t="shared" si="4"/>
        <v>7</v>
      </c>
      <c r="L9" s="2">
        <f t="shared" si="5"/>
        <v>-0.94999999999999973</v>
      </c>
      <c r="M9" s="18">
        <f t="shared" si="6"/>
        <v>-6.8453680920597071</v>
      </c>
      <c r="N9" s="2">
        <f t="shared" si="7"/>
        <v>6.8453680920597071</v>
      </c>
      <c r="O9" s="2" t="str">
        <f t="shared" si="8"/>
        <v/>
      </c>
      <c r="P9" s="2">
        <f t="shared" si="9"/>
        <v>6.8453680920597071</v>
      </c>
    </row>
    <row r="10" spans="1:16" ht="17.5" thickBot="1" x14ac:dyDescent="0.4">
      <c r="A10" t="s">
        <v>21</v>
      </c>
      <c r="C10" s="1">
        <f t="shared" si="0"/>
        <v>8</v>
      </c>
      <c r="D10" s="2">
        <f t="shared" si="1"/>
        <v>-0.77499999999999969</v>
      </c>
      <c r="E10" s="2">
        <f t="shared" si="2"/>
        <v>-6.1683460701429924</v>
      </c>
      <c r="F10" s="2" t="str">
        <f>(IF(C10=$A$7+1,E10,""))</f>
        <v/>
      </c>
      <c r="G10" s="2">
        <f t="shared" si="3"/>
        <v>-6.1683460701429924</v>
      </c>
      <c r="I10" t="s">
        <v>49</v>
      </c>
      <c r="K10" s="1">
        <f t="shared" si="4"/>
        <v>8</v>
      </c>
      <c r="L10" s="2">
        <f t="shared" si="5"/>
        <v>-0.77499999999999969</v>
      </c>
      <c r="M10" s="18">
        <f t="shared" si="6"/>
        <v>-6.1683460701429924</v>
      </c>
      <c r="N10" s="2">
        <f t="shared" si="7"/>
        <v>6.1683460701429924</v>
      </c>
      <c r="O10" s="2" t="str">
        <f t="shared" si="8"/>
        <v/>
      </c>
      <c r="P10" s="2">
        <f t="shared" si="9"/>
        <v>6.1683460701429924</v>
      </c>
    </row>
    <row r="11" spans="1:16" ht="17.5" thickBot="1" x14ac:dyDescent="0.4">
      <c r="A11" t="s">
        <v>19</v>
      </c>
      <c r="C11" s="1">
        <f t="shared" si="0"/>
        <v>9</v>
      </c>
      <c r="D11" s="2">
        <f t="shared" si="1"/>
        <v>-0.59999999999999964</v>
      </c>
      <c r="E11" s="2">
        <f t="shared" si="2"/>
        <v>-2.7397420920635813</v>
      </c>
      <c r="F11" s="2" t="str">
        <f>(IF(C11=$A$7+1,E11,""))</f>
        <v/>
      </c>
      <c r="G11" s="2">
        <f t="shared" si="3"/>
        <v>-2.7397420920635813</v>
      </c>
      <c r="I11" t="s">
        <v>19</v>
      </c>
      <c r="K11" s="1">
        <f t="shared" si="4"/>
        <v>9</v>
      </c>
      <c r="L11" s="2">
        <f t="shared" si="5"/>
        <v>-0.59999999999999964</v>
      </c>
      <c r="M11" s="18">
        <f t="shared" si="6"/>
        <v>-2.7397420920635813</v>
      </c>
      <c r="N11" s="2">
        <f t="shared" si="7"/>
        <v>2.7397420920635813</v>
      </c>
      <c r="O11" s="2" t="str">
        <f t="shared" si="8"/>
        <v/>
      </c>
      <c r="P11" s="2">
        <f t="shared" si="9"/>
        <v>2.7397420920635813</v>
      </c>
    </row>
    <row r="12" spans="1:16" ht="17.5" thickBot="1" x14ac:dyDescent="0.4">
      <c r="A12">
        <f>(SUM(F3:F88)/2)*A9</f>
        <v>0.38923409672819143</v>
      </c>
      <c r="C12" s="1">
        <f t="shared" si="0"/>
        <v>10</v>
      </c>
      <c r="D12" s="2">
        <f t="shared" si="1"/>
        <v>-0.42499999999999966</v>
      </c>
      <c r="E12" s="2">
        <f t="shared" si="2"/>
        <v>1.0909854638183436</v>
      </c>
      <c r="F12" s="2" t="str">
        <f>(IF(C12=$A$7+1,E12,""))</f>
        <v/>
      </c>
      <c r="G12" s="2">
        <f t="shared" si="3"/>
        <v>1.0909854638183436</v>
      </c>
      <c r="I12">
        <f>(SUM(O3:O88)/2)*0.05</f>
        <v>0.11120974192234041</v>
      </c>
      <c r="K12" s="1">
        <f t="shared" si="4"/>
        <v>10</v>
      </c>
      <c r="L12" s="2">
        <f t="shared" si="5"/>
        <v>-0.42499999999999966</v>
      </c>
      <c r="M12" s="18">
        <f t="shared" si="6"/>
        <v>1.0909854638183436</v>
      </c>
      <c r="N12" s="2">
        <f t="shared" si="7"/>
        <v>1.0909854638183436</v>
      </c>
      <c r="O12" s="2" t="str">
        <f t="shared" si="8"/>
        <v/>
      </c>
      <c r="P12" s="2">
        <f t="shared" si="9"/>
        <v>1.0909854638183436</v>
      </c>
    </row>
    <row r="13" spans="1:16" ht="17.5" thickBot="1" x14ac:dyDescent="0.4">
      <c r="A13" t="s">
        <v>20</v>
      </c>
      <c r="C13" s="1">
        <f t="shared" si="0"/>
        <v>11</v>
      </c>
      <c r="D13" s="2">
        <f t="shared" si="1"/>
        <v>-0.24999999999999967</v>
      </c>
      <c r="E13" s="2">
        <f t="shared" si="2"/>
        <v>3.9056943045193484</v>
      </c>
      <c r="F13" s="2" t="str">
        <f>(IF(C13=$A$7+1,E13,""))</f>
        <v/>
      </c>
      <c r="G13" s="2">
        <f t="shared" si="3"/>
        <v>3.9056943045193484</v>
      </c>
      <c r="I13" t="s">
        <v>20</v>
      </c>
      <c r="K13" s="1">
        <f t="shared" si="4"/>
        <v>11</v>
      </c>
      <c r="L13" s="2">
        <f t="shared" si="5"/>
        <v>-0.24999999999999967</v>
      </c>
      <c r="M13" s="18">
        <f t="shared" si="6"/>
        <v>3.9056943045193484</v>
      </c>
      <c r="N13" s="2">
        <f t="shared" si="7"/>
        <v>3.9056943045193484</v>
      </c>
      <c r="O13" s="2" t="str">
        <f t="shared" si="8"/>
        <v/>
      </c>
      <c r="P13" s="2">
        <f t="shared" si="9"/>
        <v>3.9056943045193484</v>
      </c>
    </row>
    <row r="14" spans="1:16" ht="17.5" thickBot="1" x14ac:dyDescent="0.4">
      <c r="A14">
        <f>SUM(G3:G88)*A9</f>
        <v>-1.9093219176126754</v>
      </c>
      <c r="C14" s="1">
        <f t="shared" si="0"/>
        <v>12</v>
      </c>
      <c r="D14" s="2">
        <f t="shared" si="1"/>
        <v>-7.4999999999999678E-2</v>
      </c>
      <c r="E14" s="2">
        <f t="shared" si="2"/>
        <v>5.2693408546943798</v>
      </c>
      <c r="F14" s="2" t="str">
        <f>(IF(C14=$A$7+1,E14,""))</f>
        <v/>
      </c>
      <c r="G14" s="2">
        <f t="shared" si="3"/>
        <v>5.2693408546943798</v>
      </c>
      <c r="I14">
        <f>SUM(P3:P88)*(7/40)</f>
        <v>12.595942246329351</v>
      </c>
      <c r="K14" s="1">
        <f t="shared" si="4"/>
        <v>12</v>
      </c>
      <c r="L14" s="2">
        <f t="shared" si="5"/>
        <v>-7.4999999999999678E-2</v>
      </c>
      <c r="M14" s="18">
        <f t="shared" si="6"/>
        <v>5.2693408546943798</v>
      </c>
      <c r="N14" s="2">
        <f t="shared" si="7"/>
        <v>5.2693408546943798</v>
      </c>
      <c r="O14" s="2" t="str">
        <f t="shared" si="8"/>
        <v/>
      </c>
      <c r="P14" s="2">
        <f t="shared" si="9"/>
        <v>5.2693408546943798</v>
      </c>
    </row>
    <row r="15" spans="1:16" ht="17.5" thickBot="1" x14ac:dyDescent="0.4">
      <c r="A15" t="s">
        <v>25</v>
      </c>
      <c r="C15" s="1">
        <f t="shared" si="0"/>
        <v>13</v>
      </c>
      <c r="D15" s="2">
        <f t="shared" si="1"/>
        <v>0.10000000000000031</v>
      </c>
      <c r="E15" s="2">
        <f t="shared" si="2"/>
        <v>5.165163053068353</v>
      </c>
      <c r="F15" s="2" t="str">
        <f>(IF(C15=$A$7+1,E15,""))</f>
        <v/>
      </c>
      <c r="G15" s="2">
        <f t="shared" si="3"/>
        <v>5.165163053068353</v>
      </c>
      <c r="I15" t="s">
        <v>25</v>
      </c>
      <c r="K15" s="1">
        <f t="shared" si="4"/>
        <v>13</v>
      </c>
      <c r="L15" s="2">
        <f t="shared" si="5"/>
        <v>0.10000000000000031</v>
      </c>
      <c r="M15" s="18">
        <f t="shared" si="6"/>
        <v>5.165163053068353</v>
      </c>
      <c r="N15" s="2">
        <f t="shared" si="7"/>
        <v>5.165163053068353</v>
      </c>
      <c r="O15" s="2" t="str">
        <f t="shared" si="8"/>
        <v/>
      </c>
      <c r="P15" s="2">
        <f t="shared" si="9"/>
        <v>5.165163053068353</v>
      </c>
    </row>
    <row r="16" spans="1:16" ht="17.5" thickBot="1" x14ac:dyDescent="0.4">
      <c r="A16">
        <f>(A12+A14)</f>
        <v>-1.5200878208844841</v>
      </c>
      <c r="C16" s="1">
        <f t="shared" si="0"/>
        <v>14</v>
      </c>
      <c r="D16" s="2">
        <f t="shared" si="1"/>
        <v>0.2750000000000003</v>
      </c>
      <c r="E16" s="2">
        <f t="shared" si="2"/>
        <v>3.5895699339982539</v>
      </c>
      <c r="F16" s="2" t="str">
        <f>(IF(C16=$A$7+1,E16,""))</f>
        <v/>
      </c>
      <c r="G16" s="2">
        <f t="shared" si="3"/>
        <v>3.5895699339982539</v>
      </c>
      <c r="I16">
        <f>(I12+I14)</f>
        <v>12.707151988251692</v>
      </c>
      <c r="K16" s="1">
        <f t="shared" si="4"/>
        <v>14</v>
      </c>
      <c r="L16" s="2">
        <f t="shared" si="5"/>
        <v>0.2750000000000003</v>
      </c>
      <c r="M16" s="18">
        <f t="shared" si="6"/>
        <v>3.5895699339982539</v>
      </c>
      <c r="N16" s="2">
        <f t="shared" si="7"/>
        <v>3.5895699339982539</v>
      </c>
      <c r="O16" s="2" t="str">
        <f t="shared" si="8"/>
        <v/>
      </c>
      <c r="P16" s="2">
        <f t="shared" si="9"/>
        <v>3.5895699339982539</v>
      </c>
    </row>
    <row r="17" spans="3:16" ht="17.5" thickBot="1" x14ac:dyDescent="0.4">
      <c r="C17" s="1">
        <f t="shared" si="0"/>
        <v>15</v>
      </c>
      <c r="D17" s="2">
        <f t="shared" si="1"/>
        <v>0.45000000000000029</v>
      </c>
      <c r="E17" s="2">
        <f t="shared" si="2"/>
        <v>0.58571184570306423</v>
      </c>
      <c r="F17" s="2" t="str">
        <f>(IF(C17=$A$7+1,E17,""))</f>
        <v/>
      </c>
      <c r="G17" s="2">
        <f t="shared" si="3"/>
        <v>0.58571184570306423</v>
      </c>
      <c r="K17" s="1">
        <f t="shared" si="4"/>
        <v>15</v>
      </c>
      <c r="L17" s="2">
        <f t="shared" si="5"/>
        <v>0.45000000000000029</v>
      </c>
      <c r="M17" s="18">
        <f t="shared" si="6"/>
        <v>0.58571184570306423</v>
      </c>
      <c r="N17" s="2">
        <f t="shared" si="7"/>
        <v>0.58571184570306423</v>
      </c>
      <c r="O17" s="2" t="str">
        <f t="shared" si="8"/>
        <v/>
      </c>
      <c r="P17" s="2">
        <f t="shared" si="9"/>
        <v>0.58571184570306423</v>
      </c>
    </row>
    <row r="18" spans="3:16" ht="17.5" thickBot="1" x14ac:dyDescent="0.4">
      <c r="C18" s="1">
        <f t="shared" si="0"/>
        <v>16</v>
      </c>
      <c r="D18" s="2">
        <f t="shared" si="1"/>
        <v>0.62500000000000022</v>
      </c>
      <c r="E18" s="2">
        <f t="shared" si="2"/>
        <v>-3.3022564081160963</v>
      </c>
      <c r="F18" s="2" t="str">
        <f>(IF(C18=$A$7+1,E18,""))</f>
        <v/>
      </c>
      <c r="G18" s="2">
        <f t="shared" si="3"/>
        <v>-3.3022564081160963</v>
      </c>
      <c r="K18" s="1">
        <f t="shared" si="4"/>
        <v>16</v>
      </c>
      <c r="L18" s="2">
        <f t="shared" si="5"/>
        <v>0.62500000000000022</v>
      </c>
      <c r="M18" s="18">
        <f t="shared" si="6"/>
        <v>-3.3022564081160963</v>
      </c>
      <c r="N18" s="2">
        <f t="shared" si="7"/>
        <v>3.3022564081160963</v>
      </c>
      <c r="O18" s="2" t="str">
        <f t="shared" si="8"/>
        <v/>
      </c>
      <c r="P18" s="2">
        <f t="shared" si="9"/>
        <v>3.3022564081160963</v>
      </c>
    </row>
    <row r="19" spans="3:16" ht="17.5" thickBot="1" x14ac:dyDescent="0.4">
      <c r="C19" s="1">
        <f t="shared" si="0"/>
        <v>17</v>
      </c>
      <c r="D19" s="2">
        <f t="shared" si="1"/>
        <v>0.80000000000000027</v>
      </c>
      <c r="E19" s="2">
        <f t="shared" si="2"/>
        <v>-6.4915814649162717</v>
      </c>
      <c r="F19" s="2" t="str">
        <f>(IF(C19=$A$7+1,E19,""))</f>
        <v/>
      </c>
      <c r="G19" s="2">
        <f t="shared" si="3"/>
        <v>-6.4915814649162717</v>
      </c>
      <c r="K19" s="1">
        <f t="shared" si="4"/>
        <v>17</v>
      </c>
      <c r="L19" s="2">
        <f t="shared" si="5"/>
        <v>0.80000000000000027</v>
      </c>
      <c r="M19" s="18">
        <f t="shared" si="6"/>
        <v>-6.4915814649162717</v>
      </c>
      <c r="N19" s="2">
        <f t="shared" si="7"/>
        <v>6.4915814649162717</v>
      </c>
      <c r="O19" s="2" t="str">
        <f t="shared" si="8"/>
        <v/>
      </c>
      <c r="P19" s="2">
        <f t="shared" si="9"/>
        <v>6.4915814649162717</v>
      </c>
    </row>
    <row r="20" spans="3:16" ht="17.5" thickBot="1" x14ac:dyDescent="0.4">
      <c r="C20" s="1">
        <f t="shared" si="0"/>
        <v>18</v>
      </c>
      <c r="D20" s="2">
        <f t="shared" si="1"/>
        <v>0.97500000000000031</v>
      </c>
      <c r="E20" s="2">
        <f t="shared" si="2"/>
        <v>-6.5919685622021698</v>
      </c>
      <c r="F20" s="2" t="str">
        <f>(IF(C20=$A$7+1,E20,""))</f>
        <v/>
      </c>
      <c r="G20" s="2">
        <f t="shared" si="3"/>
        <v>-6.5919685622021698</v>
      </c>
      <c r="K20" s="1">
        <f t="shared" si="4"/>
        <v>18</v>
      </c>
      <c r="L20" s="2">
        <f t="shared" si="5"/>
        <v>0.97500000000000031</v>
      </c>
      <c r="M20" s="18">
        <f t="shared" si="6"/>
        <v>-6.5919685622021698</v>
      </c>
      <c r="N20" s="2">
        <f t="shared" si="7"/>
        <v>6.5919685622021698</v>
      </c>
      <c r="O20" s="2" t="str">
        <f t="shared" si="8"/>
        <v/>
      </c>
      <c r="P20" s="2">
        <f t="shared" si="9"/>
        <v>6.5919685622021698</v>
      </c>
    </row>
    <row r="21" spans="3:16" ht="17.5" thickBot="1" x14ac:dyDescent="0.4">
      <c r="C21" s="1">
        <f t="shared" si="0"/>
        <v>19</v>
      </c>
      <c r="D21" s="2">
        <f t="shared" si="1"/>
        <v>1.1500000000000004</v>
      </c>
      <c r="E21" s="2">
        <f t="shared" si="2"/>
        <v>-2.3781209581384868</v>
      </c>
      <c r="F21" s="2" t="str">
        <f>(IF(C21=$A$7+1,E21,""))</f>
        <v/>
      </c>
      <c r="G21" s="2">
        <f t="shared" si="3"/>
        <v>-2.3781209581384868</v>
      </c>
      <c r="K21" s="1">
        <f t="shared" si="4"/>
        <v>19</v>
      </c>
      <c r="L21" s="2">
        <f t="shared" si="5"/>
        <v>1.1500000000000004</v>
      </c>
      <c r="M21" s="18">
        <f t="shared" si="6"/>
        <v>-2.3781209581384868</v>
      </c>
      <c r="N21" s="2">
        <f t="shared" si="7"/>
        <v>2.3781209581384868</v>
      </c>
      <c r="O21" s="2" t="str">
        <f t="shared" si="8"/>
        <v/>
      </c>
      <c r="P21" s="2">
        <f t="shared" si="9"/>
        <v>2.3781209581384868</v>
      </c>
    </row>
    <row r="22" spans="3:16" ht="17.5" thickBot="1" x14ac:dyDescent="0.4">
      <c r="C22" s="1">
        <f t="shared" si="0"/>
        <v>20</v>
      </c>
      <c r="D22" s="2">
        <f t="shared" si="1"/>
        <v>1.3250000000000004</v>
      </c>
      <c r="E22" s="2">
        <f t="shared" si="2"/>
        <v>3.3347470498233887</v>
      </c>
      <c r="F22" s="2" t="str">
        <f>(IF(C22=$A$7+1,E22,""))</f>
        <v/>
      </c>
      <c r="G22" s="2">
        <f t="shared" si="3"/>
        <v>3.3347470498233887</v>
      </c>
      <c r="K22" s="1">
        <f t="shared" si="4"/>
        <v>20</v>
      </c>
      <c r="L22" s="2">
        <f t="shared" si="5"/>
        <v>1.3250000000000004</v>
      </c>
      <c r="M22" s="18">
        <f t="shared" si="6"/>
        <v>3.3347470498233887</v>
      </c>
      <c r="N22" s="2">
        <f t="shared" si="7"/>
        <v>3.3347470498233887</v>
      </c>
      <c r="O22" s="2" t="str">
        <f t="shared" si="8"/>
        <v/>
      </c>
      <c r="P22" s="2">
        <f t="shared" si="9"/>
        <v>3.3347470498233887</v>
      </c>
    </row>
    <row r="23" spans="3:16" ht="17.5" thickBot="1" x14ac:dyDescent="0.4">
      <c r="C23" s="1">
        <f t="shared" si="0"/>
        <v>21</v>
      </c>
      <c r="D23" s="2">
        <f t="shared" si="1"/>
        <v>1.5000000000000004</v>
      </c>
      <c r="E23" s="2">
        <f t="shared" si="2"/>
        <v>4.4336373502667801</v>
      </c>
      <c r="F23" s="2">
        <f>(IF(C23=$A$7+1,E23,""))</f>
        <v>4.4336373502667801</v>
      </c>
      <c r="G23" s="2" t="str">
        <f t="shared" si="3"/>
        <v/>
      </c>
      <c r="K23" s="1">
        <f t="shared" si="4"/>
        <v>21</v>
      </c>
      <c r="L23" s="2">
        <f t="shared" si="5"/>
        <v>1.5000000000000004</v>
      </c>
      <c r="M23" s="18">
        <f t="shared" si="6"/>
        <v>4.4336373502667801</v>
      </c>
      <c r="N23" s="2">
        <f t="shared" si="7"/>
        <v>4.4336373502667801</v>
      </c>
      <c r="O23" s="2">
        <f t="shared" si="8"/>
        <v>4.4336373502667801</v>
      </c>
      <c r="P23" s="2" t="str">
        <f t="shared" si="9"/>
        <v/>
      </c>
    </row>
    <row r="24" spans="3:16" ht="17.5" thickBot="1" x14ac:dyDescent="0.4">
      <c r="C24" s="1" t="str">
        <f t="shared" si="0"/>
        <v/>
      </c>
      <c r="D24" s="2" t="str">
        <f t="shared" si="1"/>
        <v/>
      </c>
      <c r="E24" s="2" t="str">
        <f t="shared" si="2"/>
        <v/>
      </c>
      <c r="F24" s="2" t="str">
        <f>(IF(C24=$A$7+1,E24,""))</f>
        <v/>
      </c>
      <c r="G24" s="2" t="str">
        <f t="shared" si="3"/>
        <v/>
      </c>
      <c r="K24" s="1" t="str">
        <f t="shared" si="4"/>
        <v/>
      </c>
      <c r="L24" s="2" t="str">
        <f t="shared" si="5"/>
        <v/>
      </c>
      <c r="M24" s="18" t="str">
        <f t="shared" si="6"/>
        <v/>
      </c>
      <c r="N24" s="2" t="str">
        <f t="shared" si="7"/>
        <v/>
      </c>
      <c r="O24" s="2" t="str">
        <f t="shared" si="8"/>
        <v/>
      </c>
      <c r="P24" s="2" t="str">
        <f t="shared" si="9"/>
        <v/>
      </c>
    </row>
    <row r="25" spans="3:16" ht="17.5" thickBot="1" x14ac:dyDescent="0.4">
      <c r="C25" s="1" t="str">
        <f t="shared" si="0"/>
        <v/>
      </c>
      <c r="D25" s="2" t="str">
        <f t="shared" si="1"/>
        <v/>
      </c>
      <c r="E25" s="2" t="str">
        <f t="shared" si="2"/>
        <v/>
      </c>
      <c r="F25" s="2" t="str">
        <f>(IF(C25=$A$7+1,E25,""))</f>
        <v/>
      </c>
      <c r="G25" s="2" t="str">
        <f t="shared" si="3"/>
        <v/>
      </c>
      <c r="K25" s="1" t="str">
        <f t="shared" si="4"/>
        <v/>
      </c>
      <c r="L25" s="2" t="str">
        <f t="shared" si="5"/>
        <v/>
      </c>
      <c r="M25" s="18" t="str">
        <f t="shared" si="6"/>
        <v/>
      </c>
      <c r="N25" s="2" t="str">
        <f t="shared" si="7"/>
        <v/>
      </c>
      <c r="O25" s="2" t="str">
        <f t="shared" si="8"/>
        <v/>
      </c>
      <c r="P25" s="2" t="str">
        <f t="shared" si="9"/>
        <v/>
      </c>
    </row>
    <row r="26" spans="3:16" ht="17.5" thickBot="1" x14ac:dyDescent="0.4">
      <c r="C26" s="1" t="str">
        <f t="shared" si="0"/>
        <v/>
      </c>
      <c r="D26" s="2" t="str">
        <f t="shared" si="1"/>
        <v/>
      </c>
      <c r="E26" s="2" t="str">
        <f t="shared" si="2"/>
        <v/>
      </c>
      <c r="F26" s="2" t="str">
        <f>(IF(C26=$A$7+1,E26,""))</f>
        <v/>
      </c>
      <c r="G26" s="2" t="str">
        <f t="shared" si="3"/>
        <v/>
      </c>
      <c r="K26" s="1" t="str">
        <f t="shared" si="4"/>
        <v/>
      </c>
      <c r="L26" s="2" t="str">
        <f t="shared" si="5"/>
        <v/>
      </c>
      <c r="M26" s="18" t="str">
        <f t="shared" si="6"/>
        <v/>
      </c>
      <c r="N26" s="2" t="str">
        <f t="shared" si="7"/>
        <v/>
      </c>
      <c r="O26" s="2" t="str">
        <f t="shared" si="8"/>
        <v/>
      </c>
      <c r="P26" s="2" t="str">
        <f t="shared" si="9"/>
        <v/>
      </c>
    </row>
    <row r="27" spans="3:16" ht="17.5" thickBot="1" x14ac:dyDescent="0.4">
      <c r="C27" s="1" t="str">
        <f t="shared" si="0"/>
        <v/>
      </c>
      <c r="D27" s="2" t="str">
        <f t="shared" si="1"/>
        <v/>
      </c>
      <c r="E27" s="2" t="str">
        <f t="shared" si="2"/>
        <v/>
      </c>
      <c r="F27" s="2" t="str">
        <f>(IF(C27=$A$7+1,E27,""))</f>
        <v/>
      </c>
      <c r="G27" s="2" t="str">
        <f t="shared" si="3"/>
        <v/>
      </c>
      <c r="K27" s="1" t="str">
        <f t="shared" si="4"/>
        <v/>
      </c>
      <c r="L27" s="2" t="str">
        <f t="shared" si="5"/>
        <v/>
      </c>
      <c r="M27" s="18" t="str">
        <f t="shared" si="6"/>
        <v/>
      </c>
      <c r="N27" s="2" t="str">
        <f t="shared" si="7"/>
        <v/>
      </c>
      <c r="O27" s="2" t="str">
        <f t="shared" si="8"/>
        <v/>
      </c>
      <c r="P27" s="2" t="str">
        <f t="shared" si="9"/>
        <v/>
      </c>
    </row>
    <row r="28" spans="3:16" ht="17.5" thickBot="1" x14ac:dyDescent="0.4">
      <c r="C28" s="1" t="str">
        <f t="shared" si="0"/>
        <v/>
      </c>
      <c r="D28" s="2" t="str">
        <f t="shared" si="1"/>
        <v/>
      </c>
      <c r="E28" s="2" t="str">
        <f t="shared" si="2"/>
        <v/>
      </c>
      <c r="F28" s="2" t="str">
        <f>(IF(C28=$A$7+1,E28,""))</f>
        <v/>
      </c>
      <c r="G28" s="2" t="str">
        <f t="shared" si="3"/>
        <v/>
      </c>
      <c r="K28" s="1" t="str">
        <f t="shared" si="4"/>
        <v/>
      </c>
      <c r="L28" s="2" t="str">
        <f t="shared" si="5"/>
        <v/>
      </c>
      <c r="M28" s="18" t="str">
        <f t="shared" si="6"/>
        <v/>
      </c>
      <c r="N28" s="2" t="str">
        <f t="shared" si="7"/>
        <v/>
      </c>
      <c r="O28" s="2" t="str">
        <f t="shared" si="8"/>
        <v/>
      </c>
      <c r="P28" s="2" t="str">
        <f t="shared" si="9"/>
        <v/>
      </c>
    </row>
    <row r="29" spans="3:16" ht="17.5" thickBot="1" x14ac:dyDescent="0.4">
      <c r="C29" s="1" t="str">
        <f t="shared" si="0"/>
        <v/>
      </c>
      <c r="D29" s="2" t="str">
        <f t="shared" si="1"/>
        <v/>
      </c>
      <c r="E29" s="2" t="str">
        <f t="shared" si="2"/>
        <v/>
      </c>
      <c r="F29" s="2" t="str">
        <f>(IF(C29=$A$7+1,E29,""))</f>
        <v/>
      </c>
      <c r="G29" s="2" t="str">
        <f t="shared" si="3"/>
        <v/>
      </c>
      <c r="K29" s="1" t="str">
        <f t="shared" si="4"/>
        <v/>
      </c>
      <c r="L29" s="2" t="str">
        <f t="shared" si="5"/>
        <v/>
      </c>
      <c r="M29" s="18" t="str">
        <f t="shared" si="6"/>
        <v/>
      </c>
      <c r="N29" s="2" t="str">
        <f t="shared" si="7"/>
        <v/>
      </c>
      <c r="O29" s="2" t="str">
        <f t="shared" si="8"/>
        <v/>
      </c>
      <c r="P29" s="2" t="str">
        <f t="shared" si="9"/>
        <v/>
      </c>
    </row>
    <row r="30" spans="3:16" ht="17.5" thickBot="1" x14ac:dyDescent="0.4">
      <c r="C30" s="1" t="str">
        <f t="shared" si="0"/>
        <v/>
      </c>
      <c r="D30" s="2" t="str">
        <f t="shared" si="1"/>
        <v/>
      </c>
      <c r="E30" s="2" t="str">
        <f t="shared" si="2"/>
        <v/>
      </c>
      <c r="F30" s="2" t="str">
        <f>(IF(C30=$A$7+1,E30,""))</f>
        <v/>
      </c>
      <c r="G30" s="2" t="str">
        <f t="shared" si="3"/>
        <v/>
      </c>
      <c r="K30" s="1" t="str">
        <f t="shared" si="4"/>
        <v/>
      </c>
      <c r="L30" s="2" t="str">
        <f t="shared" si="5"/>
        <v/>
      </c>
      <c r="M30" s="18" t="str">
        <f t="shared" si="6"/>
        <v/>
      </c>
      <c r="N30" s="2" t="str">
        <f t="shared" si="7"/>
        <v/>
      </c>
      <c r="O30" s="2" t="str">
        <f t="shared" si="8"/>
        <v/>
      </c>
      <c r="P30" s="2" t="str">
        <f t="shared" si="9"/>
        <v/>
      </c>
    </row>
    <row r="31" spans="3:16" ht="17.5" thickBot="1" x14ac:dyDescent="0.4">
      <c r="C31" s="1" t="str">
        <f t="shared" si="0"/>
        <v/>
      </c>
      <c r="D31" s="2" t="str">
        <f t="shared" si="1"/>
        <v/>
      </c>
      <c r="E31" s="2" t="str">
        <f t="shared" si="2"/>
        <v/>
      </c>
      <c r="F31" s="2" t="str">
        <f>(IF(C31=$A$7+1,E31,""))</f>
        <v/>
      </c>
      <c r="G31" s="2" t="str">
        <f t="shared" si="3"/>
        <v/>
      </c>
      <c r="K31" s="1" t="str">
        <f t="shared" si="4"/>
        <v/>
      </c>
      <c r="L31" s="2" t="str">
        <f t="shared" si="5"/>
        <v/>
      </c>
      <c r="M31" s="18" t="str">
        <f t="shared" si="6"/>
        <v/>
      </c>
      <c r="N31" s="2" t="str">
        <f t="shared" si="7"/>
        <v/>
      </c>
      <c r="O31" s="2" t="str">
        <f t="shared" si="8"/>
        <v/>
      </c>
      <c r="P31" s="2" t="str">
        <f t="shared" si="9"/>
        <v/>
      </c>
    </row>
    <row r="32" spans="3:16" ht="17.5" thickBot="1" x14ac:dyDescent="0.4">
      <c r="C32" s="1" t="str">
        <f t="shared" si="0"/>
        <v/>
      </c>
      <c r="D32" s="2" t="str">
        <f t="shared" si="1"/>
        <v/>
      </c>
      <c r="E32" s="2" t="str">
        <f t="shared" si="2"/>
        <v/>
      </c>
      <c r="F32" s="2" t="str">
        <f>(IF(C32=$A$7+1,E32,""))</f>
        <v/>
      </c>
      <c r="G32" s="2" t="str">
        <f t="shared" si="3"/>
        <v/>
      </c>
      <c r="K32" s="1" t="str">
        <f t="shared" si="4"/>
        <v/>
      </c>
      <c r="L32" s="2" t="str">
        <f t="shared" si="5"/>
        <v/>
      </c>
      <c r="M32" s="18" t="str">
        <f t="shared" si="6"/>
        <v/>
      </c>
      <c r="N32" s="2" t="str">
        <f t="shared" si="7"/>
        <v/>
      </c>
      <c r="O32" s="2" t="str">
        <f t="shared" si="8"/>
        <v/>
      </c>
      <c r="P32" s="2" t="str">
        <f t="shared" si="9"/>
        <v/>
      </c>
    </row>
    <row r="33" spans="3:16" ht="17.5" thickBot="1" x14ac:dyDescent="0.4">
      <c r="C33" s="1" t="str">
        <f t="shared" si="0"/>
        <v/>
      </c>
      <c r="D33" s="2" t="str">
        <f t="shared" si="1"/>
        <v/>
      </c>
      <c r="E33" s="2" t="str">
        <f t="shared" si="2"/>
        <v/>
      </c>
      <c r="F33" s="2" t="str">
        <f>(IF(C33=$A$7+1,E33,""))</f>
        <v/>
      </c>
      <c r="G33" s="2" t="str">
        <f t="shared" si="3"/>
        <v/>
      </c>
      <c r="K33" s="1" t="str">
        <f t="shared" si="4"/>
        <v/>
      </c>
      <c r="L33" s="2" t="str">
        <f t="shared" si="5"/>
        <v/>
      </c>
      <c r="M33" s="18" t="str">
        <f t="shared" si="6"/>
        <v/>
      </c>
      <c r="N33" s="2" t="str">
        <f t="shared" si="7"/>
        <v/>
      </c>
      <c r="O33" s="2" t="str">
        <f t="shared" si="8"/>
        <v/>
      </c>
      <c r="P33" s="2" t="str">
        <f t="shared" si="9"/>
        <v/>
      </c>
    </row>
    <row r="34" spans="3:16" ht="17.5" thickBot="1" x14ac:dyDescent="0.4">
      <c r="C34" s="1" t="str">
        <f t="shared" si="0"/>
        <v/>
      </c>
      <c r="D34" s="2" t="str">
        <f t="shared" si="1"/>
        <v/>
      </c>
      <c r="E34" s="2" t="str">
        <f t="shared" si="2"/>
        <v/>
      </c>
      <c r="F34" s="2" t="str">
        <f>(IF(C34=$A$7+1,E34,""))</f>
        <v/>
      </c>
      <c r="G34" s="2" t="str">
        <f t="shared" si="3"/>
        <v/>
      </c>
      <c r="K34" s="1" t="str">
        <f t="shared" si="4"/>
        <v/>
      </c>
      <c r="L34" s="2" t="str">
        <f t="shared" si="5"/>
        <v/>
      </c>
      <c r="M34" s="18" t="str">
        <f t="shared" si="6"/>
        <v/>
      </c>
      <c r="N34" s="2" t="str">
        <f t="shared" si="7"/>
        <v/>
      </c>
      <c r="O34" s="2" t="str">
        <f t="shared" si="8"/>
        <v/>
      </c>
      <c r="P34" s="2" t="str">
        <f t="shared" si="9"/>
        <v/>
      </c>
    </row>
    <row r="35" spans="3:16" ht="17.5" thickBot="1" x14ac:dyDescent="0.4">
      <c r="C35" s="1" t="str">
        <f t="shared" si="0"/>
        <v/>
      </c>
      <c r="D35" s="2" t="str">
        <f t="shared" si="1"/>
        <v/>
      </c>
      <c r="E35" s="2" t="str">
        <f t="shared" si="2"/>
        <v/>
      </c>
      <c r="F35" s="2" t="str">
        <f>(IF(C35=$A$7+1,E35,""))</f>
        <v/>
      </c>
      <c r="G35" s="2" t="str">
        <f t="shared" si="3"/>
        <v/>
      </c>
      <c r="K35" s="1" t="str">
        <f t="shared" si="4"/>
        <v/>
      </c>
      <c r="L35" s="2" t="str">
        <f t="shared" si="5"/>
        <v/>
      </c>
      <c r="M35" s="18" t="str">
        <f t="shared" si="6"/>
        <v/>
      </c>
      <c r="N35" s="2" t="str">
        <f t="shared" si="7"/>
        <v/>
      </c>
      <c r="O35" s="2" t="str">
        <f t="shared" si="8"/>
        <v/>
      </c>
      <c r="P35" s="2" t="str">
        <f t="shared" si="9"/>
        <v/>
      </c>
    </row>
    <row r="36" spans="3:16" ht="17.5" thickBot="1" x14ac:dyDescent="0.4">
      <c r="C36" s="1" t="str">
        <f t="shared" si="0"/>
        <v/>
      </c>
      <c r="D36" s="2" t="str">
        <f t="shared" si="1"/>
        <v/>
      </c>
      <c r="E36" s="2" t="str">
        <f t="shared" si="2"/>
        <v/>
      </c>
      <c r="F36" s="2" t="str">
        <f>(IF(C36=$A$7+1,E36,""))</f>
        <v/>
      </c>
      <c r="G36" s="2" t="str">
        <f t="shared" si="3"/>
        <v/>
      </c>
      <c r="K36" s="1" t="str">
        <f t="shared" si="4"/>
        <v/>
      </c>
      <c r="L36" s="2" t="str">
        <f t="shared" si="5"/>
        <v/>
      </c>
      <c r="M36" s="18" t="str">
        <f t="shared" si="6"/>
        <v/>
      </c>
      <c r="N36" s="2" t="str">
        <f t="shared" si="7"/>
        <v/>
      </c>
      <c r="O36" s="2" t="str">
        <f t="shared" si="8"/>
        <v/>
      </c>
      <c r="P36" s="2" t="str">
        <f t="shared" si="9"/>
        <v/>
      </c>
    </row>
    <row r="37" spans="3:16" ht="17.5" thickBot="1" x14ac:dyDescent="0.4">
      <c r="C37" s="1" t="str">
        <f t="shared" si="0"/>
        <v/>
      </c>
      <c r="D37" s="2" t="str">
        <f t="shared" si="1"/>
        <v/>
      </c>
      <c r="E37" s="2" t="str">
        <f t="shared" si="2"/>
        <v/>
      </c>
      <c r="F37" s="2" t="str">
        <f>(IF(C37=$A$7+1,E37,""))</f>
        <v/>
      </c>
      <c r="G37" s="2" t="str">
        <f t="shared" si="3"/>
        <v/>
      </c>
      <c r="K37" s="1" t="str">
        <f t="shared" si="4"/>
        <v/>
      </c>
      <c r="L37" s="2" t="str">
        <f t="shared" si="5"/>
        <v/>
      </c>
      <c r="M37" s="18" t="str">
        <f t="shared" si="6"/>
        <v/>
      </c>
      <c r="N37" s="2" t="str">
        <f t="shared" si="7"/>
        <v/>
      </c>
      <c r="O37" s="2" t="str">
        <f t="shared" si="8"/>
        <v/>
      </c>
      <c r="P37" s="2" t="str">
        <f t="shared" si="9"/>
        <v/>
      </c>
    </row>
    <row r="38" spans="3:16" ht="17.5" thickBot="1" x14ac:dyDescent="0.4">
      <c r="C38" s="1" t="str">
        <f t="shared" si="0"/>
        <v/>
      </c>
      <c r="D38" s="2" t="str">
        <f t="shared" si="1"/>
        <v/>
      </c>
      <c r="E38" s="2" t="str">
        <f t="shared" si="2"/>
        <v/>
      </c>
      <c r="F38" s="2" t="str">
        <f>(IF(C38=$A$7+1,E38,""))</f>
        <v/>
      </c>
      <c r="G38" s="2" t="str">
        <f t="shared" si="3"/>
        <v/>
      </c>
      <c r="K38" s="1" t="str">
        <f t="shared" si="4"/>
        <v/>
      </c>
      <c r="L38" s="2" t="str">
        <f t="shared" si="5"/>
        <v/>
      </c>
      <c r="M38" s="18" t="str">
        <f t="shared" si="6"/>
        <v/>
      </c>
      <c r="N38" s="2" t="str">
        <f t="shared" si="7"/>
        <v/>
      </c>
      <c r="O38" s="2" t="str">
        <f t="shared" si="8"/>
        <v/>
      </c>
      <c r="P38" s="2" t="str">
        <f t="shared" si="9"/>
        <v/>
      </c>
    </row>
    <row r="39" spans="3:16" ht="17.5" thickBot="1" x14ac:dyDescent="0.4">
      <c r="C39" s="1" t="str">
        <f t="shared" si="0"/>
        <v/>
      </c>
      <c r="D39" s="2" t="str">
        <f t="shared" si="1"/>
        <v/>
      </c>
      <c r="E39" s="2" t="str">
        <f t="shared" si="2"/>
        <v/>
      </c>
      <c r="F39" s="2" t="str">
        <f>(IF(C39=$A$7+1,E39,""))</f>
        <v/>
      </c>
      <c r="G39" s="2" t="str">
        <f t="shared" si="3"/>
        <v/>
      </c>
      <c r="K39" s="1" t="str">
        <f t="shared" si="4"/>
        <v/>
      </c>
      <c r="L39" s="2" t="str">
        <f t="shared" si="5"/>
        <v/>
      </c>
      <c r="M39" s="18" t="str">
        <f t="shared" si="6"/>
        <v/>
      </c>
      <c r="N39" s="2" t="str">
        <f t="shared" si="7"/>
        <v/>
      </c>
      <c r="O39" s="2" t="str">
        <f t="shared" si="8"/>
        <v/>
      </c>
      <c r="P39" s="2" t="str">
        <f t="shared" si="9"/>
        <v/>
      </c>
    </row>
    <row r="40" spans="3:16" ht="17.5" thickBot="1" x14ac:dyDescent="0.4">
      <c r="C40" s="1" t="str">
        <f t="shared" si="0"/>
        <v/>
      </c>
      <c r="D40" s="2" t="str">
        <f t="shared" si="1"/>
        <v/>
      </c>
      <c r="E40" s="2" t="str">
        <f t="shared" si="2"/>
        <v/>
      </c>
      <c r="F40" s="2" t="str">
        <f>(IF(C40=$A$7+1,E40,""))</f>
        <v/>
      </c>
      <c r="G40" s="2" t="str">
        <f t="shared" si="3"/>
        <v/>
      </c>
      <c r="K40" s="1" t="str">
        <f t="shared" si="4"/>
        <v/>
      </c>
      <c r="L40" s="2" t="str">
        <f t="shared" si="5"/>
        <v/>
      </c>
      <c r="M40" s="18" t="str">
        <f t="shared" si="6"/>
        <v/>
      </c>
      <c r="N40" s="2" t="str">
        <f t="shared" si="7"/>
        <v/>
      </c>
      <c r="O40" s="2" t="str">
        <f t="shared" si="8"/>
        <v/>
      </c>
      <c r="P40" s="2" t="str">
        <f t="shared" si="9"/>
        <v/>
      </c>
    </row>
    <row r="41" spans="3:16" ht="17.5" thickBot="1" x14ac:dyDescent="0.4">
      <c r="C41" s="1" t="str">
        <f t="shared" si="0"/>
        <v/>
      </c>
      <c r="D41" s="2" t="str">
        <f t="shared" si="1"/>
        <v/>
      </c>
      <c r="E41" s="2" t="str">
        <f t="shared" si="2"/>
        <v/>
      </c>
      <c r="F41" s="2" t="str">
        <f>(IF(C41=$A$7+1,E41,""))</f>
        <v/>
      </c>
      <c r="G41" s="2" t="str">
        <f t="shared" si="3"/>
        <v/>
      </c>
      <c r="K41" s="1" t="str">
        <f t="shared" si="4"/>
        <v/>
      </c>
      <c r="L41" s="2" t="str">
        <f t="shared" si="5"/>
        <v/>
      </c>
      <c r="M41" s="18" t="str">
        <f t="shared" si="6"/>
        <v/>
      </c>
      <c r="N41" s="2" t="str">
        <f t="shared" si="7"/>
        <v/>
      </c>
      <c r="O41" s="2" t="str">
        <f t="shared" si="8"/>
        <v/>
      </c>
      <c r="P41" s="2" t="str">
        <f t="shared" si="9"/>
        <v/>
      </c>
    </row>
    <row r="42" spans="3:16" ht="17.5" thickBot="1" x14ac:dyDescent="0.4">
      <c r="C42" s="1" t="str">
        <f t="shared" si="0"/>
        <v/>
      </c>
      <c r="D42" s="2" t="str">
        <f t="shared" si="1"/>
        <v/>
      </c>
      <c r="E42" s="2" t="str">
        <f t="shared" si="2"/>
        <v/>
      </c>
      <c r="F42" s="2" t="str">
        <f>(IF(C42=$A$7+1,E42,""))</f>
        <v/>
      </c>
      <c r="G42" s="2" t="str">
        <f t="shared" si="3"/>
        <v/>
      </c>
      <c r="K42" s="1" t="str">
        <f t="shared" si="4"/>
        <v/>
      </c>
      <c r="L42" s="2" t="str">
        <f t="shared" si="5"/>
        <v/>
      </c>
      <c r="M42" s="18" t="str">
        <f t="shared" si="6"/>
        <v/>
      </c>
      <c r="N42" s="2" t="str">
        <f t="shared" si="7"/>
        <v/>
      </c>
      <c r="O42" s="2" t="str">
        <f t="shared" si="8"/>
        <v/>
      </c>
      <c r="P42" s="2" t="str">
        <f t="shared" si="9"/>
        <v/>
      </c>
    </row>
    <row r="43" spans="3:16" ht="17.5" thickBot="1" x14ac:dyDescent="0.4">
      <c r="C43" s="1" t="str">
        <f t="shared" si="0"/>
        <v/>
      </c>
      <c r="D43" s="2" t="str">
        <f t="shared" si="1"/>
        <v/>
      </c>
      <c r="E43" s="2" t="str">
        <f t="shared" si="2"/>
        <v/>
      </c>
      <c r="F43" s="2" t="str">
        <f>(IF(C43=$A$7+1,E43,""))</f>
        <v/>
      </c>
      <c r="G43" s="2" t="str">
        <f t="shared" si="3"/>
        <v/>
      </c>
      <c r="K43" s="1" t="str">
        <f t="shared" si="4"/>
        <v/>
      </c>
      <c r="L43" s="2" t="str">
        <f t="shared" si="5"/>
        <v/>
      </c>
      <c r="M43" s="18" t="str">
        <f t="shared" si="6"/>
        <v/>
      </c>
      <c r="N43" s="2" t="str">
        <f t="shared" si="7"/>
        <v/>
      </c>
      <c r="O43" s="2" t="str">
        <f t="shared" si="8"/>
        <v/>
      </c>
      <c r="P43" s="2" t="str">
        <f t="shared" si="9"/>
        <v/>
      </c>
    </row>
    <row r="44" spans="3:16" ht="17.5" thickBot="1" x14ac:dyDescent="0.4">
      <c r="C44" s="1" t="str">
        <f t="shared" si="0"/>
        <v/>
      </c>
      <c r="D44" s="2" t="str">
        <f t="shared" si="1"/>
        <v/>
      </c>
      <c r="E44" s="2" t="str">
        <f t="shared" si="2"/>
        <v/>
      </c>
      <c r="F44" s="2" t="str">
        <f>(IF(C44=$A$7+1,E44,""))</f>
        <v/>
      </c>
      <c r="G44" s="2" t="str">
        <f t="shared" si="3"/>
        <v/>
      </c>
      <c r="K44" s="1" t="str">
        <f t="shared" si="4"/>
        <v/>
      </c>
      <c r="L44" s="2" t="str">
        <f t="shared" si="5"/>
        <v/>
      </c>
      <c r="M44" s="18" t="str">
        <f t="shared" si="6"/>
        <v/>
      </c>
      <c r="N44" s="2" t="str">
        <f t="shared" si="7"/>
        <v/>
      </c>
      <c r="O44" s="2" t="str">
        <f t="shared" si="8"/>
        <v/>
      </c>
      <c r="P44" s="2" t="str">
        <f t="shared" si="9"/>
        <v/>
      </c>
    </row>
    <row r="45" spans="3:16" ht="17.5" thickBot="1" x14ac:dyDescent="0.4">
      <c r="C45" s="1" t="str">
        <f t="shared" si="0"/>
        <v/>
      </c>
      <c r="D45" s="2" t="str">
        <f t="shared" si="1"/>
        <v/>
      </c>
      <c r="E45" s="2" t="str">
        <f t="shared" si="2"/>
        <v/>
      </c>
      <c r="F45" s="2" t="str">
        <f>(IF(C45=$A$7+1,E45,""))</f>
        <v/>
      </c>
      <c r="G45" s="2" t="str">
        <f t="shared" si="3"/>
        <v/>
      </c>
      <c r="K45" s="1" t="str">
        <f t="shared" si="4"/>
        <v/>
      </c>
      <c r="L45" s="2" t="str">
        <f t="shared" si="5"/>
        <v/>
      </c>
      <c r="M45" s="18" t="str">
        <f t="shared" si="6"/>
        <v/>
      </c>
      <c r="N45" s="2" t="str">
        <f t="shared" si="7"/>
        <v/>
      </c>
      <c r="O45" s="2" t="str">
        <f t="shared" si="8"/>
        <v/>
      </c>
      <c r="P45" s="2" t="str">
        <f t="shared" si="9"/>
        <v/>
      </c>
    </row>
    <row r="46" spans="3:16" ht="17.5" thickBot="1" x14ac:dyDescent="0.4">
      <c r="C46" s="1" t="str">
        <f t="shared" si="0"/>
        <v/>
      </c>
      <c r="D46" s="2" t="str">
        <f t="shared" si="1"/>
        <v/>
      </c>
      <c r="E46" s="2" t="str">
        <f t="shared" si="2"/>
        <v/>
      </c>
      <c r="F46" s="2" t="str">
        <f>(IF(C46=$A$7+1,E46,""))</f>
        <v/>
      </c>
      <c r="G46" s="2" t="str">
        <f t="shared" si="3"/>
        <v/>
      </c>
      <c r="K46" s="1" t="str">
        <f t="shared" si="4"/>
        <v/>
      </c>
      <c r="L46" s="2" t="str">
        <f t="shared" si="5"/>
        <v/>
      </c>
      <c r="M46" s="18" t="str">
        <f t="shared" si="6"/>
        <v/>
      </c>
      <c r="N46" s="2" t="str">
        <f t="shared" si="7"/>
        <v/>
      </c>
      <c r="O46" s="2" t="str">
        <f t="shared" si="8"/>
        <v/>
      </c>
      <c r="P46" s="2" t="str">
        <f t="shared" si="9"/>
        <v/>
      </c>
    </row>
    <row r="47" spans="3:16" ht="17.5" thickBot="1" x14ac:dyDescent="0.4">
      <c r="C47" s="1" t="str">
        <f t="shared" si="0"/>
        <v/>
      </c>
      <c r="D47" s="2" t="str">
        <f t="shared" si="1"/>
        <v/>
      </c>
      <c r="E47" s="2" t="str">
        <f t="shared" si="2"/>
        <v/>
      </c>
      <c r="F47" s="2" t="str">
        <f>(IF(C47=$A$7+1,E47,""))</f>
        <v/>
      </c>
      <c r="G47" s="2" t="str">
        <f t="shared" si="3"/>
        <v/>
      </c>
      <c r="K47" s="1" t="str">
        <f t="shared" si="4"/>
        <v/>
      </c>
      <c r="L47" s="2" t="str">
        <f t="shared" si="5"/>
        <v/>
      </c>
      <c r="M47" s="18" t="str">
        <f t="shared" si="6"/>
        <v/>
      </c>
      <c r="N47" s="2" t="str">
        <f t="shared" si="7"/>
        <v/>
      </c>
      <c r="O47" s="2" t="str">
        <f t="shared" si="8"/>
        <v/>
      </c>
      <c r="P47" s="2" t="str">
        <f t="shared" si="9"/>
        <v/>
      </c>
    </row>
    <row r="48" spans="3:16" ht="17.5" thickBot="1" x14ac:dyDescent="0.4">
      <c r="C48" s="1" t="str">
        <f t="shared" si="0"/>
        <v/>
      </c>
      <c r="D48" s="2" t="str">
        <f t="shared" si="1"/>
        <v/>
      </c>
      <c r="E48" s="2" t="str">
        <f t="shared" si="2"/>
        <v/>
      </c>
      <c r="F48" s="2" t="str">
        <f>(IF(C48=$A$7+1,E48,""))</f>
        <v/>
      </c>
      <c r="G48" s="2" t="str">
        <f t="shared" si="3"/>
        <v/>
      </c>
      <c r="K48" s="1" t="str">
        <f t="shared" si="4"/>
        <v/>
      </c>
      <c r="L48" s="2" t="str">
        <f t="shared" si="5"/>
        <v/>
      </c>
      <c r="M48" s="18" t="str">
        <f t="shared" si="6"/>
        <v/>
      </c>
      <c r="N48" s="2" t="str">
        <f t="shared" si="7"/>
        <v/>
      </c>
      <c r="O48" s="2" t="str">
        <f t="shared" si="8"/>
        <v/>
      </c>
      <c r="P48" s="2" t="str">
        <f t="shared" si="9"/>
        <v/>
      </c>
    </row>
    <row r="49" spans="3:16" ht="17.5" thickBot="1" x14ac:dyDescent="0.4">
      <c r="C49" s="1" t="str">
        <f t="shared" si="0"/>
        <v/>
      </c>
      <c r="D49" s="2" t="str">
        <f t="shared" si="1"/>
        <v/>
      </c>
      <c r="E49" s="2" t="str">
        <f t="shared" si="2"/>
        <v/>
      </c>
      <c r="F49" s="2" t="str">
        <f>(IF(C49=$A$7+1,E49,""))</f>
        <v/>
      </c>
      <c r="G49" s="2" t="str">
        <f t="shared" si="3"/>
        <v/>
      </c>
      <c r="K49" s="1" t="str">
        <f t="shared" si="4"/>
        <v/>
      </c>
      <c r="L49" s="2" t="str">
        <f t="shared" si="5"/>
        <v/>
      </c>
      <c r="M49" s="18" t="str">
        <f t="shared" si="6"/>
        <v/>
      </c>
      <c r="N49" s="2" t="str">
        <f t="shared" si="7"/>
        <v/>
      </c>
      <c r="O49" s="2" t="str">
        <f t="shared" si="8"/>
        <v/>
      </c>
      <c r="P49" s="2" t="str">
        <f t="shared" si="9"/>
        <v/>
      </c>
    </row>
    <row r="50" spans="3:16" ht="17.5" thickBot="1" x14ac:dyDescent="0.4">
      <c r="C50" s="1" t="str">
        <f t="shared" si="0"/>
        <v/>
      </c>
      <c r="D50" s="2" t="str">
        <f t="shared" si="1"/>
        <v/>
      </c>
      <c r="E50" s="2" t="str">
        <f t="shared" si="2"/>
        <v/>
      </c>
      <c r="F50" s="2" t="str">
        <f>(IF(C50=$A$7+1,E50,""))</f>
        <v/>
      </c>
      <c r="G50" s="2" t="str">
        <f t="shared" si="3"/>
        <v/>
      </c>
      <c r="K50" s="1" t="str">
        <f t="shared" si="4"/>
        <v/>
      </c>
      <c r="L50" s="2" t="str">
        <f t="shared" si="5"/>
        <v/>
      </c>
      <c r="M50" s="18" t="str">
        <f t="shared" si="6"/>
        <v/>
      </c>
      <c r="N50" s="2" t="str">
        <f t="shared" si="7"/>
        <v/>
      </c>
      <c r="O50" s="2" t="str">
        <f t="shared" si="8"/>
        <v/>
      </c>
      <c r="P50" s="2" t="str">
        <f t="shared" si="9"/>
        <v/>
      </c>
    </row>
    <row r="51" spans="3:16" ht="17.5" thickBot="1" x14ac:dyDescent="0.4">
      <c r="C51" s="1" t="str">
        <f t="shared" si="0"/>
        <v/>
      </c>
      <c r="D51" s="2" t="str">
        <f t="shared" si="1"/>
        <v/>
      </c>
      <c r="E51" s="2" t="str">
        <f t="shared" si="2"/>
        <v/>
      </c>
      <c r="F51" s="2" t="str">
        <f>(IF(C51=$A$7+1,E51,""))</f>
        <v/>
      </c>
      <c r="G51" s="2" t="str">
        <f t="shared" si="3"/>
        <v/>
      </c>
      <c r="K51" s="1" t="str">
        <f t="shared" si="4"/>
        <v/>
      </c>
      <c r="L51" s="2" t="str">
        <f t="shared" si="5"/>
        <v/>
      </c>
      <c r="M51" s="18" t="str">
        <f t="shared" si="6"/>
        <v/>
      </c>
      <c r="N51" s="2" t="str">
        <f t="shared" si="7"/>
        <v/>
      </c>
      <c r="O51" s="2" t="str">
        <f t="shared" si="8"/>
        <v/>
      </c>
      <c r="P51" s="2" t="str">
        <f t="shared" si="9"/>
        <v/>
      </c>
    </row>
    <row r="52" spans="3:16" ht="17.5" thickBot="1" x14ac:dyDescent="0.4">
      <c r="C52" s="1" t="str">
        <f t="shared" si="0"/>
        <v/>
      </c>
      <c r="D52" s="2" t="str">
        <f t="shared" si="1"/>
        <v/>
      </c>
      <c r="E52" s="2" t="str">
        <f t="shared" si="2"/>
        <v/>
      </c>
      <c r="F52" s="2" t="str">
        <f>(IF(C52=$A$7+1,E52,""))</f>
        <v/>
      </c>
      <c r="G52" s="2" t="str">
        <f t="shared" si="3"/>
        <v/>
      </c>
      <c r="K52" s="1" t="str">
        <f t="shared" si="4"/>
        <v/>
      </c>
      <c r="L52" s="2" t="str">
        <f t="shared" si="5"/>
        <v/>
      </c>
      <c r="M52" s="18" t="str">
        <f t="shared" si="6"/>
        <v/>
      </c>
      <c r="N52" s="2" t="str">
        <f t="shared" si="7"/>
        <v/>
      </c>
      <c r="O52" s="2" t="str">
        <f t="shared" si="8"/>
        <v/>
      </c>
      <c r="P52" s="2" t="str">
        <f t="shared" si="9"/>
        <v/>
      </c>
    </row>
    <row r="53" spans="3:16" ht="17.5" thickBot="1" x14ac:dyDescent="0.4">
      <c r="C53" s="1" t="str">
        <f t="shared" si="0"/>
        <v/>
      </c>
      <c r="D53" s="2" t="str">
        <f t="shared" si="1"/>
        <v/>
      </c>
      <c r="E53" s="2" t="str">
        <f t="shared" si="2"/>
        <v/>
      </c>
      <c r="F53" s="2" t="str">
        <f>(IF(C53=$A$7+1,E53,""))</f>
        <v/>
      </c>
      <c r="G53" s="2" t="str">
        <f t="shared" si="3"/>
        <v/>
      </c>
      <c r="K53" s="1" t="str">
        <f t="shared" si="4"/>
        <v/>
      </c>
      <c r="L53" s="2" t="str">
        <f t="shared" si="5"/>
        <v/>
      </c>
      <c r="M53" s="18" t="str">
        <f t="shared" si="6"/>
        <v/>
      </c>
      <c r="N53" s="2" t="str">
        <f t="shared" si="7"/>
        <v/>
      </c>
      <c r="O53" s="2" t="str">
        <f t="shared" si="8"/>
        <v/>
      </c>
      <c r="P53" s="2" t="str">
        <f t="shared" si="9"/>
        <v/>
      </c>
    </row>
    <row r="54" spans="3:16" ht="17.5" thickBot="1" x14ac:dyDescent="0.4">
      <c r="C54" s="1" t="str">
        <f t="shared" si="0"/>
        <v/>
      </c>
      <c r="D54" s="2" t="str">
        <f t="shared" si="1"/>
        <v/>
      </c>
      <c r="E54" s="2" t="str">
        <f t="shared" si="2"/>
        <v/>
      </c>
      <c r="F54" s="2" t="str">
        <f>(IF(C54=$A$7+1,E54,""))</f>
        <v/>
      </c>
      <c r="G54" s="2" t="str">
        <f t="shared" si="3"/>
        <v/>
      </c>
      <c r="K54" s="1" t="str">
        <f t="shared" si="4"/>
        <v/>
      </c>
      <c r="L54" s="2" t="str">
        <f t="shared" si="5"/>
        <v/>
      </c>
      <c r="M54" s="18" t="str">
        <f t="shared" si="6"/>
        <v/>
      </c>
      <c r="N54" s="2" t="str">
        <f t="shared" si="7"/>
        <v/>
      </c>
      <c r="O54" s="2" t="str">
        <f t="shared" si="8"/>
        <v/>
      </c>
      <c r="P54" s="2" t="str">
        <f t="shared" si="9"/>
        <v/>
      </c>
    </row>
    <row r="55" spans="3:16" ht="17.5" thickBot="1" x14ac:dyDescent="0.4">
      <c r="C55" s="1" t="str">
        <f t="shared" si="0"/>
        <v/>
      </c>
      <c r="D55" s="2" t="str">
        <f t="shared" si="1"/>
        <v/>
      </c>
      <c r="E55" s="2" t="str">
        <f t="shared" si="2"/>
        <v/>
      </c>
      <c r="F55" s="2" t="str">
        <f>(IF(C55=$A$7+1,E55,""))</f>
        <v/>
      </c>
      <c r="G55" s="2" t="str">
        <f t="shared" si="3"/>
        <v/>
      </c>
      <c r="K55" s="1" t="str">
        <f t="shared" si="4"/>
        <v/>
      </c>
      <c r="L55" s="2" t="str">
        <f t="shared" si="5"/>
        <v/>
      </c>
      <c r="M55" s="18" t="str">
        <f t="shared" si="6"/>
        <v/>
      </c>
      <c r="N55" s="2" t="str">
        <f t="shared" si="7"/>
        <v/>
      </c>
      <c r="O55" s="2" t="str">
        <f t="shared" si="8"/>
        <v/>
      </c>
      <c r="P55" s="2" t="str">
        <f t="shared" si="9"/>
        <v/>
      </c>
    </row>
    <row r="56" spans="3:16" ht="17.5" thickBot="1" x14ac:dyDescent="0.4">
      <c r="C56" s="1" t="str">
        <f t="shared" si="0"/>
        <v/>
      </c>
      <c r="D56" s="2" t="str">
        <f t="shared" si="1"/>
        <v/>
      </c>
      <c r="E56" s="2" t="str">
        <f t="shared" si="2"/>
        <v/>
      </c>
      <c r="F56" s="2" t="str">
        <f>(IF(C56=$A$7+1,E56,""))</f>
        <v/>
      </c>
      <c r="G56" s="2" t="str">
        <f t="shared" si="3"/>
        <v/>
      </c>
      <c r="K56" s="1" t="str">
        <f t="shared" si="4"/>
        <v/>
      </c>
      <c r="L56" s="2" t="str">
        <f t="shared" si="5"/>
        <v/>
      </c>
      <c r="M56" s="18" t="str">
        <f t="shared" si="6"/>
        <v/>
      </c>
      <c r="N56" s="2" t="str">
        <f t="shared" si="7"/>
        <v/>
      </c>
      <c r="O56" s="2" t="str">
        <f t="shared" si="8"/>
        <v/>
      </c>
      <c r="P56" s="2" t="str">
        <f t="shared" si="9"/>
        <v/>
      </c>
    </row>
    <row r="57" spans="3:16" ht="17.5" thickBot="1" x14ac:dyDescent="0.4">
      <c r="C57" s="1" t="str">
        <f t="shared" si="0"/>
        <v/>
      </c>
      <c r="D57" s="2" t="str">
        <f t="shared" si="1"/>
        <v/>
      </c>
      <c r="E57" s="2" t="str">
        <f t="shared" si="2"/>
        <v/>
      </c>
      <c r="F57" s="2" t="str">
        <f>(IF(C57=$A$7+1,E57,""))</f>
        <v/>
      </c>
      <c r="G57" s="2" t="str">
        <f t="shared" si="3"/>
        <v/>
      </c>
      <c r="K57" s="1" t="str">
        <f t="shared" si="4"/>
        <v/>
      </c>
      <c r="L57" s="2" t="str">
        <f t="shared" si="5"/>
        <v/>
      </c>
      <c r="M57" s="18" t="str">
        <f t="shared" si="6"/>
        <v/>
      </c>
      <c r="N57" s="2" t="str">
        <f t="shared" si="7"/>
        <v/>
      </c>
      <c r="O57" s="2" t="str">
        <f t="shared" si="8"/>
        <v/>
      </c>
      <c r="P57" s="2" t="str">
        <f t="shared" si="9"/>
        <v/>
      </c>
    </row>
    <row r="58" spans="3:16" ht="17.5" thickBot="1" x14ac:dyDescent="0.4">
      <c r="C58" s="1" t="str">
        <f t="shared" si="0"/>
        <v/>
      </c>
      <c r="D58" s="2" t="str">
        <f t="shared" si="1"/>
        <v/>
      </c>
      <c r="E58" s="2" t="str">
        <f t="shared" si="2"/>
        <v/>
      </c>
      <c r="F58" s="2" t="str">
        <f>(IF(C58=$A$7+1,E58,""))</f>
        <v/>
      </c>
      <c r="G58" s="2" t="str">
        <f t="shared" si="3"/>
        <v/>
      </c>
      <c r="K58" s="1" t="str">
        <f t="shared" si="4"/>
        <v/>
      </c>
      <c r="L58" s="2" t="str">
        <f t="shared" si="5"/>
        <v/>
      </c>
      <c r="M58" s="18" t="str">
        <f t="shared" si="6"/>
        <v/>
      </c>
      <c r="N58" s="2" t="str">
        <f t="shared" si="7"/>
        <v/>
      </c>
      <c r="O58" s="2" t="str">
        <f t="shared" si="8"/>
        <v/>
      </c>
      <c r="P58" s="2" t="str">
        <f t="shared" si="9"/>
        <v/>
      </c>
    </row>
    <row r="59" spans="3:16" ht="17.5" thickBot="1" x14ac:dyDescent="0.4">
      <c r="C59" s="1" t="str">
        <f t="shared" si="0"/>
        <v/>
      </c>
      <c r="D59" s="2" t="str">
        <f t="shared" si="1"/>
        <v/>
      </c>
      <c r="E59" s="2" t="str">
        <f t="shared" si="2"/>
        <v/>
      </c>
      <c r="F59" s="2" t="str">
        <f>(IF(C59=$A$7+1,E59,""))</f>
        <v/>
      </c>
      <c r="G59" s="2" t="str">
        <f t="shared" si="3"/>
        <v/>
      </c>
      <c r="K59" s="1" t="str">
        <f t="shared" si="4"/>
        <v/>
      </c>
      <c r="L59" s="2" t="str">
        <f t="shared" si="5"/>
        <v/>
      </c>
      <c r="M59" s="18" t="str">
        <f t="shared" si="6"/>
        <v/>
      </c>
      <c r="N59" s="2" t="str">
        <f t="shared" si="7"/>
        <v/>
      </c>
      <c r="O59" s="2" t="str">
        <f t="shared" si="8"/>
        <v/>
      </c>
      <c r="P59" s="2" t="str">
        <f t="shared" si="9"/>
        <v/>
      </c>
    </row>
    <row r="60" spans="3:16" ht="17.5" thickBot="1" x14ac:dyDescent="0.4">
      <c r="C60" s="1" t="str">
        <f t="shared" si="0"/>
        <v/>
      </c>
      <c r="D60" s="2" t="str">
        <f t="shared" si="1"/>
        <v/>
      </c>
      <c r="E60" s="2" t="str">
        <f t="shared" si="2"/>
        <v/>
      </c>
      <c r="F60" s="2" t="str">
        <f>(IF(C60=$A$7+1,E60,""))</f>
        <v/>
      </c>
      <c r="G60" s="2" t="str">
        <f t="shared" si="3"/>
        <v/>
      </c>
      <c r="K60" s="1" t="str">
        <f t="shared" si="4"/>
        <v/>
      </c>
      <c r="L60" s="2" t="str">
        <f t="shared" si="5"/>
        <v/>
      </c>
      <c r="M60" s="18" t="str">
        <f t="shared" si="6"/>
        <v/>
      </c>
      <c r="N60" s="2" t="str">
        <f t="shared" si="7"/>
        <v/>
      </c>
      <c r="O60" s="2" t="str">
        <f t="shared" si="8"/>
        <v/>
      </c>
      <c r="P60" s="2" t="str">
        <f t="shared" si="9"/>
        <v/>
      </c>
    </row>
    <row r="61" spans="3:16" ht="17.5" thickBot="1" x14ac:dyDescent="0.4">
      <c r="C61" s="1" t="str">
        <f t="shared" si="0"/>
        <v/>
      </c>
      <c r="D61" s="2" t="str">
        <f t="shared" si="1"/>
        <v/>
      </c>
      <c r="E61" s="2" t="str">
        <f t="shared" si="2"/>
        <v/>
      </c>
      <c r="F61" s="2" t="str">
        <f>(IF(C61=$A$7+1,E61,""))</f>
        <v/>
      </c>
      <c r="G61" s="2" t="str">
        <f t="shared" si="3"/>
        <v/>
      </c>
      <c r="K61" s="1" t="str">
        <f t="shared" si="4"/>
        <v/>
      </c>
      <c r="L61" s="2" t="str">
        <f t="shared" si="5"/>
        <v/>
      </c>
      <c r="M61" s="18" t="str">
        <f t="shared" si="6"/>
        <v/>
      </c>
      <c r="N61" s="2" t="str">
        <f t="shared" si="7"/>
        <v/>
      </c>
      <c r="O61" s="2" t="str">
        <f t="shared" si="8"/>
        <v/>
      </c>
      <c r="P61" s="2" t="str">
        <f t="shared" si="9"/>
        <v/>
      </c>
    </row>
    <row r="62" spans="3:16" ht="17.5" thickBot="1" x14ac:dyDescent="0.4">
      <c r="C62" s="1" t="str">
        <f t="shared" si="0"/>
        <v/>
      </c>
      <c r="D62" s="2" t="str">
        <f t="shared" si="1"/>
        <v/>
      </c>
      <c r="E62" s="2" t="str">
        <f t="shared" si="2"/>
        <v/>
      </c>
      <c r="F62" s="2" t="str">
        <f>(IF(C62=$A$7+1,E62,""))</f>
        <v/>
      </c>
      <c r="G62" s="2" t="str">
        <f t="shared" si="3"/>
        <v/>
      </c>
      <c r="K62" s="1" t="str">
        <f t="shared" si="4"/>
        <v/>
      </c>
      <c r="L62" s="2" t="str">
        <f t="shared" si="5"/>
        <v/>
      </c>
      <c r="M62" s="18" t="str">
        <f t="shared" si="6"/>
        <v/>
      </c>
      <c r="N62" s="2" t="str">
        <f t="shared" si="7"/>
        <v/>
      </c>
      <c r="O62" s="2" t="str">
        <f t="shared" si="8"/>
        <v/>
      </c>
      <c r="P62" s="2" t="str">
        <f t="shared" si="9"/>
        <v/>
      </c>
    </row>
    <row r="63" spans="3:16" ht="17.5" thickBot="1" x14ac:dyDescent="0.4">
      <c r="C63" s="1" t="str">
        <f t="shared" si="0"/>
        <v/>
      </c>
      <c r="D63" s="2" t="str">
        <f t="shared" si="1"/>
        <v/>
      </c>
      <c r="E63" s="2" t="str">
        <f t="shared" si="2"/>
        <v/>
      </c>
      <c r="F63" s="2" t="str">
        <f>(IF(C63=$A$7+1,E63,""))</f>
        <v/>
      </c>
      <c r="G63" s="2" t="str">
        <f t="shared" si="3"/>
        <v/>
      </c>
      <c r="K63" s="1" t="str">
        <f t="shared" si="4"/>
        <v/>
      </c>
      <c r="L63" s="2" t="str">
        <f t="shared" si="5"/>
        <v/>
      </c>
      <c r="M63" s="18" t="str">
        <f t="shared" si="6"/>
        <v/>
      </c>
      <c r="N63" s="2" t="str">
        <f t="shared" si="7"/>
        <v/>
      </c>
      <c r="O63" s="2" t="str">
        <f t="shared" si="8"/>
        <v/>
      </c>
      <c r="P63" s="2" t="str">
        <f t="shared" si="9"/>
        <v/>
      </c>
    </row>
    <row r="64" spans="3:16" ht="17.5" thickBot="1" x14ac:dyDescent="0.4">
      <c r="C64" s="1" t="str">
        <f t="shared" si="0"/>
        <v/>
      </c>
      <c r="D64" s="2" t="str">
        <f t="shared" si="1"/>
        <v/>
      </c>
      <c r="E64" s="2" t="str">
        <f t="shared" si="2"/>
        <v/>
      </c>
      <c r="F64" s="2" t="str">
        <f>(IF(C64=$A$7+1,E64,""))</f>
        <v/>
      </c>
      <c r="G64" s="2" t="str">
        <f t="shared" si="3"/>
        <v/>
      </c>
      <c r="K64" s="1" t="str">
        <f t="shared" si="4"/>
        <v/>
      </c>
      <c r="L64" s="2" t="str">
        <f t="shared" si="5"/>
        <v/>
      </c>
      <c r="M64" s="18" t="str">
        <f t="shared" si="6"/>
        <v/>
      </c>
      <c r="N64" s="2" t="str">
        <f t="shared" si="7"/>
        <v/>
      </c>
      <c r="O64" s="2" t="str">
        <f t="shared" si="8"/>
        <v/>
      </c>
      <c r="P64" s="2" t="str">
        <f t="shared" si="9"/>
        <v/>
      </c>
    </row>
    <row r="65" spans="3:16" ht="17.5" thickBot="1" x14ac:dyDescent="0.4">
      <c r="C65" s="1" t="str">
        <f t="shared" si="0"/>
        <v/>
      </c>
      <c r="D65" s="2" t="str">
        <f t="shared" si="1"/>
        <v/>
      </c>
      <c r="E65" s="2" t="str">
        <f t="shared" si="2"/>
        <v/>
      </c>
      <c r="F65" s="2" t="str">
        <f>(IF(C65=$A$7+1,E65,""))</f>
        <v/>
      </c>
      <c r="G65" s="2" t="str">
        <f t="shared" si="3"/>
        <v/>
      </c>
      <c r="K65" s="1" t="str">
        <f t="shared" si="4"/>
        <v/>
      </c>
      <c r="L65" s="2" t="str">
        <f t="shared" si="5"/>
        <v/>
      </c>
      <c r="M65" s="18" t="str">
        <f t="shared" si="6"/>
        <v/>
      </c>
      <c r="N65" s="2" t="str">
        <f t="shared" si="7"/>
        <v/>
      </c>
      <c r="O65" s="2" t="str">
        <f t="shared" si="8"/>
        <v/>
      </c>
      <c r="P65" s="2" t="str">
        <f t="shared" si="9"/>
        <v/>
      </c>
    </row>
    <row r="66" spans="3:16" ht="17.5" thickBot="1" x14ac:dyDescent="0.4">
      <c r="C66" s="1" t="str">
        <f t="shared" si="0"/>
        <v/>
      </c>
      <c r="D66" s="2" t="str">
        <f t="shared" si="1"/>
        <v/>
      </c>
      <c r="E66" s="2" t="str">
        <f t="shared" si="2"/>
        <v/>
      </c>
      <c r="F66" s="2" t="str">
        <f>(IF(C66=$A$7+1,E66,""))</f>
        <v/>
      </c>
      <c r="G66" s="2" t="str">
        <f t="shared" si="3"/>
        <v/>
      </c>
      <c r="K66" s="1" t="str">
        <f t="shared" si="4"/>
        <v/>
      </c>
      <c r="L66" s="2" t="str">
        <f t="shared" si="5"/>
        <v/>
      </c>
      <c r="M66" s="18" t="str">
        <f t="shared" si="6"/>
        <v/>
      </c>
      <c r="N66" s="2" t="str">
        <f t="shared" si="7"/>
        <v/>
      </c>
      <c r="O66" s="2" t="str">
        <f t="shared" si="8"/>
        <v/>
      </c>
      <c r="P66" s="2" t="str">
        <f t="shared" si="9"/>
        <v/>
      </c>
    </row>
    <row r="67" spans="3:16" ht="17.5" thickBot="1" x14ac:dyDescent="0.4">
      <c r="C67" s="1" t="str">
        <f t="shared" si="0"/>
        <v/>
      </c>
      <c r="D67" s="2" t="str">
        <f t="shared" si="1"/>
        <v/>
      </c>
      <c r="E67" s="2" t="str">
        <f t="shared" si="2"/>
        <v/>
      </c>
      <c r="F67" s="2" t="str">
        <f>(IF(C67=$A$7+1,E67,""))</f>
        <v/>
      </c>
      <c r="G67" s="2" t="str">
        <f t="shared" si="3"/>
        <v/>
      </c>
      <c r="K67" s="1" t="str">
        <f t="shared" si="4"/>
        <v/>
      </c>
      <c r="L67" s="2" t="str">
        <f t="shared" si="5"/>
        <v/>
      </c>
      <c r="M67" s="18" t="str">
        <f t="shared" si="6"/>
        <v/>
      </c>
      <c r="N67" s="2" t="str">
        <f t="shared" si="7"/>
        <v/>
      </c>
      <c r="O67" s="2" t="str">
        <f t="shared" si="8"/>
        <v/>
      </c>
      <c r="P67" s="2" t="str">
        <f t="shared" si="9"/>
        <v/>
      </c>
    </row>
    <row r="68" spans="3:16" ht="17.5" thickBot="1" x14ac:dyDescent="0.4">
      <c r="C68" s="1" t="str">
        <f t="shared" si="0"/>
        <v/>
      </c>
      <c r="D68" s="2" t="str">
        <f t="shared" si="1"/>
        <v/>
      </c>
      <c r="E68" s="2" t="str">
        <f t="shared" si="2"/>
        <v/>
      </c>
      <c r="F68" s="2" t="str">
        <f>(IF(C68=$A$7+1,E68,""))</f>
        <v/>
      </c>
      <c r="G68" s="2" t="str">
        <f t="shared" si="3"/>
        <v/>
      </c>
      <c r="K68" s="1" t="str">
        <f t="shared" si="4"/>
        <v/>
      </c>
      <c r="L68" s="2" t="str">
        <f t="shared" si="5"/>
        <v/>
      </c>
      <c r="M68" s="18" t="str">
        <f t="shared" si="6"/>
        <v/>
      </c>
      <c r="N68" s="2" t="str">
        <f t="shared" si="7"/>
        <v/>
      </c>
      <c r="O68" s="2" t="str">
        <f t="shared" si="8"/>
        <v/>
      </c>
      <c r="P68" s="2" t="str">
        <f t="shared" si="9"/>
        <v/>
      </c>
    </row>
    <row r="69" spans="3:16" ht="17.5" thickBot="1" x14ac:dyDescent="0.4">
      <c r="C69" s="1" t="str">
        <f t="shared" ref="C69:C89" si="10">IF(C68&lt;=$A$7,C68+1,"")</f>
        <v/>
      </c>
      <c r="D69" s="2" t="str">
        <f t="shared" ref="D69:D89" si="11">IF(C68&lt;=$A$7,D68+$A$9,"")</f>
        <v/>
      </c>
      <c r="E69" s="2" t="str">
        <f t="shared" ref="E69:E89" si="12">IF(C68&lt;=$A$7,(20*COS((5/2)*D69^2+1))/(D69^2+2),"")</f>
        <v/>
      </c>
      <c r="F69" s="2" t="str">
        <f>(IF(C69=$A$7+1,E69,""))</f>
        <v/>
      </c>
      <c r="G69" s="2" t="str">
        <f t="shared" ref="G69:G89" si="13">IF(C69&lt;=$A$7,E69,"")</f>
        <v/>
      </c>
      <c r="K69" s="1" t="str">
        <f t="shared" ref="K69:K89" si="14">IF(K68&lt;=$A$7,K68+1,"")</f>
        <v/>
      </c>
      <c r="L69" s="2" t="str">
        <f t="shared" ref="L69:L89" si="15">IF(K68&lt;=$A$7,L68+$A$9,"")</f>
        <v/>
      </c>
      <c r="M69" s="18" t="str">
        <f t="shared" ref="M69:M89" si="16">IF(K68&lt;=$A$7,(20*COS((5/2)*L69^2+1))/(L69^2+2),"")</f>
        <v/>
      </c>
      <c r="N69" s="2" t="str">
        <f t="shared" ref="N69:N89" si="17">IF(K68&lt;=$A$7,ABS(M69),"")</f>
        <v/>
      </c>
      <c r="O69" s="2" t="str">
        <f t="shared" ref="O69:O89" si="18">(IF(K69=$A$7+1,N69,""))</f>
        <v/>
      </c>
      <c r="P69" s="2" t="str">
        <f t="shared" ref="P69:P89" si="19">IF(K69&lt;=$A$7,N69,"")</f>
        <v/>
      </c>
    </row>
    <row r="70" spans="3:16" ht="17.5" thickBot="1" x14ac:dyDescent="0.4">
      <c r="C70" s="1" t="str">
        <f t="shared" si="10"/>
        <v/>
      </c>
      <c r="D70" s="2" t="str">
        <f t="shared" si="11"/>
        <v/>
      </c>
      <c r="E70" s="2" t="str">
        <f t="shared" si="12"/>
        <v/>
      </c>
      <c r="F70" s="2" t="str">
        <f>(IF(C70=$A$7+1,E70,""))</f>
        <v/>
      </c>
      <c r="G70" s="2" t="str">
        <f t="shared" si="13"/>
        <v/>
      </c>
      <c r="K70" s="1" t="str">
        <f t="shared" si="14"/>
        <v/>
      </c>
      <c r="L70" s="2" t="str">
        <f t="shared" si="15"/>
        <v/>
      </c>
      <c r="M70" s="18" t="str">
        <f t="shared" si="16"/>
        <v/>
      </c>
      <c r="N70" s="2" t="str">
        <f t="shared" si="17"/>
        <v/>
      </c>
      <c r="O70" s="2" t="str">
        <f t="shared" si="18"/>
        <v/>
      </c>
      <c r="P70" s="2" t="str">
        <f t="shared" si="19"/>
        <v/>
      </c>
    </row>
    <row r="71" spans="3:16" ht="17.5" thickBot="1" x14ac:dyDescent="0.4">
      <c r="C71" s="1" t="str">
        <f t="shared" si="10"/>
        <v/>
      </c>
      <c r="D71" s="2" t="str">
        <f t="shared" si="11"/>
        <v/>
      </c>
      <c r="E71" s="2" t="str">
        <f t="shared" si="12"/>
        <v/>
      </c>
      <c r="F71" s="2" t="str">
        <f>(IF(C71=$A$7+1,E71,""))</f>
        <v/>
      </c>
      <c r="G71" s="2" t="str">
        <f t="shared" si="13"/>
        <v/>
      </c>
      <c r="K71" s="1" t="str">
        <f t="shared" si="14"/>
        <v/>
      </c>
      <c r="L71" s="2" t="str">
        <f t="shared" si="15"/>
        <v/>
      </c>
      <c r="M71" s="18" t="str">
        <f t="shared" si="16"/>
        <v/>
      </c>
      <c r="N71" s="2" t="str">
        <f t="shared" si="17"/>
        <v/>
      </c>
      <c r="O71" s="2" t="str">
        <f t="shared" si="18"/>
        <v/>
      </c>
      <c r="P71" s="2" t="str">
        <f t="shared" si="19"/>
        <v/>
      </c>
    </row>
    <row r="72" spans="3:16" ht="17.5" thickBot="1" x14ac:dyDescent="0.4">
      <c r="C72" s="1" t="str">
        <f t="shared" si="10"/>
        <v/>
      </c>
      <c r="D72" s="2" t="str">
        <f t="shared" si="11"/>
        <v/>
      </c>
      <c r="E72" s="2" t="str">
        <f t="shared" si="12"/>
        <v/>
      </c>
      <c r="F72" s="2" t="str">
        <f>(IF(C72=$A$7+1,E72,""))</f>
        <v/>
      </c>
      <c r="G72" s="2" t="str">
        <f t="shared" si="13"/>
        <v/>
      </c>
      <c r="K72" s="1" t="str">
        <f t="shared" si="14"/>
        <v/>
      </c>
      <c r="L72" s="2" t="str">
        <f t="shared" si="15"/>
        <v/>
      </c>
      <c r="M72" s="18" t="str">
        <f t="shared" si="16"/>
        <v/>
      </c>
      <c r="N72" s="2" t="str">
        <f t="shared" si="17"/>
        <v/>
      </c>
      <c r="O72" s="2" t="str">
        <f t="shared" si="18"/>
        <v/>
      </c>
      <c r="P72" s="2" t="str">
        <f t="shared" si="19"/>
        <v/>
      </c>
    </row>
    <row r="73" spans="3:16" ht="17.5" thickBot="1" x14ac:dyDescent="0.4">
      <c r="C73" s="1" t="str">
        <f t="shared" si="10"/>
        <v/>
      </c>
      <c r="D73" s="2" t="str">
        <f t="shared" si="11"/>
        <v/>
      </c>
      <c r="E73" s="2" t="str">
        <f t="shared" si="12"/>
        <v/>
      </c>
      <c r="F73" s="2" t="str">
        <f>(IF(C73=$A$7+1,E73,""))</f>
        <v/>
      </c>
      <c r="G73" s="2" t="str">
        <f t="shared" si="13"/>
        <v/>
      </c>
      <c r="K73" s="1" t="str">
        <f t="shared" si="14"/>
        <v/>
      </c>
      <c r="L73" s="2" t="str">
        <f t="shared" si="15"/>
        <v/>
      </c>
      <c r="M73" s="18" t="str">
        <f t="shared" si="16"/>
        <v/>
      </c>
      <c r="N73" s="2" t="str">
        <f t="shared" si="17"/>
        <v/>
      </c>
      <c r="O73" s="2" t="str">
        <f t="shared" si="18"/>
        <v/>
      </c>
      <c r="P73" s="2" t="str">
        <f t="shared" si="19"/>
        <v/>
      </c>
    </row>
    <row r="74" spans="3:16" ht="17.5" thickBot="1" x14ac:dyDescent="0.4">
      <c r="C74" s="1" t="str">
        <f t="shared" si="10"/>
        <v/>
      </c>
      <c r="D74" s="2" t="str">
        <f t="shared" si="11"/>
        <v/>
      </c>
      <c r="E74" s="2" t="str">
        <f t="shared" si="12"/>
        <v/>
      </c>
      <c r="F74" s="2" t="str">
        <f>(IF(C74=$A$7+1,E74,""))</f>
        <v/>
      </c>
      <c r="G74" s="2" t="str">
        <f t="shared" si="13"/>
        <v/>
      </c>
      <c r="K74" s="1" t="str">
        <f t="shared" si="14"/>
        <v/>
      </c>
      <c r="L74" s="2" t="str">
        <f t="shared" si="15"/>
        <v/>
      </c>
      <c r="M74" s="18" t="str">
        <f t="shared" si="16"/>
        <v/>
      </c>
      <c r="N74" s="2" t="str">
        <f t="shared" si="17"/>
        <v/>
      </c>
      <c r="O74" s="2" t="str">
        <f t="shared" si="18"/>
        <v/>
      </c>
      <c r="P74" s="2" t="str">
        <f t="shared" si="19"/>
        <v/>
      </c>
    </row>
    <row r="75" spans="3:16" ht="17.5" thickBot="1" x14ac:dyDescent="0.4">
      <c r="C75" s="1" t="str">
        <f t="shared" si="10"/>
        <v/>
      </c>
      <c r="D75" s="2" t="str">
        <f t="shared" si="11"/>
        <v/>
      </c>
      <c r="E75" s="2" t="str">
        <f t="shared" si="12"/>
        <v/>
      </c>
      <c r="F75" s="2" t="str">
        <f>(IF(C75=$A$7+1,E75,""))</f>
        <v/>
      </c>
      <c r="G75" s="2" t="str">
        <f t="shared" si="13"/>
        <v/>
      </c>
      <c r="K75" s="1" t="str">
        <f t="shared" si="14"/>
        <v/>
      </c>
      <c r="L75" s="2" t="str">
        <f t="shared" si="15"/>
        <v/>
      </c>
      <c r="M75" s="18" t="str">
        <f t="shared" si="16"/>
        <v/>
      </c>
      <c r="N75" s="2" t="str">
        <f t="shared" si="17"/>
        <v/>
      </c>
      <c r="O75" s="2" t="str">
        <f t="shared" si="18"/>
        <v/>
      </c>
      <c r="P75" s="2" t="str">
        <f t="shared" si="19"/>
        <v/>
      </c>
    </row>
    <row r="76" spans="3:16" ht="17.5" thickBot="1" x14ac:dyDescent="0.4">
      <c r="C76" s="1" t="str">
        <f t="shared" si="10"/>
        <v/>
      </c>
      <c r="D76" s="2" t="str">
        <f t="shared" si="11"/>
        <v/>
      </c>
      <c r="E76" s="2" t="str">
        <f t="shared" si="12"/>
        <v/>
      </c>
      <c r="F76" s="2" t="str">
        <f>(IF(C76=$A$7+1,E76,""))</f>
        <v/>
      </c>
      <c r="G76" s="2" t="str">
        <f t="shared" si="13"/>
        <v/>
      </c>
      <c r="K76" s="1" t="str">
        <f t="shared" si="14"/>
        <v/>
      </c>
      <c r="L76" s="2" t="str">
        <f t="shared" si="15"/>
        <v/>
      </c>
      <c r="M76" s="18" t="str">
        <f t="shared" si="16"/>
        <v/>
      </c>
      <c r="N76" s="2" t="str">
        <f t="shared" si="17"/>
        <v/>
      </c>
      <c r="O76" s="2" t="str">
        <f t="shared" si="18"/>
        <v/>
      </c>
      <c r="P76" s="2" t="str">
        <f t="shared" si="19"/>
        <v/>
      </c>
    </row>
    <row r="77" spans="3:16" ht="17.5" thickBot="1" x14ac:dyDescent="0.4">
      <c r="C77" s="1" t="str">
        <f t="shared" si="10"/>
        <v/>
      </c>
      <c r="D77" s="2" t="str">
        <f t="shared" si="11"/>
        <v/>
      </c>
      <c r="E77" s="2" t="str">
        <f t="shared" si="12"/>
        <v/>
      </c>
      <c r="F77" s="2" t="str">
        <f>(IF(C77=$A$7+1,E77,""))</f>
        <v/>
      </c>
      <c r="G77" s="2" t="str">
        <f t="shared" si="13"/>
        <v/>
      </c>
      <c r="K77" s="1" t="str">
        <f t="shared" si="14"/>
        <v/>
      </c>
      <c r="L77" s="2" t="str">
        <f t="shared" si="15"/>
        <v/>
      </c>
      <c r="M77" s="18" t="str">
        <f t="shared" si="16"/>
        <v/>
      </c>
      <c r="N77" s="2" t="str">
        <f t="shared" si="17"/>
        <v/>
      </c>
      <c r="O77" s="2" t="str">
        <f t="shared" si="18"/>
        <v/>
      </c>
      <c r="P77" s="2" t="str">
        <f t="shared" si="19"/>
        <v/>
      </c>
    </row>
    <row r="78" spans="3:16" ht="17.5" thickBot="1" x14ac:dyDescent="0.4">
      <c r="C78" s="1" t="str">
        <f t="shared" si="10"/>
        <v/>
      </c>
      <c r="D78" s="2" t="str">
        <f t="shared" si="11"/>
        <v/>
      </c>
      <c r="E78" s="2" t="str">
        <f t="shared" si="12"/>
        <v/>
      </c>
      <c r="F78" s="2" t="str">
        <f>(IF(C78=$A$7+1,E78,""))</f>
        <v/>
      </c>
      <c r="G78" s="2" t="str">
        <f t="shared" si="13"/>
        <v/>
      </c>
      <c r="K78" s="1" t="str">
        <f t="shared" si="14"/>
        <v/>
      </c>
      <c r="L78" s="2" t="str">
        <f t="shared" si="15"/>
        <v/>
      </c>
      <c r="M78" s="18" t="str">
        <f t="shared" si="16"/>
        <v/>
      </c>
      <c r="N78" s="2" t="str">
        <f t="shared" si="17"/>
        <v/>
      </c>
      <c r="O78" s="2" t="str">
        <f t="shared" si="18"/>
        <v/>
      </c>
      <c r="P78" s="2" t="str">
        <f t="shared" si="19"/>
        <v/>
      </c>
    </row>
    <row r="79" spans="3:16" ht="17.5" thickBot="1" x14ac:dyDescent="0.4">
      <c r="C79" s="1" t="str">
        <f t="shared" si="10"/>
        <v/>
      </c>
      <c r="D79" s="2" t="str">
        <f t="shared" si="11"/>
        <v/>
      </c>
      <c r="E79" s="2" t="str">
        <f t="shared" si="12"/>
        <v/>
      </c>
      <c r="F79" s="2" t="str">
        <f>(IF(C79=$A$7+1,E79,""))</f>
        <v/>
      </c>
      <c r="G79" s="2" t="str">
        <f t="shared" si="13"/>
        <v/>
      </c>
      <c r="K79" s="1" t="str">
        <f t="shared" si="14"/>
        <v/>
      </c>
      <c r="L79" s="2" t="str">
        <f t="shared" si="15"/>
        <v/>
      </c>
      <c r="M79" s="18" t="str">
        <f t="shared" si="16"/>
        <v/>
      </c>
      <c r="N79" s="2" t="str">
        <f t="shared" si="17"/>
        <v/>
      </c>
      <c r="O79" s="2" t="str">
        <f t="shared" si="18"/>
        <v/>
      </c>
      <c r="P79" s="2" t="str">
        <f t="shared" si="19"/>
        <v/>
      </c>
    </row>
    <row r="80" spans="3:16" ht="17.5" thickBot="1" x14ac:dyDescent="0.4">
      <c r="C80" s="1" t="str">
        <f t="shared" si="10"/>
        <v/>
      </c>
      <c r="D80" s="2" t="str">
        <f t="shared" si="11"/>
        <v/>
      </c>
      <c r="E80" s="2" t="str">
        <f t="shared" si="12"/>
        <v/>
      </c>
      <c r="F80" s="2" t="str">
        <f>(IF(C80=$A$7+1,E80,""))</f>
        <v/>
      </c>
      <c r="G80" s="2" t="str">
        <f t="shared" si="13"/>
        <v/>
      </c>
      <c r="K80" s="1" t="str">
        <f t="shared" si="14"/>
        <v/>
      </c>
      <c r="L80" s="2" t="str">
        <f t="shared" si="15"/>
        <v/>
      </c>
      <c r="M80" s="18" t="str">
        <f t="shared" si="16"/>
        <v/>
      </c>
      <c r="N80" s="2" t="str">
        <f t="shared" si="17"/>
        <v/>
      </c>
      <c r="O80" s="2" t="str">
        <f t="shared" si="18"/>
        <v/>
      </c>
      <c r="P80" s="2" t="str">
        <f t="shared" si="19"/>
        <v/>
      </c>
    </row>
    <row r="81" spans="3:16" ht="17.5" thickBot="1" x14ac:dyDescent="0.4">
      <c r="C81" s="1" t="str">
        <f t="shared" si="10"/>
        <v/>
      </c>
      <c r="D81" s="2" t="str">
        <f t="shared" si="11"/>
        <v/>
      </c>
      <c r="E81" s="2" t="str">
        <f t="shared" si="12"/>
        <v/>
      </c>
      <c r="F81" s="2" t="str">
        <f>(IF(C81=$A$7+1,E81,""))</f>
        <v/>
      </c>
      <c r="G81" s="2" t="str">
        <f t="shared" si="13"/>
        <v/>
      </c>
      <c r="K81" s="1" t="str">
        <f t="shared" si="14"/>
        <v/>
      </c>
      <c r="L81" s="2" t="str">
        <f t="shared" si="15"/>
        <v/>
      </c>
      <c r="M81" s="18" t="str">
        <f t="shared" si="16"/>
        <v/>
      </c>
      <c r="N81" s="2" t="str">
        <f t="shared" si="17"/>
        <v/>
      </c>
      <c r="O81" s="2" t="str">
        <f t="shared" si="18"/>
        <v/>
      </c>
      <c r="P81" s="2" t="str">
        <f t="shared" si="19"/>
        <v/>
      </c>
    </row>
    <row r="82" spans="3:16" ht="17.5" thickBot="1" x14ac:dyDescent="0.4">
      <c r="C82" s="1" t="str">
        <f t="shared" si="10"/>
        <v/>
      </c>
      <c r="D82" s="2" t="str">
        <f t="shared" si="11"/>
        <v/>
      </c>
      <c r="E82" s="2" t="str">
        <f t="shared" si="12"/>
        <v/>
      </c>
      <c r="F82" s="2" t="str">
        <f>(IF(C82=$A$7+1,E82,""))</f>
        <v/>
      </c>
      <c r="G82" s="2" t="str">
        <f t="shared" si="13"/>
        <v/>
      </c>
      <c r="K82" s="1" t="str">
        <f t="shared" si="14"/>
        <v/>
      </c>
      <c r="L82" s="2" t="str">
        <f t="shared" si="15"/>
        <v/>
      </c>
      <c r="M82" s="18" t="str">
        <f t="shared" si="16"/>
        <v/>
      </c>
      <c r="N82" s="2" t="str">
        <f t="shared" si="17"/>
        <v/>
      </c>
      <c r="O82" s="2" t="str">
        <f t="shared" si="18"/>
        <v/>
      </c>
      <c r="P82" s="2" t="str">
        <f t="shared" si="19"/>
        <v/>
      </c>
    </row>
    <row r="83" spans="3:16" ht="17.5" thickBot="1" x14ac:dyDescent="0.4">
      <c r="C83" s="1" t="str">
        <f t="shared" si="10"/>
        <v/>
      </c>
      <c r="D83" s="2" t="str">
        <f t="shared" si="11"/>
        <v/>
      </c>
      <c r="E83" s="2" t="str">
        <f t="shared" si="12"/>
        <v/>
      </c>
      <c r="F83" s="2" t="str">
        <f>(IF(C83=$A$7+1,E83,""))</f>
        <v/>
      </c>
      <c r="G83" s="2" t="str">
        <f t="shared" si="13"/>
        <v/>
      </c>
      <c r="K83" s="1" t="str">
        <f t="shared" si="14"/>
        <v/>
      </c>
      <c r="L83" s="2" t="str">
        <f t="shared" si="15"/>
        <v/>
      </c>
      <c r="M83" s="18" t="str">
        <f t="shared" si="16"/>
        <v/>
      </c>
      <c r="N83" s="2" t="str">
        <f t="shared" si="17"/>
        <v/>
      </c>
      <c r="O83" s="2" t="str">
        <f t="shared" si="18"/>
        <v/>
      </c>
      <c r="P83" s="2" t="str">
        <f t="shared" si="19"/>
        <v/>
      </c>
    </row>
    <row r="84" spans="3:16" ht="17.5" thickBot="1" x14ac:dyDescent="0.4">
      <c r="C84" s="1" t="str">
        <f t="shared" si="10"/>
        <v/>
      </c>
      <c r="D84" s="2" t="str">
        <f t="shared" si="11"/>
        <v/>
      </c>
      <c r="E84" s="2" t="str">
        <f t="shared" si="12"/>
        <v/>
      </c>
      <c r="F84" s="2" t="str">
        <f>(IF(C84=$A$7+1,E84,""))</f>
        <v/>
      </c>
      <c r="G84" s="2" t="str">
        <f t="shared" si="13"/>
        <v/>
      </c>
      <c r="K84" s="1" t="str">
        <f t="shared" si="14"/>
        <v/>
      </c>
      <c r="L84" s="2" t="str">
        <f t="shared" si="15"/>
        <v/>
      </c>
      <c r="M84" s="18" t="str">
        <f t="shared" si="16"/>
        <v/>
      </c>
      <c r="N84" s="2" t="str">
        <f t="shared" si="17"/>
        <v/>
      </c>
      <c r="O84" s="2" t="str">
        <f t="shared" si="18"/>
        <v/>
      </c>
      <c r="P84" s="2" t="str">
        <f t="shared" si="19"/>
        <v/>
      </c>
    </row>
    <row r="85" spans="3:16" ht="17.5" thickBot="1" x14ac:dyDescent="0.4">
      <c r="C85" s="1" t="str">
        <f t="shared" si="10"/>
        <v/>
      </c>
      <c r="D85" s="2" t="str">
        <f t="shared" si="11"/>
        <v/>
      </c>
      <c r="E85" s="2" t="str">
        <f t="shared" si="12"/>
        <v/>
      </c>
      <c r="F85" s="2" t="str">
        <f>(IF(C85=$A$7+1,E85,""))</f>
        <v/>
      </c>
      <c r="G85" s="2" t="str">
        <f t="shared" si="13"/>
        <v/>
      </c>
      <c r="K85" s="1" t="str">
        <f t="shared" si="14"/>
        <v/>
      </c>
      <c r="L85" s="2" t="str">
        <f t="shared" si="15"/>
        <v/>
      </c>
      <c r="M85" s="18" t="str">
        <f t="shared" si="16"/>
        <v/>
      </c>
      <c r="N85" s="2" t="str">
        <f t="shared" si="17"/>
        <v/>
      </c>
      <c r="O85" s="2" t="str">
        <f t="shared" si="18"/>
        <v/>
      </c>
      <c r="P85" s="2" t="str">
        <f t="shared" si="19"/>
        <v/>
      </c>
    </row>
    <row r="86" spans="3:16" ht="17.5" thickBot="1" x14ac:dyDescent="0.4">
      <c r="C86" s="1" t="str">
        <f t="shared" si="10"/>
        <v/>
      </c>
      <c r="D86" s="2" t="str">
        <f t="shared" si="11"/>
        <v/>
      </c>
      <c r="E86" s="2" t="str">
        <f t="shared" si="12"/>
        <v/>
      </c>
      <c r="F86" s="2" t="str">
        <f>(IF(C86=$A$7+1,E86,""))</f>
        <v/>
      </c>
      <c r="G86" s="2" t="str">
        <f t="shared" si="13"/>
        <v/>
      </c>
      <c r="K86" s="1" t="str">
        <f t="shared" si="14"/>
        <v/>
      </c>
      <c r="L86" s="2" t="str">
        <f t="shared" si="15"/>
        <v/>
      </c>
      <c r="M86" s="18" t="str">
        <f t="shared" si="16"/>
        <v/>
      </c>
      <c r="N86" s="2" t="str">
        <f t="shared" si="17"/>
        <v/>
      </c>
      <c r="O86" s="2" t="str">
        <f t="shared" si="18"/>
        <v/>
      </c>
      <c r="P86" s="2" t="str">
        <f t="shared" si="19"/>
        <v/>
      </c>
    </row>
    <row r="87" spans="3:16" ht="17.5" thickBot="1" x14ac:dyDescent="0.4">
      <c r="C87" s="1" t="str">
        <f t="shared" si="10"/>
        <v/>
      </c>
      <c r="D87" s="2" t="str">
        <f t="shared" si="11"/>
        <v/>
      </c>
      <c r="E87" s="2" t="str">
        <f t="shared" si="12"/>
        <v/>
      </c>
      <c r="F87" s="2" t="str">
        <f>(IF(C87=$A$7+1,E87,""))</f>
        <v/>
      </c>
      <c r="G87" s="2" t="str">
        <f t="shared" si="13"/>
        <v/>
      </c>
      <c r="K87" s="1" t="str">
        <f t="shared" si="14"/>
        <v/>
      </c>
      <c r="L87" s="2" t="str">
        <f t="shared" si="15"/>
        <v/>
      </c>
      <c r="M87" s="18" t="str">
        <f t="shared" si="16"/>
        <v/>
      </c>
      <c r="N87" s="2" t="str">
        <f t="shared" si="17"/>
        <v/>
      </c>
      <c r="O87" s="2" t="str">
        <f t="shared" si="18"/>
        <v/>
      </c>
      <c r="P87" s="2" t="str">
        <f t="shared" si="19"/>
        <v/>
      </c>
    </row>
    <row r="88" spans="3:16" ht="17.5" thickBot="1" x14ac:dyDescent="0.4">
      <c r="C88" s="1" t="str">
        <f t="shared" si="10"/>
        <v/>
      </c>
      <c r="D88" s="2" t="str">
        <f t="shared" si="11"/>
        <v/>
      </c>
      <c r="E88" s="2" t="str">
        <f t="shared" si="12"/>
        <v/>
      </c>
      <c r="F88" s="2" t="str">
        <f>(IF(C88=$A$7+1,E88,""))</f>
        <v/>
      </c>
      <c r="G88" s="2" t="str">
        <f t="shared" si="13"/>
        <v/>
      </c>
      <c r="K88" s="1" t="str">
        <f t="shared" si="14"/>
        <v/>
      </c>
      <c r="L88" s="2" t="str">
        <f t="shared" si="15"/>
        <v/>
      </c>
      <c r="M88" s="18" t="str">
        <f t="shared" si="16"/>
        <v/>
      </c>
      <c r="N88" s="2" t="str">
        <f t="shared" si="17"/>
        <v/>
      </c>
      <c r="O88" s="2" t="str">
        <f t="shared" si="18"/>
        <v/>
      </c>
      <c r="P88" s="2" t="str">
        <f t="shared" si="19"/>
        <v/>
      </c>
    </row>
    <row r="89" spans="3:16" ht="17.5" thickBot="1" x14ac:dyDescent="0.4">
      <c r="C89" s="1" t="str">
        <f t="shared" si="10"/>
        <v/>
      </c>
      <c r="D89" s="2" t="str">
        <f t="shared" si="11"/>
        <v/>
      </c>
      <c r="E89" s="2" t="str">
        <f t="shared" si="12"/>
        <v/>
      </c>
      <c r="F89" s="2" t="str">
        <f>(IF(C89=$A$7+1,E89,""))</f>
        <v/>
      </c>
      <c r="G89" s="2" t="str">
        <f t="shared" si="13"/>
        <v/>
      </c>
      <c r="K89" s="1" t="str">
        <f t="shared" si="14"/>
        <v/>
      </c>
      <c r="L89" s="2" t="str">
        <f t="shared" si="15"/>
        <v/>
      </c>
      <c r="M89" s="18" t="str">
        <f t="shared" si="16"/>
        <v/>
      </c>
      <c r="N89" s="2" t="str">
        <f t="shared" si="17"/>
        <v/>
      </c>
      <c r="O89" s="2" t="str">
        <f t="shared" si="18"/>
        <v/>
      </c>
      <c r="P89" s="2" t="str">
        <f t="shared" si="19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E916-57A1-40FB-AF33-3FA52E1C892B}">
  <dimension ref="A1:L501"/>
  <sheetViews>
    <sheetView workbookViewId="0">
      <selection activeCell="F2" sqref="F2"/>
    </sheetView>
  </sheetViews>
  <sheetFormatPr baseColWidth="10" defaultRowHeight="14.5" x14ac:dyDescent="0.35"/>
  <cols>
    <col min="1" max="1" width="15.6328125" customWidth="1"/>
    <col min="2" max="2" width="10.36328125" customWidth="1"/>
    <col min="3" max="3" width="4.6328125" customWidth="1"/>
    <col min="6" max="7" width="14.1796875" customWidth="1"/>
    <col min="10" max="10" width="14.1796875" customWidth="1"/>
  </cols>
  <sheetData>
    <row r="1" spans="1:12" x14ac:dyDescent="0.35">
      <c r="D1" s="20" t="s">
        <v>0</v>
      </c>
      <c r="E1" s="20" t="s">
        <v>1</v>
      </c>
      <c r="F1" s="20" t="s">
        <v>2</v>
      </c>
      <c r="G1" s="20" t="s">
        <v>35</v>
      </c>
      <c r="H1" s="20" t="s">
        <v>36</v>
      </c>
      <c r="I1" s="20" t="s">
        <v>37</v>
      </c>
      <c r="J1" s="20" t="s">
        <v>38</v>
      </c>
      <c r="K1" s="20" t="s">
        <v>39</v>
      </c>
      <c r="L1" s="20" t="s">
        <v>40</v>
      </c>
    </row>
    <row r="2" spans="1:12" x14ac:dyDescent="0.35">
      <c r="D2" s="20">
        <v>1</v>
      </c>
      <c r="E2" s="21">
        <v>-2</v>
      </c>
      <c r="F2" s="20">
        <f>(20*COS((5/2)*E2^2+1))/(E2^2+2)</f>
        <v>1.4752326626835953E-2</v>
      </c>
      <c r="G2" s="20">
        <f>IF(D2=1,F2,"")</f>
        <v>1.4752326626835953E-2</v>
      </c>
      <c r="H2" s="20">
        <v>0</v>
      </c>
      <c r="I2" s="20">
        <v>0</v>
      </c>
      <c r="J2" s="20">
        <f>ABS(G2)</f>
        <v>1.4752326626835953E-2</v>
      </c>
      <c r="K2" s="20">
        <f t="shared" ref="K2:L17" si="0">ABS(H2)</f>
        <v>0</v>
      </c>
      <c r="L2" s="20">
        <f t="shared" si="0"/>
        <v>0</v>
      </c>
    </row>
    <row r="3" spans="1:12" x14ac:dyDescent="0.35">
      <c r="A3" t="s">
        <v>27</v>
      </c>
      <c r="B3">
        <v>-2</v>
      </c>
      <c r="D3" s="20">
        <f>IF(D2&lt;=$B$5,D2+1,0)</f>
        <v>2</v>
      </c>
      <c r="E3" s="21">
        <f>IF(D2&lt;=$B$5,E2+$B$6,0)</f>
        <v>-1.825</v>
      </c>
      <c r="F3" s="20">
        <f>IF(D2&lt;=$B$5,(20*COS((5/2)*E3^2+1))/(E3^2+2),0)</f>
        <v>-3.7338238480369781</v>
      </c>
      <c r="G3" s="20">
        <f>IF(D3=$B$5+1,F3,0)</f>
        <v>0</v>
      </c>
      <c r="H3" s="20">
        <f>IF(D2&lt;$B$5,F3*MOD(D2,2),0)</f>
        <v>-3.7338238480369781</v>
      </c>
      <c r="I3" s="20">
        <f>IF(D2&lt;$B$5,F3*MOD(D3,2),0)</f>
        <v>0</v>
      </c>
      <c r="J3" s="20">
        <f t="shared" ref="J3:L66" si="1">ABS(G3)</f>
        <v>0</v>
      </c>
      <c r="K3" s="20">
        <f t="shared" si="0"/>
        <v>3.7338238480369781</v>
      </c>
      <c r="L3" s="20">
        <f t="shared" si="0"/>
        <v>0</v>
      </c>
    </row>
    <row r="4" spans="1:12" x14ac:dyDescent="0.35">
      <c r="A4" t="s">
        <v>28</v>
      </c>
      <c r="B4">
        <v>1.5</v>
      </c>
      <c r="D4" s="20">
        <f t="shared" ref="D4:D21" si="2">IF(D3&lt;=$B$5,D3+1,"")</f>
        <v>3</v>
      </c>
      <c r="E4" s="21">
        <f>IF(D3&lt;=$B$5,E3+$B$6,"")</f>
        <v>-1.65</v>
      </c>
      <c r="F4" s="20">
        <f>IF(D3&lt;=$B$5,(20*COS((5/2)*E4^2+1))/(E4^2+2),"")</f>
        <v>0.20206886806324925</v>
      </c>
      <c r="G4" s="20">
        <f t="shared" ref="G4:G67" si="3">IF(D4=$B$5+1,F4,0)</f>
        <v>0</v>
      </c>
      <c r="H4" s="20">
        <f t="shared" ref="H4:H67" si="4">IF(D3&lt;$B$5,F4*MOD(D3,2),0)</f>
        <v>0</v>
      </c>
      <c r="I4" s="20">
        <f t="shared" ref="I4:I67" si="5">IF(D3&lt;$B$5,F4*MOD(D4,2),0)</f>
        <v>0.20206886806324925</v>
      </c>
      <c r="J4" s="20">
        <f t="shared" si="1"/>
        <v>0</v>
      </c>
      <c r="K4" s="20">
        <f t="shared" si="0"/>
        <v>0</v>
      </c>
      <c r="L4" s="20">
        <f t="shared" si="0"/>
        <v>0.20206886806324925</v>
      </c>
    </row>
    <row r="5" spans="1:12" x14ac:dyDescent="0.35">
      <c r="A5" t="s">
        <v>29</v>
      </c>
      <c r="B5">
        <v>20</v>
      </c>
      <c r="C5" t="str">
        <f>IF(MOD(B5,2)&lt;&gt;0,"x","")</f>
        <v/>
      </c>
      <c r="D5" s="20">
        <f t="shared" si="2"/>
        <v>4</v>
      </c>
      <c r="E5" s="21">
        <f>IF(D4&lt;=$B$5,E4+$B$6,"")</f>
        <v>-1.4749999999999999</v>
      </c>
      <c r="F5" s="20">
        <f>IF(D4&lt;=$B$5,(20*COS((5/2)*E5^2+1))/(E5^2+2),"")</f>
        <v>4.7316304963001397</v>
      </c>
      <c r="G5" s="20">
        <f t="shared" si="3"/>
        <v>0</v>
      </c>
      <c r="H5" s="20">
        <f t="shared" si="4"/>
        <v>4.7316304963001397</v>
      </c>
      <c r="I5" s="20">
        <f t="shared" si="5"/>
        <v>0</v>
      </c>
      <c r="J5" s="20">
        <f t="shared" si="1"/>
        <v>0</v>
      </c>
      <c r="K5" s="20">
        <f t="shared" si="0"/>
        <v>4.7316304963001397</v>
      </c>
      <c r="L5" s="20">
        <f t="shared" si="0"/>
        <v>0</v>
      </c>
    </row>
    <row r="6" spans="1:12" x14ac:dyDescent="0.35">
      <c r="A6" t="s">
        <v>18</v>
      </c>
      <c r="B6">
        <f>(B4-B3)/B5</f>
        <v>0.17499999999999999</v>
      </c>
      <c r="D6" s="20">
        <f t="shared" si="2"/>
        <v>5</v>
      </c>
      <c r="E6" s="21">
        <f>IF(D5&lt;=$B$5,E5+$B$6,"")</f>
        <v>-1.2999999999999998</v>
      </c>
      <c r="F6" s="20">
        <f>IF(D5&lt;=$B$5,(20*COS((5/2)*E6^2+1))/(E6^2+2),"")</f>
        <v>2.6582890692019787</v>
      </c>
      <c r="G6" s="20">
        <f t="shared" si="3"/>
        <v>0</v>
      </c>
      <c r="H6" s="20">
        <f t="shared" si="4"/>
        <v>0</v>
      </c>
      <c r="I6" s="20">
        <f t="shared" si="5"/>
        <v>2.6582890692019787</v>
      </c>
      <c r="J6" s="20">
        <f t="shared" si="1"/>
        <v>0</v>
      </c>
      <c r="K6" s="20">
        <f t="shared" si="0"/>
        <v>0</v>
      </c>
      <c r="L6" s="20">
        <f t="shared" si="0"/>
        <v>2.6582890692019787</v>
      </c>
    </row>
    <row r="7" spans="1:12" x14ac:dyDescent="0.35">
      <c r="D7" s="20">
        <f t="shared" si="2"/>
        <v>6</v>
      </c>
      <c r="E7" s="21">
        <f>IF(D6&lt;=$B$5,E6+$B$6,"")</f>
        <v>-1.1249999999999998</v>
      </c>
      <c r="F7" s="20">
        <f>IF(D6&lt;=$B$5,(20*COS((5/2)*E7^2+1))/(E7^2+2),"")</f>
        <v>-3.1924044013009354</v>
      </c>
      <c r="G7" s="20">
        <f t="shared" si="3"/>
        <v>0</v>
      </c>
      <c r="H7" s="20">
        <f t="shared" si="4"/>
        <v>-3.1924044013009354</v>
      </c>
      <c r="I7" s="20">
        <f t="shared" si="5"/>
        <v>0</v>
      </c>
      <c r="J7" s="20">
        <f t="shared" si="1"/>
        <v>0</v>
      </c>
      <c r="K7" s="20">
        <f t="shared" si="0"/>
        <v>3.1924044013009354</v>
      </c>
      <c r="L7" s="20">
        <f t="shared" si="0"/>
        <v>0</v>
      </c>
    </row>
    <row r="8" spans="1:12" x14ac:dyDescent="0.35">
      <c r="A8" t="s">
        <v>30</v>
      </c>
      <c r="B8">
        <f>(1/3)*B6*(SUM(G2:G500))</f>
        <v>0.25948939781879427</v>
      </c>
      <c r="D8" s="20">
        <f t="shared" si="2"/>
        <v>7</v>
      </c>
      <c r="E8" s="21">
        <f>IF(D7&lt;=$B$5,E7+$B$6,"")</f>
        <v>-0.94999999999999973</v>
      </c>
      <c r="F8" s="20">
        <f>IF(D7&lt;=$B$5,(20*COS((5/2)*E8^2+1))/(E8^2+2),"")</f>
        <v>-6.8453680920597071</v>
      </c>
      <c r="G8" s="20">
        <f t="shared" si="3"/>
        <v>0</v>
      </c>
      <c r="H8" s="20">
        <f t="shared" si="4"/>
        <v>0</v>
      </c>
      <c r="I8" s="20">
        <f t="shared" si="5"/>
        <v>-6.8453680920597071</v>
      </c>
      <c r="J8" s="20">
        <f t="shared" si="1"/>
        <v>0</v>
      </c>
      <c r="K8" s="20">
        <f t="shared" si="0"/>
        <v>0</v>
      </c>
      <c r="L8" s="20">
        <f t="shared" si="0"/>
        <v>6.8453680920597071</v>
      </c>
    </row>
    <row r="9" spans="1:12" x14ac:dyDescent="0.35">
      <c r="D9" s="20">
        <f t="shared" si="2"/>
        <v>8</v>
      </c>
      <c r="E9" s="21">
        <f>IF(D8&lt;=$B$5,E8+$B$6,"")</f>
        <v>-0.77499999999999969</v>
      </c>
      <c r="F9" s="20">
        <f>IF(D8&lt;=$B$5,(20*COS((5/2)*E9^2+1))/(E9^2+2),"")</f>
        <v>-6.1683460701429924</v>
      </c>
      <c r="G9" s="20">
        <f t="shared" si="3"/>
        <v>0</v>
      </c>
      <c r="H9" s="20">
        <f t="shared" si="4"/>
        <v>-6.1683460701429924</v>
      </c>
      <c r="I9" s="20">
        <f t="shared" si="5"/>
        <v>0</v>
      </c>
      <c r="J9" s="20">
        <f t="shared" si="1"/>
        <v>0</v>
      </c>
      <c r="K9" s="20">
        <f t="shared" si="0"/>
        <v>6.1683460701429924</v>
      </c>
      <c r="L9" s="20">
        <f t="shared" si="0"/>
        <v>0</v>
      </c>
    </row>
    <row r="10" spans="1:12" x14ac:dyDescent="0.35">
      <c r="A10" t="s">
        <v>31</v>
      </c>
      <c r="B10">
        <f>(1/3)*4*B6*SUM(H2:H500)</f>
        <v>-1.1602559479384222</v>
      </c>
      <c r="D10" s="20">
        <f t="shared" si="2"/>
        <v>9</v>
      </c>
      <c r="E10" s="21">
        <f>IF(D9&lt;=$B$5,E9+$B$6,"")</f>
        <v>-0.59999999999999964</v>
      </c>
      <c r="F10" s="20">
        <f>IF(D9&lt;=$B$5,(20*COS((5/2)*E10^2+1))/(E10^2+2),"")</f>
        <v>-2.7397420920635813</v>
      </c>
      <c r="G10" s="20">
        <f t="shared" si="3"/>
        <v>0</v>
      </c>
      <c r="H10" s="20">
        <f t="shared" si="4"/>
        <v>0</v>
      </c>
      <c r="I10" s="20">
        <f t="shared" si="5"/>
        <v>-2.7397420920635813</v>
      </c>
      <c r="J10" s="20">
        <f t="shared" si="1"/>
        <v>0</v>
      </c>
      <c r="K10" s="20">
        <f t="shared" si="0"/>
        <v>0</v>
      </c>
      <c r="L10" s="20">
        <f t="shared" si="0"/>
        <v>2.7397420920635813</v>
      </c>
    </row>
    <row r="11" spans="1:12" x14ac:dyDescent="0.35">
      <c r="D11" s="20">
        <f t="shared" si="2"/>
        <v>10</v>
      </c>
      <c r="E11" s="21">
        <f>IF(D10&lt;=$B$5,E10+$B$6,"")</f>
        <v>-0.42499999999999966</v>
      </c>
      <c r="F11" s="20">
        <f>IF(D10&lt;=$B$5,(20*COS((5/2)*E11^2+1))/(E11^2+2),"")</f>
        <v>1.0909854638183436</v>
      </c>
      <c r="G11" s="20">
        <f t="shared" si="3"/>
        <v>0</v>
      </c>
      <c r="H11" s="20">
        <f t="shared" si="4"/>
        <v>1.0909854638183436</v>
      </c>
      <c r="I11" s="20">
        <f t="shared" si="5"/>
        <v>0</v>
      </c>
      <c r="J11" s="20">
        <f t="shared" si="1"/>
        <v>0</v>
      </c>
      <c r="K11" s="20">
        <f t="shared" si="0"/>
        <v>1.0909854638183436</v>
      </c>
      <c r="L11" s="20">
        <f t="shared" si="0"/>
        <v>0</v>
      </c>
    </row>
    <row r="12" spans="1:12" x14ac:dyDescent="0.35">
      <c r="A12" t="s">
        <v>32</v>
      </c>
      <c r="B12">
        <f>(1/3)*2*B6*SUM(I2:I300)</f>
        <v>-0.69275330443923944</v>
      </c>
      <c r="D12" s="20">
        <f t="shared" si="2"/>
        <v>11</v>
      </c>
      <c r="E12" s="21">
        <f>IF(D11&lt;=$B$5,E11+$B$6,"")</f>
        <v>-0.24999999999999967</v>
      </c>
      <c r="F12" s="20">
        <f>IF(D11&lt;=$B$5,(20*COS((5/2)*E12^2+1))/(E12^2+2),"")</f>
        <v>3.9056943045193484</v>
      </c>
      <c r="G12" s="20">
        <f t="shared" si="3"/>
        <v>0</v>
      </c>
      <c r="H12" s="20">
        <f t="shared" si="4"/>
        <v>0</v>
      </c>
      <c r="I12" s="20">
        <f t="shared" si="5"/>
        <v>3.9056943045193484</v>
      </c>
      <c r="J12" s="20">
        <f t="shared" si="1"/>
        <v>0</v>
      </c>
      <c r="K12" s="20">
        <f t="shared" si="0"/>
        <v>0</v>
      </c>
      <c r="L12" s="20">
        <f t="shared" si="0"/>
        <v>3.9056943045193484</v>
      </c>
    </row>
    <row r="13" spans="1:12" x14ac:dyDescent="0.35">
      <c r="D13" s="20">
        <f t="shared" si="2"/>
        <v>12</v>
      </c>
      <c r="E13" s="21">
        <f>IF(D12&lt;=$B$5,E12+$B$6,"")</f>
        <v>-7.4999999999999678E-2</v>
      </c>
      <c r="F13" s="20">
        <f>IF(D12&lt;=$B$5,(20*COS((5/2)*E13^2+1))/(E13^2+2),"")</f>
        <v>5.2693408546943798</v>
      </c>
      <c r="G13" s="20">
        <f t="shared" si="3"/>
        <v>0</v>
      </c>
      <c r="H13" s="20">
        <f t="shared" si="4"/>
        <v>5.2693408546943798</v>
      </c>
      <c r="I13" s="20">
        <f t="shared" si="5"/>
        <v>0</v>
      </c>
      <c r="J13" s="20">
        <f t="shared" si="1"/>
        <v>0</v>
      </c>
      <c r="K13" s="20">
        <f t="shared" si="0"/>
        <v>5.2693408546943798</v>
      </c>
      <c r="L13" s="20">
        <f t="shared" si="0"/>
        <v>0</v>
      </c>
    </row>
    <row r="14" spans="1:12" x14ac:dyDescent="0.35">
      <c r="A14" t="s">
        <v>34</v>
      </c>
      <c r="B14">
        <f>SUM(B8:B12)</f>
        <v>-1.5935198545588674</v>
      </c>
      <c r="D14" s="20">
        <f t="shared" si="2"/>
        <v>13</v>
      </c>
      <c r="E14" s="21">
        <f>IF(D13&lt;=$B$5,E13+$B$6,"")</f>
        <v>0.10000000000000031</v>
      </c>
      <c r="F14" s="20">
        <f>IF(D13&lt;=$B$5,(20*COS((5/2)*E14^2+1))/(E14^2+2),"")</f>
        <v>5.165163053068353</v>
      </c>
      <c r="G14" s="20">
        <f t="shared" si="3"/>
        <v>0</v>
      </c>
      <c r="H14" s="20">
        <f t="shared" si="4"/>
        <v>0</v>
      </c>
      <c r="I14" s="20">
        <f t="shared" si="5"/>
        <v>5.165163053068353</v>
      </c>
      <c r="J14" s="20">
        <f t="shared" si="1"/>
        <v>0</v>
      </c>
      <c r="K14" s="20">
        <f t="shared" si="0"/>
        <v>0</v>
      </c>
      <c r="L14" s="20">
        <f t="shared" si="0"/>
        <v>5.165163053068353</v>
      </c>
    </row>
    <row r="15" spans="1:12" x14ac:dyDescent="0.35">
      <c r="D15" s="20">
        <f t="shared" si="2"/>
        <v>14</v>
      </c>
      <c r="E15" s="21">
        <f>IF(D14&lt;=$B$5,E14+$B$6,"")</f>
        <v>0.2750000000000003</v>
      </c>
      <c r="F15" s="20">
        <f>IF(D14&lt;=$B$5,(20*COS((5/2)*E15^2+1))/(E15^2+2),"")</f>
        <v>3.5895699339982539</v>
      </c>
      <c r="G15" s="20">
        <f t="shared" si="3"/>
        <v>0</v>
      </c>
      <c r="H15" s="20">
        <f t="shared" si="4"/>
        <v>3.5895699339982539</v>
      </c>
      <c r="I15" s="20">
        <f t="shared" si="5"/>
        <v>0</v>
      </c>
      <c r="J15" s="20">
        <f t="shared" si="1"/>
        <v>0</v>
      </c>
      <c r="K15" s="20">
        <f t="shared" si="0"/>
        <v>3.5895699339982539</v>
      </c>
      <c r="L15" s="20">
        <f t="shared" si="0"/>
        <v>0</v>
      </c>
    </row>
    <row r="16" spans="1:12" x14ac:dyDescent="0.35">
      <c r="A16" t="s">
        <v>30</v>
      </c>
      <c r="B16">
        <f>(1/3)*B6*(SUM(J2:J300))</f>
        <v>0.25948939781879427</v>
      </c>
      <c r="D16" s="20">
        <f t="shared" si="2"/>
        <v>15</v>
      </c>
      <c r="E16" s="21">
        <f>IF(D15&lt;=$B$5,E15+$B$6,"")</f>
        <v>0.45000000000000029</v>
      </c>
      <c r="F16" s="20">
        <f>IF(D15&lt;=$B$5,(20*COS((5/2)*E16^2+1))/(E16^2+2),"")</f>
        <v>0.58571184570306423</v>
      </c>
      <c r="G16" s="20">
        <f t="shared" si="3"/>
        <v>0</v>
      </c>
      <c r="H16" s="20">
        <f t="shared" si="4"/>
        <v>0</v>
      </c>
      <c r="I16" s="20">
        <f t="shared" si="5"/>
        <v>0.58571184570306423</v>
      </c>
      <c r="J16" s="20">
        <f t="shared" si="1"/>
        <v>0</v>
      </c>
      <c r="K16" s="20">
        <f t="shared" si="0"/>
        <v>0</v>
      </c>
      <c r="L16" s="20">
        <f t="shared" si="0"/>
        <v>0.58571184570306423</v>
      </c>
    </row>
    <row r="17" spans="1:12" x14ac:dyDescent="0.35">
      <c r="D17" s="20">
        <f t="shared" si="2"/>
        <v>16</v>
      </c>
      <c r="E17" s="21">
        <f>IF(D16&lt;=$B$5,E16+$B$6,"")</f>
        <v>0.62500000000000022</v>
      </c>
      <c r="F17" s="20">
        <f>IF(D16&lt;=$B$5,(20*COS((5/2)*E17^2+1))/(E17^2+2),"")</f>
        <v>-3.3022564081160963</v>
      </c>
      <c r="G17" s="20">
        <f t="shared" si="3"/>
        <v>0</v>
      </c>
      <c r="H17" s="20">
        <f t="shared" si="4"/>
        <v>-3.3022564081160963</v>
      </c>
      <c r="I17" s="20">
        <f t="shared" si="5"/>
        <v>0</v>
      </c>
      <c r="J17" s="20">
        <f t="shared" si="1"/>
        <v>0</v>
      </c>
      <c r="K17" s="20">
        <f t="shared" si="0"/>
        <v>3.3022564081160963</v>
      </c>
      <c r="L17" s="20">
        <f t="shared" si="0"/>
        <v>0</v>
      </c>
    </row>
    <row r="18" spans="1:12" x14ac:dyDescent="0.35">
      <c r="A18" t="s">
        <v>31</v>
      </c>
      <c r="B18">
        <f>(1/3)*4*B6*SUM(K2:K300)</f>
        <v>9.567850387301192</v>
      </c>
      <c r="D18" s="20">
        <f t="shared" si="2"/>
        <v>17</v>
      </c>
      <c r="E18" s="21">
        <f>IF(D17&lt;=$B$5,E17+$B$6,"")</f>
        <v>0.80000000000000027</v>
      </c>
      <c r="F18" s="20">
        <f>IF(D17&lt;=$B$5,(20*COS((5/2)*E18^2+1))/(E18^2+2),"")</f>
        <v>-6.4915814649162717</v>
      </c>
      <c r="G18" s="20">
        <f t="shared" si="3"/>
        <v>0</v>
      </c>
      <c r="H18" s="20">
        <f t="shared" si="4"/>
        <v>0</v>
      </c>
      <c r="I18" s="20">
        <f t="shared" si="5"/>
        <v>-6.4915814649162717</v>
      </c>
      <c r="J18" s="20">
        <f t="shared" si="1"/>
        <v>0</v>
      </c>
      <c r="K18" s="20">
        <f t="shared" si="1"/>
        <v>0</v>
      </c>
      <c r="L18" s="20">
        <f t="shared" si="1"/>
        <v>6.4915814649162717</v>
      </c>
    </row>
    <row r="19" spans="1:12" x14ac:dyDescent="0.35">
      <c r="D19" s="20">
        <f t="shared" si="2"/>
        <v>18</v>
      </c>
      <c r="E19" s="21">
        <f>IF(D18&lt;=$B$5,E18+$B$6,"")</f>
        <v>0.97500000000000031</v>
      </c>
      <c r="F19" s="20">
        <f>IF(D18&lt;=$B$5,(20*COS((5/2)*E19^2+1))/(E19^2+2),"")</f>
        <v>-6.5919685622021698</v>
      </c>
      <c r="G19" s="20">
        <f t="shared" si="3"/>
        <v>0</v>
      </c>
      <c r="H19" s="20">
        <f t="shared" si="4"/>
        <v>-6.5919685622021698</v>
      </c>
      <c r="I19" s="20">
        <f t="shared" si="5"/>
        <v>0</v>
      </c>
      <c r="J19" s="20">
        <f t="shared" si="1"/>
        <v>0</v>
      </c>
      <c r="K19" s="20">
        <f t="shared" si="1"/>
        <v>6.5919685622021698</v>
      </c>
      <c r="L19" s="20">
        <f t="shared" si="1"/>
        <v>0</v>
      </c>
    </row>
    <row r="20" spans="1:12" x14ac:dyDescent="0.35">
      <c r="A20" t="s">
        <v>32</v>
      </c>
      <c r="B20">
        <f>(1/3)*2*B6*SUM(L2:L500)</f>
        <v>3.6133696372356376</v>
      </c>
      <c r="D20" s="20">
        <f t="shared" si="2"/>
        <v>19</v>
      </c>
      <c r="E20" s="21">
        <f>IF(D19&lt;=$B$5,E19+$B$6,"")</f>
        <v>1.1500000000000004</v>
      </c>
      <c r="F20" s="20">
        <f>IF(D19&lt;=$B$5,(20*COS((5/2)*E20^2+1))/(E20^2+2),"")</f>
        <v>-2.3781209581384868</v>
      </c>
      <c r="G20" s="20">
        <f t="shared" si="3"/>
        <v>0</v>
      </c>
      <c r="H20" s="20">
        <f t="shared" si="4"/>
        <v>0</v>
      </c>
      <c r="I20" s="20">
        <f t="shared" si="5"/>
        <v>-2.3781209581384868</v>
      </c>
      <c r="J20" s="20">
        <f t="shared" si="1"/>
        <v>0</v>
      </c>
      <c r="K20" s="20">
        <f t="shared" si="1"/>
        <v>0</v>
      </c>
      <c r="L20" s="20">
        <f t="shared" si="1"/>
        <v>2.3781209581384868</v>
      </c>
    </row>
    <row r="21" spans="1:12" x14ac:dyDescent="0.35">
      <c r="D21" s="20">
        <f t="shared" si="2"/>
        <v>20</v>
      </c>
      <c r="E21" s="21">
        <f>IF(D20&lt;=$B$5,E20+$B$6,"")</f>
        <v>1.3250000000000004</v>
      </c>
      <c r="F21" s="20">
        <f>IF(D20&lt;=$B$5,(20*COS((5/2)*E21^2+1))/(E21^2+2),"")</f>
        <v>3.3347470498233887</v>
      </c>
      <c r="G21" s="20">
        <f t="shared" si="3"/>
        <v>0</v>
      </c>
      <c r="H21" s="20">
        <f t="shared" si="4"/>
        <v>3.3347470498233887</v>
      </c>
      <c r="I21" s="20">
        <f t="shared" si="5"/>
        <v>0</v>
      </c>
      <c r="J21" s="20">
        <f t="shared" si="1"/>
        <v>0</v>
      </c>
      <c r="K21" s="20">
        <f t="shared" si="1"/>
        <v>3.3347470498233887</v>
      </c>
      <c r="L21" s="20">
        <f t="shared" si="1"/>
        <v>0</v>
      </c>
    </row>
    <row r="22" spans="1:12" x14ac:dyDescent="0.35">
      <c r="A22" t="s">
        <v>33</v>
      </c>
      <c r="B22">
        <f>SUM(B16:B20)</f>
        <v>13.440709422355624</v>
      </c>
      <c r="D22" s="20">
        <f>IF(D21&lt;=$B$5,D21+1,"")</f>
        <v>21</v>
      </c>
      <c r="E22" s="21">
        <f>IF(D21&lt;=$B$5,E21+$B$6,"")</f>
        <v>1.5000000000000004</v>
      </c>
      <c r="F22" s="20">
        <f>IF(D21&lt;=$B$5,(20*COS((5/2)*E22^2+1))/(E22^2+2),"")</f>
        <v>4.4336373502667801</v>
      </c>
      <c r="G22" s="20">
        <f t="shared" si="3"/>
        <v>4.4336373502667801</v>
      </c>
      <c r="H22" s="20">
        <f t="shared" si="4"/>
        <v>0</v>
      </c>
      <c r="I22" s="20">
        <f t="shared" si="5"/>
        <v>0</v>
      </c>
      <c r="J22" s="20">
        <f t="shared" si="1"/>
        <v>4.4336373502667801</v>
      </c>
      <c r="K22" s="20">
        <f t="shared" si="1"/>
        <v>0</v>
      </c>
      <c r="L22" s="20">
        <f t="shared" si="1"/>
        <v>0</v>
      </c>
    </row>
    <row r="23" spans="1:12" x14ac:dyDescent="0.35">
      <c r="D23" s="20" t="str">
        <f t="shared" ref="D23:D86" si="6">IF(D22&lt;=$B$5,D22+1,"")</f>
        <v/>
      </c>
      <c r="E23" s="21" t="str">
        <f t="shared" ref="E23:E86" si="7">IF(D22&lt;=$B$5,E22+$B$6,"")</f>
        <v/>
      </c>
      <c r="F23" s="20" t="str">
        <f t="shared" ref="F23:F86" si="8">IF(D22&lt;=$B$5,(20*COS((5/2)*E23^2+1))/(E23^2+2),"")</f>
        <v/>
      </c>
      <c r="G23" s="20">
        <f t="shared" si="3"/>
        <v>0</v>
      </c>
      <c r="H23" s="20">
        <f t="shared" si="4"/>
        <v>0</v>
      </c>
      <c r="I23" s="20">
        <f t="shared" si="5"/>
        <v>0</v>
      </c>
      <c r="J23" s="20">
        <f t="shared" si="1"/>
        <v>0</v>
      </c>
      <c r="K23" s="20">
        <f t="shared" si="1"/>
        <v>0</v>
      </c>
      <c r="L23" s="20">
        <f t="shared" si="1"/>
        <v>0</v>
      </c>
    </row>
    <row r="24" spans="1:12" x14ac:dyDescent="0.35">
      <c r="D24" s="20" t="str">
        <f t="shared" si="6"/>
        <v/>
      </c>
      <c r="E24" s="21" t="str">
        <f t="shared" si="7"/>
        <v/>
      </c>
      <c r="F24" s="20" t="str">
        <f t="shared" si="8"/>
        <v/>
      </c>
      <c r="G24" s="20">
        <f t="shared" si="3"/>
        <v>0</v>
      </c>
      <c r="H24" s="20">
        <f t="shared" si="4"/>
        <v>0</v>
      </c>
      <c r="I24" s="20">
        <f t="shared" si="5"/>
        <v>0</v>
      </c>
      <c r="J24" s="20">
        <f t="shared" si="1"/>
        <v>0</v>
      </c>
      <c r="K24" s="20">
        <f t="shared" si="1"/>
        <v>0</v>
      </c>
      <c r="L24" s="20">
        <f t="shared" si="1"/>
        <v>0</v>
      </c>
    </row>
    <row r="25" spans="1:12" x14ac:dyDescent="0.35">
      <c r="D25" s="20" t="str">
        <f t="shared" si="6"/>
        <v/>
      </c>
      <c r="E25" s="21" t="str">
        <f t="shared" si="7"/>
        <v/>
      </c>
      <c r="F25" s="20" t="str">
        <f t="shared" si="8"/>
        <v/>
      </c>
      <c r="G25" s="20">
        <f t="shared" si="3"/>
        <v>0</v>
      </c>
      <c r="H25" s="20">
        <f t="shared" si="4"/>
        <v>0</v>
      </c>
      <c r="I25" s="20">
        <f t="shared" si="5"/>
        <v>0</v>
      </c>
      <c r="J25" s="20">
        <f t="shared" si="1"/>
        <v>0</v>
      </c>
      <c r="K25" s="20">
        <f t="shared" si="1"/>
        <v>0</v>
      </c>
      <c r="L25" s="20">
        <f t="shared" si="1"/>
        <v>0</v>
      </c>
    </row>
    <row r="26" spans="1:12" x14ac:dyDescent="0.35">
      <c r="D26" s="20" t="str">
        <f t="shared" si="6"/>
        <v/>
      </c>
      <c r="E26" s="21" t="str">
        <f t="shared" si="7"/>
        <v/>
      </c>
      <c r="F26" s="20" t="str">
        <f t="shared" si="8"/>
        <v/>
      </c>
      <c r="G26" s="20">
        <f t="shared" si="3"/>
        <v>0</v>
      </c>
      <c r="H26" s="20">
        <f t="shared" si="4"/>
        <v>0</v>
      </c>
      <c r="I26" s="20">
        <f t="shared" si="5"/>
        <v>0</v>
      </c>
      <c r="J26" s="20">
        <f t="shared" si="1"/>
        <v>0</v>
      </c>
      <c r="K26" s="20">
        <f t="shared" si="1"/>
        <v>0</v>
      </c>
      <c r="L26" s="20">
        <f t="shared" si="1"/>
        <v>0</v>
      </c>
    </row>
    <row r="27" spans="1:12" x14ac:dyDescent="0.35">
      <c r="D27" s="20" t="str">
        <f t="shared" si="6"/>
        <v/>
      </c>
      <c r="E27" s="21" t="str">
        <f t="shared" si="7"/>
        <v/>
      </c>
      <c r="F27" s="20" t="str">
        <f t="shared" si="8"/>
        <v/>
      </c>
      <c r="G27" s="20">
        <f t="shared" si="3"/>
        <v>0</v>
      </c>
      <c r="H27" s="20">
        <f t="shared" si="4"/>
        <v>0</v>
      </c>
      <c r="I27" s="20">
        <f t="shared" si="5"/>
        <v>0</v>
      </c>
      <c r="J27" s="20">
        <f t="shared" si="1"/>
        <v>0</v>
      </c>
      <c r="K27" s="20">
        <f t="shared" si="1"/>
        <v>0</v>
      </c>
      <c r="L27" s="20">
        <f t="shared" si="1"/>
        <v>0</v>
      </c>
    </row>
    <row r="28" spans="1:12" x14ac:dyDescent="0.35">
      <c r="D28" s="20" t="str">
        <f t="shared" si="6"/>
        <v/>
      </c>
      <c r="E28" s="21" t="str">
        <f t="shared" si="7"/>
        <v/>
      </c>
      <c r="F28" s="20" t="str">
        <f t="shared" si="8"/>
        <v/>
      </c>
      <c r="G28" s="20">
        <f t="shared" si="3"/>
        <v>0</v>
      </c>
      <c r="H28" s="20">
        <f t="shared" si="4"/>
        <v>0</v>
      </c>
      <c r="I28" s="20">
        <f t="shared" si="5"/>
        <v>0</v>
      </c>
      <c r="J28" s="20">
        <f t="shared" si="1"/>
        <v>0</v>
      </c>
      <c r="K28" s="20">
        <f t="shared" si="1"/>
        <v>0</v>
      </c>
      <c r="L28" s="20">
        <f t="shared" si="1"/>
        <v>0</v>
      </c>
    </row>
    <row r="29" spans="1:12" x14ac:dyDescent="0.35">
      <c r="D29" s="20" t="str">
        <f t="shared" si="6"/>
        <v/>
      </c>
      <c r="E29" s="21" t="str">
        <f t="shared" si="7"/>
        <v/>
      </c>
      <c r="F29" s="20" t="str">
        <f t="shared" si="8"/>
        <v/>
      </c>
      <c r="G29" s="20">
        <f t="shared" si="3"/>
        <v>0</v>
      </c>
      <c r="H29" s="20">
        <f t="shared" si="4"/>
        <v>0</v>
      </c>
      <c r="I29" s="20">
        <f t="shared" si="5"/>
        <v>0</v>
      </c>
      <c r="J29" s="20">
        <f t="shared" si="1"/>
        <v>0</v>
      </c>
      <c r="K29" s="20">
        <f t="shared" si="1"/>
        <v>0</v>
      </c>
      <c r="L29" s="20">
        <f t="shared" si="1"/>
        <v>0</v>
      </c>
    </row>
    <row r="30" spans="1:12" x14ac:dyDescent="0.35">
      <c r="D30" s="20" t="str">
        <f t="shared" si="6"/>
        <v/>
      </c>
      <c r="E30" s="21" t="str">
        <f t="shared" si="7"/>
        <v/>
      </c>
      <c r="F30" s="20" t="str">
        <f t="shared" si="8"/>
        <v/>
      </c>
      <c r="G30" s="20">
        <f t="shared" si="3"/>
        <v>0</v>
      </c>
      <c r="H30" s="20">
        <f t="shared" si="4"/>
        <v>0</v>
      </c>
      <c r="I30" s="20">
        <f t="shared" si="5"/>
        <v>0</v>
      </c>
      <c r="J30" s="20">
        <f t="shared" si="1"/>
        <v>0</v>
      </c>
      <c r="K30" s="20">
        <f t="shared" si="1"/>
        <v>0</v>
      </c>
      <c r="L30" s="20">
        <f t="shared" si="1"/>
        <v>0</v>
      </c>
    </row>
    <row r="31" spans="1:12" x14ac:dyDescent="0.35">
      <c r="D31" s="20" t="str">
        <f t="shared" si="6"/>
        <v/>
      </c>
      <c r="E31" s="21" t="str">
        <f t="shared" si="7"/>
        <v/>
      </c>
      <c r="F31" s="20" t="str">
        <f t="shared" si="8"/>
        <v/>
      </c>
      <c r="G31" s="20">
        <f t="shared" si="3"/>
        <v>0</v>
      </c>
      <c r="H31" s="20">
        <f t="shared" si="4"/>
        <v>0</v>
      </c>
      <c r="I31" s="20">
        <f t="shared" si="5"/>
        <v>0</v>
      </c>
      <c r="J31" s="20">
        <f t="shared" si="1"/>
        <v>0</v>
      </c>
      <c r="K31" s="20">
        <f t="shared" si="1"/>
        <v>0</v>
      </c>
      <c r="L31" s="20">
        <f t="shared" si="1"/>
        <v>0</v>
      </c>
    </row>
    <row r="32" spans="1:12" x14ac:dyDescent="0.35">
      <c r="D32" s="20" t="str">
        <f t="shared" si="6"/>
        <v/>
      </c>
      <c r="E32" s="21" t="str">
        <f t="shared" si="7"/>
        <v/>
      </c>
      <c r="F32" s="20" t="str">
        <f t="shared" si="8"/>
        <v/>
      </c>
      <c r="G32" s="20">
        <f t="shared" si="3"/>
        <v>0</v>
      </c>
      <c r="H32" s="20">
        <f t="shared" si="4"/>
        <v>0</v>
      </c>
      <c r="I32" s="20">
        <f t="shared" si="5"/>
        <v>0</v>
      </c>
      <c r="J32" s="20">
        <f t="shared" si="1"/>
        <v>0</v>
      </c>
      <c r="K32" s="20">
        <f t="shared" si="1"/>
        <v>0</v>
      </c>
      <c r="L32" s="20">
        <f t="shared" si="1"/>
        <v>0</v>
      </c>
    </row>
    <row r="33" spans="4:12" x14ac:dyDescent="0.35">
      <c r="D33" s="20" t="str">
        <f t="shared" si="6"/>
        <v/>
      </c>
      <c r="E33" s="21" t="str">
        <f t="shared" si="7"/>
        <v/>
      </c>
      <c r="F33" s="20" t="str">
        <f t="shared" si="8"/>
        <v/>
      </c>
      <c r="G33" s="20">
        <f t="shared" si="3"/>
        <v>0</v>
      </c>
      <c r="H33" s="20">
        <f t="shared" si="4"/>
        <v>0</v>
      </c>
      <c r="I33" s="20">
        <f t="shared" si="5"/>
        <v>0</v>
      </c>
      <c r="J33" s="20">
        <f t="shared" si="1"/>
        <v>0</v>
      </c>
      <c r="K33" s="20">
        <f t="shared" si="1"/>
        <v>0</v>
      </c>
      <c r="L33" s="20">
        <f t="shared" si="1"/>
        <v>0</v>
      </c>
    </row>
    <row r="34" spans="4:12" x14ac:dyDescent="0.35">
      <c r="D34" s="20" t="str">
        <f t="shared" si="6"/>
        <v/>
      </c>
      <c r="E34" s="21" t="str">
        <f t="shared" si="7"/>
        <v/>
      </c>
      <c r="F34" s="20" t="str">
        <f t="shared" si="8"/>
        <v/>
      </c>
      <c r="G34" s="20">
        <f t="shared" si="3"/>
        <v>0</v>
      </c>
      <c r="H34" s="20">
        <f t="shared" si="4"/>
        <v>0</v>
      </c>
      <c r="I34" s="20">
        <f t="shared" si="5"/>
        <v>0</v>
      </c>
      <c r="J34" s="20">
        <f t="shared" si="1"/>
        <v>0</v>
      </c>
      <c r="K34" s="20">
        <f t="shared" si="1"/>
        <v>0</v>
      </c>
      <c r="L34" s="20">
        <f t="shared" si="1"/>
        <v>0</v>
      </c>
    </row>
    <row r="35" spans="4:12" x14ac:dyDescent="0.35">
      <c r="D35" s="20" t="str">
        <f t="shared" si="6"/>
        <v/>
      </c>
      <c r="E35" s="21" t="str">
        <f t="shared" si="7"/>
        <v/>
      </c>
      <c r="F35" s="20" t="str">
        <f t="shared" si="8"/>
        <v/>
      </c>
      <c r="G35" s="20">
        <f t="shared" si="3"/>
        <v>0</v>
      </c>
      <c r="H35" s="20">
        <f t="shared" si="4"/>
        <v>0</v>
      </c>
      <c r="I35" s="20">
        <f t="shared" si="5"/>
        <v>0</v>
      </c>
      <c r="J35" s="20">
        <f t="shared" si="1"/>
        <v>0</v>
      </c>
      <c r="K35" s="20">
        <f t="shared" si="1"/>
        <v>0</v>
      </c>
      <c r="L35" s="20">
        <f t="shared" si="1"/>
        <v>0</v>
      </c>
    </row>
    <row r="36" spans="4:12" x14ac:dyDescent="0.35">
      <c r="D36" s="20" t="str">
        <f t="shared" si="6"/>
        <v/>
      </c>
      <c r="E36" s="21" t="str">
        <f t="shared" si="7"/>
        <v/>
      </c>
      <c r="F36" s="20" t="str">
        <f t="shared" si="8"/>
        <v/>
      </c>
      <c r="G36" s="20">
        <f t="shared" si="3"/>
        <v>0</v>
      </c>
      <c r="H36" s="20">
        <f t="shared" si="4"/>
        <v>0</v>
      </c>
      <c r="I36" s="20">
        <f t="shared" si="5"/>
        <v>0</v>
      </c>
      <c r="J36" s="20">
        <f t="shared" si="1"/>
        <v>0</v>
      </c>
      <c r="K36" s="20">
        <f t="shared" si="1"/>
        <v>0</v>
      </c>
      <c r="L36" s="20">
        <f t="shared" si="1"/>
        <v>0</v>
      </c>
    </row>
    <row r="37" spans="4:12" x14ac:dyDescent="0.35">
      <c r="D37" s="20" t="str">
        <f t="shared" si="6"/>
        <v/>
      </c>
      <c r="E37" s="21" t="str">
        <f t="shared" si="7"/>
        <v/>
      </c>
      <c r="F37" s="20" t="str">
        <f t="shared" si="8"/>
        <v/>
      </c>
      <c r="G37" s="20">
        <f t="shared" si="3"/>
        <v>0</v>
      </c>
      <c r="H37" s="20">
        <f t="shared" si="4"/>
        <v>0</v>
      </c>
      <c r="I37" s="20">
        <f t="shared" si="5"/>
        <v>0</v>
      </c>
      <c r="J37" s="20">
        <f t="shared" si="1"/>
        <v>0</v>
      </c>
      <c r="K37" s="20">
        <f t="shared" si="1"/>
        <v>0</v>
      </c>
      <c r="L37" s="20">
        <f t="shared" si="1"/>
        <v>0</v>
      </c>
    </row>
    <row r="38" spans="4:12" x14ac:dyDescent="0.35">
      <c r="D38" s="20" t="str">
        <f t="shared" si="6"/>
        <v/>
      </c>
      <c r="E38" s="21" t="str">
        <f t="shared" si="7"/>
        <v/>
      </c>
      <c r="F38" s="20" t="str">
        <f t="shared" si="8"/>
        <v/>
      </c>
      <c r="G38" s="20">
        <f t="shared" si="3"/>
        <v>0</v>
      </c>
      <c r="H38" s="20">
        <f t="shared" si="4"/>
        <v>0</v>
      </c>
      <c r="I38" s="20">
        <f t="shared" si="5"/>
        <v>0</v>
      </c>
      <c r="J38" s="20">
        <f t="shared" si="1"/>
        <v>0</v>
      </c>
      <c r="K38" s="20">
        <f t="shared" si="1"/>
        <v>0</v>
      </c>
      <c r="L38" s="20">
        <f t="shared" si="1"/>
        <v>0</v>
      </c>
    </row>
    <row r="39" spans="4:12" x14ac:dyDescent="0.35">
      <c r="D39" s="20" t="str">
        <f t="shared" si="6"/>
        <v/>
      </c>
      <c r="E39" s="21" t="str">
        <f t="shared" si="7"/>
        <v/>
      </c>
      <c r="F39" s="20" t="str">
        <f t="shared" si="8"/>
        <v/>
      </c>
      <c r="G39" s="20">
        <f t="shared" si="3"/>
        <v>0</v>
      </c>
      <c r="H39" s="20">
        <f t="shared" si="4"/>
        <v>0</v>
      </c>
      <c r="I39" s="20">
        <f t="shared" si="5"/>
        <v>0</v>
      </c>
      <c r="J39" s="20">
        <f t="shared" si="1"/>
        <v>0</v>
      </c>
      <c r="K39" s="20">
        <f t="shared" si="1"/>
        <v>0</v>
      </c>
      <c r="L39" s="20">
        <f t="shared" si="1"/>
        <v>0</v>
      </c>
    </row>
    <row r="40" spans="4:12" x14ac:dyDescent="0.35">
      <c r="D40" s="20" t="str">
        <f t="shared" si="6"/>
        <v/>
      </c>
      <c r="E40" s="21" t="str">
        <f t="shared" si="7"/>
        <v/>
      </c>
      <c r="F40" s="20" t="str">
        <f t="shared" si="8"/>
        <v/>
      </c>
      <c r="G40" s="20">
        <f t="shared" si="3"/>
        <v>0</v>
      </c>
      <c r="H40" s="20">
        <f t="shared" si="4"/>
        <v>0</v>
      </c>
      <c r="I40" s="20">
        <f t="shared" si="5"/>
        <v>0</v>
      </c>
      <c r="J40" s="20">
        <f t="shared" si="1"/>
        <v>0</v>
      </c>
      <c r="K40" s="20">
        <f t="shared" si="1"/>
        <v>0</v>
      </c>
      <c r="L40" s="20">
        <f t="shared" si="1"/>
        <v>0</v>
      </c>
    </row>
    <row r="41" spans="4:12" x14ac:dyDescent="0.35">
      <c r="D41" s="20" t="str">
        <f t="shared" si="6"/>
        <v/>
      </c>
      <c r="E41" s="21" t="str">
        <f t="shared" si="7"/>
        <v/>
      </c>
      <c r="F41" s="20" t="str">
        <f t="shared" si="8"/>
        <v/>
      </c>
      <c r="G41" s="20">
        <f t="shared" si="3"/>
        <v>0</v>
      </c>
      <c r="H41" s="20">
        <f t="shared" si="4"/>
        <v>0</v>
      </c>
      <c r="I41" s="20">
        <f t="shared" si="5"/>
        <v>0</v>
      </c>
      <c r="J41" s="20">
        <f t="shared" si="1"/>
        <v>0</v>
      </c>
      <c r="K41" s="20">
        <f t="shared" si="1"/>
        <v>0</v>
      </c>
      <c r="L41" s="20">
        <f t="shared" si="1"/>
        <v>0</v>
      </c>
    </row>
    <row r="42" spans="4:12" x14ac:dyDescent="0.35">
      <c r="D42" s="20" t="str">
        <f t="shared" si="6"/>
        <v/>
      </c>
      <c r="E42" s="21" t="str">
        <f t="shared" si="7"/>
        <v/>
      </c>
      <c r="F42" s="20" t="str">
        <f t="shared" si="8"/>
        <v/>
      </c>
      <c r="G42" s="20">
        <f t="shared" si="3"/>
        <v>0</v>
      </c>
      <c r="H42" s="20">
        <f t="shared" si="4"/>
        <v>0</v>
      </c>
      <c r="I42" s="20">
        <f t="shared" si="5"/>
        <v>0</v>
      </c>
      <c r="J42" s="20">
        <f t="shared" si="1"/>
        <v>0</v>
      </c>
      <c r="K42" s="20">
        <f t="shared" si="1"/>
        <v>0</v>
      </c>
      <c r="L42" s="20">
        <f t="shared" si="1"/>
        <v>0</v>
      </c>
    </row>
    <row r="43" spans="4:12" x14ac:dyDescent="0.35">
      <c r="D43" s="20" t="str">
        <f t="shared" si="6"/>
        <v/>
      </c>
      <c r="E43" s="21" t="str">
        <f t="shared" si="7"/>
        <v/>
      </c>
      <c r="F43" s="20" t="str">
        <f t="shared" si="8"/>
        <v/>
      </c>
      <c r="G43" s="20">
        <f t="shared" si="3"/>
        <v>0</v>
      </c>
      <c r="H43" s="20">
        <f t="shared" si="4"/>
        <v>0</v>
      </c>
      <c r="I43" s="20">
        <f t="shared" si="5"/>
        <v>0</v>
      </c>
      <c r="J43" s="20">
        <f t="shared" si="1"/>
        <v>0</v>
      </c>
      <c r="K43" s="20">
        <f t="shared" si="1"/>
        <v>0</v>
      </c>
      <c r="L43" s="20">
        <f t="shared" si="1"/>
        <v>0</v>
      </c>
    </row>
    <row r="44" spans="4:12" x14ac:dyDescent="0.35">
      <c r="D44" s="20" t="str">
        <f t="shared" si="6"/>
        <v/>
      </c>
      <c r="E44" s="21" t="str">
        <f t="shared" si="7"/>
        <v/>
      </c>
      <c r="F44" s="20" t="str">
        <f t="shared" si="8"/>
        <v/>
      </c>
      <c r="G44" s="20">
        <f t="shared" si="3"/>
        <v>0</v>
      </c>
      <c r="H44" s="20">
        <f t="shared" si="4"/>
        <v>0</v>
      </c>
      <c r="I44" s="20">
        <f t="shared" si="5"/>
        <v>0</v>
      </c>
      <c r="J44" s="20">
        <f t="shared" si="1"/>
        <v>0</v>
      </c>
      <c r="K44" s="20">
        <f t="shared" si="1"/>
        <v>0</v>
      </c>
      <c r="L44" s="20">
        <f t="shared" si="1"/>
        <v>0</v>
      </c>
    </row>
    <row r="45" spans="4:12" x14ac:dyDescent="0.35">
      <c r="D45" s="20" t="str">
        <f t="shared" si="6"/>
        <v/>
      </c>
      <c r="E45" s="21" t="str">
        <f t="shared" si="7"/>
        <v/>
      </c>
      <c r="F45" s="20" t="str">
        <f t="shared" si="8"/>
        <v/>
      </c>
      <c r="G45" s="20">
        <f t="shared" si="3"/>
        <v>0</v>
      </c>
      <c r="H45" s="20">
        <f t="shared" si="4"/>
        <v>0</v>
      </c>
      <c r="I45" s="20">
        <f t="shared" si="5"/>
        <v>0</v>
      </c>
      <c r="J45" s="20">
        <f t="shared" si="1"/>
        <v>0</v>
      </c>
      <c r="K45" s="20">
        <f t="shared" si="1"/>
        <v>0</v>
      </c>
      <c r="L45" s="20">
        <f t="shared" si="1"/>
        <v>0</v>
      </c>
    </row>
    <row r="46" spans="4:12" x14ac:dyDescent="0.35">
      <c r="D46" s="20" t="str">
        <f t="shared" si="6"/>
        <v/>
      </c>
      <c r="E46" s="21" t="str">
        <f t="shared" si="7"/>
        <v/>
      </c>
      <c r="F46" s="20" t="str">
        <f t="shared" si="8"/>
        <v/>
      </c>
      <c r="G46" s="20">
        <f t="shared" si="3"/>
        <v>0</v>
      </c>
      <c r="H46" s="20">
        <f t="shared" si="4"/>
        <v>0</v>
      </c>
      <c r="I46" s="20">
        <f t="shared" si="5"/>
        <v>0</v>
      </c>
      <c r="J46" s="20">
        <f t="shared" si="1"/>
        <v>0</v>
      </c>
      <c r="K46" s="20">
        <f t="shared" si="1"/>
        <v>0</v>
      </c>
      <c r="L46" s="20">
        <f t="shared" si="1"/>
        <v>0</v>
      </c>
    </row>
    <row r="47" spans="4:12" x14ac:dyDescent="0.35">
      <c r="D47" s="20" t="str">
        <f t="shared" si="6"/>
        <v/>
      </c>
      <c r="E47" s="21" t="str">
        <f t="shared" si="7"/>
        <v/>
      </c>
      <c r="F47" s="20" t="str">
        <f t="shared" si="8"/>
        <v/>
      </c>
      <c r="G47" s="20">
        <f t="shared" si="3"/>
        <v>0</v>
      </c>
      <c r="H47" s="20">
        <f t="shared" si="4"/>
        <v>0</v>
      </c>
      <c r="I47" s="20">
        <f t="shared" si="5"/>
        <v>0</v>
      </c>
      <c r="J47" s="20">
        <f t="shared" si="1"/>
        <v>0</v>
      </c>
      <c r="K47" s="20">
        <f t="shared" si="1"/>
        <v>0</v>
      </c>
      <c r="L47" s="20">
        <f t="shared" si="1"/>
        <v>0</v>
      </c>
    </row>
    <row r="48" spans="4:12" x14ac:dyDescent="0.35">
      <c r="D48" s="20" t="str">
        <f t="shared" si="6"/>
        <v/>
      </c>
      <c r="E48" s="21" t="str">
        <f t="shared" si="7"/>
        <v/>
      </c>
      <c r="F48" s="20" t="str">
        <f t="shared" si="8"/>
        <v/>
      </c>
      <c r="G48" s="20">
        <f t="shared" si="3"/>
        <v>0</v>
      </c>
      <c r="H48" s="20">
        <f t="shared" si="4"/>
        <v>0</v>
      </c>
      <c r="I48" s="20">
        <f t="shared" si="5"/>
        <v>0</v>
      </c>
      <c r="J48" s="20">
        <f t="shared" si="1"/>
        <v>0</v>
      </c>
      <c r="K48" s="20">
        <f t="shared" si="1"/>
        <v>0</v>
      </c>
      <c r="L48" s="20">
        <f t="shared" si="1"/>
        <v>0</v>
      </c>
    </row>
    <row r="49" spans="4:12" x14ac:dyDescent="0.35">
      <c r="D49" s="20" t="str">
        <f t="shared" si="6"/>
        <v/>
      </c>
      <c r="E49" s="21" t="str">
        <f t="shared" si="7"/>
        <v/>
      </c>
      <c r="F49" s="20" t="str">
        <f t="shared" si="8"/>
        <v/>
      </c>
      <c r="G49" s="20">
        <f t="shared" si="3"/>
        <v>0</v>
      </c>
      <c r="H49" s="20">
        <f t="shared" si="4"/>
        <v>0</v>
      </c>
      <c r="I49" s="20">
        <f t="shared" si="5"/>
        <v>0</v>
      </c>
      <c r="J49" s="20">
        <f t="shared" si="1"/>
        <v>0</v>
      </c>
      <c r="K49" s="20">
        <f t="shared" si="1"/>
        <v>0</v>
      </c>
      <c r="L49" s="20">
        <f t="shared" si="1"/>
        <v>0</v>
      </c>
    </row>
    <row r="50" spans="4:12" x14ac:dyDescent="0.35">
      <c r="D50" s="20" t="str">
        <f t="shared" si="6"/>
        <v/>
      </c>
      <c r="E50" s="21" t="str">
        <f t="shared" si="7"/>
        <v/>
      </c>
      <c r="F50" s="20" t="str">
        <f t="shared" si="8"/>
        <v/>
      </c>
      <c r="G50" s="20">
        <f t="shared" si="3"/>
        <v>0</v>
      </c>
      <c r="H50" s="20">
        <f t="shared" si="4"/>
        <v>0</v>
      </c>
      <c r="I50" s="20">
        <f t="shared" si="5"/>
        <v>0</v>
      </c>
      <c r="J50" s="20">
        <f t="shared" si="1"/>
        <v>0</v>
      </c>
      <c r="K50" s="20">
        <f t="shared" si="1"/>
        <v>0</v>
      </c>
      <c r="L50" s="20">
        <f t="shared" si="1"/>
        <v>0</v>
      </c>
    </row>
    <row r="51" spans="4:12" x14ac:dyDescent="0.35">
      <c r="D51" s="20" t="str">
        <f t="shared" si="6"/>
        <v/>
      </c>
      <c r="E51" s="21" t="str">
        <f t="shared" si="7"/>
        <v/>
      </c>
      <c r="F51" s="20" t="str">
        <f t="shared" si="8"/>
        <v/>
      </c>
      <c r="G51" s="20">
        <f t="shared" si="3"/>
        <v>0</v>
      </c>
      <c r="H51" s="20">
        <f t="shared" si="4"/>
        <v>0</v>
      </c>
      <c r="I51" s="20">
        <f t="shared" si="5"/>
        <v>0</v>
      </c>
      <c r="J51" s="20">
        <f t="shared" si="1"/>
        <v>0</v>
      </c>
      <c r="K51" s="20">
        <f t="shared" si="1"/>
        <v>0</v>
      </c>
      <c r="L51" s="20">
        <f t="shared" si="1"/>
        <v>0</v>
      </c>
    </row>
    <row r="52" spans="4:12" x14ac:dyDescent="0.35">
      <c r="D52" s="20" t="str">
        <f t="shared" si="6"/>
        <v/>
      </c>
      <c r="E52" s="21" t="str">
        <f t="shared" si="7"/>
        <v/>
      </c>
      <c r="F52" s="20" t="str">
        <f t="shared" si="8"/>
        <v/>
      </c>
      <c r="G52" s="20">
        <f t="shared" si="3"/>
        <v>0</v>
      </c>
      <c r="H52" s="20">
        <f t="shared" si="4"/>
        <v>0</v>
      </c>
      <c r="I52" s="20">
        <f t="shared" si="5"/>
        <v>0</v>
      </c>
      <c r="J52" s="20">
        <f t="shared" si="1"/>
        <v>0</v>
      </c>
      <c r="K52" s="20">
        <f t="shared" si="1"/>
        <v>0</v>
      </c>
      <c r="L52" s="20">
        <f t="shared" si="1"/>
        <v>0</v>
      </c>
    </row>
    <row r="53" spans="4:12" x14ac:dyDescent="0.35">
      <c r="D53" s="20" t="str">
        <f t="shared" si="6"/>
        <v/>
      </c>
      <c r="E53" s="21" t="str">
        <f t="shared" si="7"/>
        <v/>
      </c>
      <c r="F53" s="20" t="str">
        <f t="shared" si="8"/>
        <v/>
      </c>
      <c r="G53" s="20">
        <f t="shared" si="3"/>
        <v>0</v>
      </c>
      <c r="H53" s="20">
        <f t="shared" si="4"/>
        <v>0</v>
      </c>
      <c r="I53" s="20">
        <f t="shared" si="5"/>
        <v>0</v>
      </c>
      <c r="J53" s="20">
        <f t="shared" si="1"/>
        <v>0</v>
      </c>
      <c r="K53" s="20">
        <f t="shared" si="1"/>
        <v>0</v>
      </c>
      <c r="L53" s="20">
        <f t="shared" si="1"/>
        <v>0</v>
      </c>
    </row>
    <row r="54" spans="4:12" x14ac:dyDescent="0.35">
      <c r="D54" s="20" t="str">
        <f t="shared" si="6"/>
        <v/>
      </c>
      <c r="E54" s="21" t="str">
        <f t="shared" si="7"/>
        <v/>
      </c>
      <c r="F54" s="20" t="str">
        <f t="shared" si="8"/>
        <v/>
      </c>
      <c r="G54" s="20">
        <f t="shared" si="3"/>
        <v>0</v>
      </c>
      <c r="H54" s="20">
        <f t="shared" si="4"/>
        <v>0</v>
      </c>
      <c r="I54" s="20">
        <f t="shared" si="5"/>
        <v>0</v>
      </c>
      <c r="J54" s="20">
        <f t="shared" si="1"/>
        <v>0</v>
      </c>
      <c r="K54" s="20">
        <f t="shared" si="1"/>
        <v>0</v>
      </c>
      <c r="L54" s="20">
        <f t="shared" si="1"/>
        <v>0</v>
      </c>
    </row>
    <row r="55" spans="4:12" x14ac:dyDescent="0.35">
      <c r="D55" s="20" t="str">
        <f t="shared" si="6"/>
        <v/>
      </c>
      <c r="E55" s="21" t="str">
        <f t="shared" si="7"/>
        <v/>
      </c>
      <c r="F55" s="20" t="str">
        <f t="shared" si="8"/>
        <v/>
      </c>
      <c r="G55" s="20">
        <f t="shared" si="3"/>
        <v>0</v>
      </c>
      <c r="H55" s="20">
        <f t="shared" si="4"/>
        <v>0</v>
      </c>
      <c r="I55" s="20">
        <f t="shared" si="5"/>
        <v>0</v>
      </c>
      <c r="J55" s="20">
        <f t="shared" si="1"/>
        <v>0</v>
      </c>
      <c r="K55" s="20">
        <f t="shared" si="1"/>
        <v>0</v>
      </c>
      <c r="L55" s="20">
        <f t="shared" si="1"/>
        <v>0</v>
      </c>
    </row>
    <row r="56" spans="4:12" x14ac:dyDescent="0.35">
      <c r="D56" s="20" t="str">
        <f t="shared" si="6"/>
        <v/>
      </c>
      <c r="E56" s="21" t="str">
        <f t="shared" si="7"/>
        <v/>
      </c>
      <c r="F56" s="20" t="str">
        <f t="shared" si="8"/>
        <v/>
      </c>
      <c r="G56" s="20">
        <f t="shared" si="3"/>
        <v>0</v>
      </c>
      <c r="H56" s="20">
        <f t="shared" si="4"/>
        <v>0</v>
      </c>
      <c r="I56" s="20">
        <f t="shared" si="5"/>
        <v>0</v>
      </c>
      <c r="J56" s="20">
        <f t="shared" si="1"/>
        <v>0</v>
      </c>
      <c r="K56" s="20">
        <f t="shared" si="1"/>
        <v>0</v>
      </c>
      <c r="L56" s="20">
        <f t="shared" si="1"/>
        <v>0</v>
      </c>
    </row>
    <row r="57" spans="4:12" x14ac:dyDescent="0.35">
      <c r="D57" s="20" t="str">
        <f t="shared" si="6"/>
        <v/>
      </c>
      <c r="E57" s="21" t="str">
        <f t="shared" si="7"/>
        <v/>
      </c>
      <c r="F57" s="20" t="str">
        <f t="shared" si="8"/>
        <v/>
      </c>
      <c r="G57" s="20">
        <f t="shared" si="3"/>
        <v>0</v>
      </c>
      <c r="H57" s="20">
        <f t="shared" si="4"/>
        <v>0</v>
      </c>
      <c r="I57" s="20">
        <f t="shared" si="5"/>
        <v>0</v>
      </c>
      <c r="J57" s="20">
        <f t="shared" si="1"/>
        <v>0</v>
      </c>
      <c r="K57" s="20">
        <f t="shared" si="1"/>
        <v>0</v>
      </c>
      <c r="L57" s="20">
        <f t="shared" si="1"/>
        <v>0</v>
      </c>
    </row>
    <row r="58" spans="4:12" x14ac:dyDescent="0.35">
      <c r="D58" s="20" t="str">
        <f t="shared" si="6"/>
        <v/>
      </c>
      <c r="E58" s="21" t="str">
        <f t="shared" si="7"/>
        <v/>
      </c>
      <c r="F58" s="20" t="str">
        <f t="shared" si="8"/>
        <v/>
      </c>
      <c r="G58" s="20">
        <f t="shared" si="3"/>
        <v>0</v>
      </c>
      <c r="H58" s="20">
        <f t="shared" si="4"/>
        <v>0</v>
      </c>
      <c r="I58" s="20">
        <f t="shared" si="5"/>
        <v>0</v>
      </c>
      <c r="J58" s="20">
        <f t="shared" si="1"/>
        <v>0</v>
      </c>
      <c r="K58" s="20">
        <f t="shared" si="1"/>
        <v>0</v>
      </c>
      <c r="L58" s="20">
        <f t="shared" si="1"/>
        <v>0</v>
      </c>
    </row>
    <row r="59" spans="4:12" x14ac:dyDescent="0.35">
      <c r="D59" s="20" t="str">
        <f t="shared" si="6"/>
        <v/>
      </c>
      <c r="E59" s="21" t="str">
        <f t="shared" si="7"/>
        <v/>
      </c>
      <c r="F59" s="20" t="str">
        <f t="shared" si="8"/>
        <v/>
      </c>
      <c r="G59" s="20">
        <f t="shared" si="3"/>
        <v>0</v>
      </c>
      <c r="H59" s="20">
        <f t="shared" si="4"/>
        <v>0</v>
      </c>
      <c r="I59" s="20">
        <f t="shared" si="5"/>
        <v>0</v>
      </c>
      <c r="J59" s="20">
        <f t="shared" si="1"/>
        <v>0</v>
      </c>
      <c r="K59" s="20">
        <f t="shared" si="1"/>
        <v>0</v>
      </c>
      <c r="L59" s="20">
        <f t="shared" si="1"/>
        <v>0</v>
      </c>
    </row>
    <row r="60" spans="4:12" x14ac:dyDescent="0.35">
      <c r="D60" s="20" t="str">
        <f t="shared" si="6"/>
        <v/>
      </c>
      <c r="E60" s="21" t="str">
        <f t="shared" si="7"/>
        <v/>
      </c>
      <c r="F60" s="20" t="str">
        <f t="shared" si="8"/>
        <v/>
      </c>
      <c r="G60" s="20">
        <f t="shared" si="3"/>
        <v>0</v>
      </c>
      <c r="H60" s="20">
        <f t="shared" si="4"/>
        <v>0</v>
      </c>
      <c r="I60" s="20">
        <f t="shared" si="5"/>
        <v>0</v>
      </c>
      <c r="J60" s="20">
        <f t="shared" si="1"/>
        <v>0</v>
      </c>
      <c r="K60" s="20">
        <f t="shared" si="1"/>
        <v>0</v>
      </c>
      <c r="L60" s="20">
        <f t="shared" si="1"/>
        <v>0</v>
      </c>
    </row>
    <row r="61" spans="4:12" x14ac:dyDescent="0.35">
      <c r="D61" s="20" t="str">
        <f t="shared" si="6"/>
        <v/>
      </c>
      <c r="E61" s="21" t="str">
        <f t="shared" si="7"/>
        <v/>
      </c>
      <c r="F61" s="20" t="str">
        <f t="shared" si="8"/>
        <v/>
      </c>
      <c r="G61" s="20">
        <f t="shared" si="3"/>
        <v>0</v>
      </c>
      <c r="H61" s="20">
        <f t="shared" si="4"/>
        <v>0</v>
      </c>
      <c r="I61" s="20">
        <f t="shared" si="5"/>
        <v>0</v>
      </c>
      <c r="J61" s="20">
        <f t="shared" si="1"/>
        <v>0</v>
      </c>
      <c r="K61" s="20">
        <f t="shared" si="1"/>
        <v>0</v>
      </c>
      <c r="L61" s="20">
        <f t="shared" si="1"/>
        <v>0</v>
      </c>
    </row>
    <row r="62" spans="4:12" x14ac:dyDescent="0.35">
      <c r="D62" s="20" t="str">
        <f t="shared" si="6"/>
        <v/>
      </c>
      <c r="E62" s="21" t="str">
        <f t="shared" si="7"/>
        <v/>
      </c>
      <c r="F62" s="20" t="str">
        <f t="shared" si="8"/>
        <v/>
      </c>
      <c r="G62" s="20">
        <f t="shared" si="3"/>
        <v>0</v>
      </c>
      <c r="H62" s="20">
        <f t="shared" si="4"/>
        <v>0</v>
      </c>
      <c r="I62" s="20">
        <f t="shared" si="5"/>
        <v>0</v>
      </c>
      <c r="J62" s="20">
        <f t="shared" si="1"/>
        <v>0</v>
      </c>
      <c r="K62" s="20">
        <f t="shared" si="1"/>
        <v>0</v>
      </c>
      <c r="L62" s="20">
        <f t="shared" si="1"/>
        <v>0</v>
      </c>
    </row>
    <row r="63" spans="4:12" x14ac:dyDescent="0.35">
      <c r="D63" s="20" t="str">
        <f t="shared" si="6"/>
        <v/>
      </c>
      <c r="E63" s="21" t="str">
        <f t="shared" si="7"/>
        <v/>
      </c>
      <c r="F63" s="20" t="str">
        <f t="shared" si="8"/>
        <v/>
      </c>
      <c r="G63" s="20">
        <f t="shared" si="3"/>
        <v>0</v>
      </c>
      <c r="H63" s="20">
        <f t="shared" si="4"/>
        <v>0</v>
      </c>
      <c r="I63" s="20">
        <f t="shared" si="5"/>
        <v>0</v>
      </c>
      <c r="J63" s="20">
        <f t="shared" si="1"/>
        <v>0</v>
      </c>
      <c r="K63" s="20">
        <f t="shared" si="1"/>
        <v>0</v>
      </c>
      <c r="L63" s="20">
        <f t="shared" si="1"/>
        <v>0</v>
      </c>
    </row>
    <row r="64" spans="4:12" x14ac:dyDescent="0.35">
      <c r="D64" s="20" t="str">
        <f t="shared" si="6"/>
        <v/>
      </c>
      <c r="E64" s="21" t="str">
        <f t="shared" si="7"/>
        <v/>
      </c>
      <c r="F64" s="20" t="str">
        <f t="shared" si="8"/>
        <v/>
      </c>
      <c r="G64" s="20">
        <f t="shared" si="3"/>
        <v>0</v>
      </c>
      <c r="H64" s="20">
        <f t="shared" si="4"/>
        <v>0</v>
      </c>
      <c r="I64" s="20">
        <f t="shared" si="5"/>
        <v>0</v>
      </c>
      <c r="J64" s="20">
        <f t="shared" si="1"/>
        <v>0</v>
      </c>
      <c r="K64" s="20">
        <f t="shared" si="1"/>
        <v>0</v>
      </c>
      <c r="L64" s="20">
        <f t="shared" si="1"/>
        <v>0</v>
      </c>
    </row>
    <row r="65" spans="4:12" x14ac:dyDescent="0.35">
      <c r="D65" s="20" t="str">
        <f t="shared" si="6"/>
        <v/>
      </c>
      <c r="E65" s="21" t="str">
        <f t="shared" si="7"/>
        <v/>
      </c>
      <c r="F65" s="20" t="str">
        <f t="shared" si="8"/>
        <v/>
      </c>
      <c r="G65" s="20">
        <f t="shared" si="3"/>
        <v>0</v>
      </c>
      <c r="H65" s="20">
        <f t="shared" si="4"/>
        <v>0</v>
      </c>
      <c r="I65" s="20">
        <f t="shared" si="5"/>
        <v>0</v>
      </c>
      <c r="J65" s="20">
        <f t="shared" si="1"/>
        <v>0</v>
      </c>
      <c r="K65" s="20">
        <f t="shared" si="1"/>
        <v>0</v>
      </c>
      <c r="L65" s="20">
        <f t="shared" si="1"/>
        <v>0</v>
      </c>
    </row>
    <row r="66" spans="4:12" x14ac:dyDescent="0.35">
      <c r="D66" s="20" t="str">
        <f t="shared" si="6"/>
        <v/>
      </c>
      <c r="E66" s="21" t="str">
        <f t="shared" si="7"/>
        <v/>
      </c>
      <c r="F66" s="20" t="str">
        <f t="shared" si="8"/>
        <v/>
      </c>
      <c r="G66" s="20">
        <f t="shared" si="3"/>
        <v>0</v>
      </c>
      <c r="H66" s="20">
        <f t="shared" si="4"/>
        <v>0</v>
      </c>
      <c r="I66" s="20">
        <f t="shared" si="5"/>
        <v>0</v>
      </c>
      <c r="J66" s="20">
        <f t="shared" si="1"/>
        <v>0</v>
      </c>
      <c r="K66" s="20">
        <f t="shared" si="1"/>
        <v>0</v>
      </c>
      <c r="L66" s="20">
        <f t="shared" si="1"/>
        <v>0</v>
      </c>
    </row>
    <row r="67" spans="4:12" x14ac:dyDescent="0.35">
      <c r="D67" s="20" t="str">
        <f t="shared" si="6"/>
        <v/>
      </c>
      <c r="E67" s="21" t="str">
        <f t="shared" si="7"/>
        <v/>
      </c>
      <c r="F67" s="20" t="str">
        <f t="shared" si="8"/>
        <v/>
      </c>
      <c r="G67" s="20">
        <f t="shared" si="3"/>
        <v>0</v>
      </c>
      <c r="H67" s="20">
        <f t="shared" si="4"/>
        <v>0</v>
      </c>
      <c r="I67" s="20">
        <f t="shared" si="5"/>
        <v>0</v>
      </c>
      <c r="J67" s="20">
        <f t="shared" ref="J67:L130" si="9">ABS(G67)</f>
        <v>0</v>
      </c>
      <c r="K67" s="20">
        <f t="shared" si="9"/>
        <v>0</v>
      </c>
      <c r="L67" s="20">
        <f t="shared" si="9"/>
        <v>0</v>
      </c>
    </row>
    <row r="68" spans="4:12" x14ac:dyDescent="0.35">
      <c r="D68" s="20" t="str">
        <f t="shared" si="6"/>
        <v/>
      </c>
      <c r="E68" s="21" t="str">
        <f t="shared" si="7"/>
        <v/>
      </c>
      <c r="F68" s="20" t="str">
        <f t="shared" si="8"/>
        <v/>
      </c>
      <c r="G68" s="20">
        <f t="shared" ref="G68:G131" si="10">IF(D68=$B$5+1,F68,0)</f>
        <v>0</v>
      </c>
      <c r="H68" s="20">
        <f t="shared" ref="H68:H131" si="11">IF(D67&lt;$B$5,F68*MOD(D67,2),0)</f>
        <v>0</v>
      </c>
      <c r="I68" s="20">
        <f t="shared" ref="I68:I131" si="12">IF(D67&lt;$B$5,F68*MOD(D68,2),0)</f>
        <v>0</v>
      </c>
      <c r="J68" s="20">
        <f t="shared" si="9"/>
        <v>0</v>
      </c>
      <c r="K68" s="20">
        <f t="shared" si="9"/>
        <v>0</v>
      </c>
      <c r="L68" s="20">
        <f t="shared" si="9"/>
        <v>0</v>
      </c>
    </row>
    <row r="69" spans="4:12" x14ac:dyDescent="0.35">
      <c r="D69" s="20" t="str">
        <f t="shared" si="6"/>
        <v/>
      </c>
      <c r="E69" s="21" t="str">
        <f t="shared" si="7"/>
        <v/>
      </c>
      <c r="F69" s="20" t="str">
        <f t="shared" si="8"/>
        <v/>
      </c>
      <c r="G69" s="20">
        <f t="shared" si="10"/>
        <v>0</v>
      </c>
      <c r="H69" s="20">
        <f t="shared" si="11"/>
        <v>0</v>
      </c>
      <c r="I69" s="20">
        <f t="shared" si="12"/>
        <v>0</v>
      </c>
      <c r="J69" s="20">
        <f t="shared" si="9"/>
        <v>0</v>
      </c>
      <c r="K69" s="20">
        <f t="shared" si="9"/>
        <v>0</v>
      </c>
      <c r="L69" s="20">
        <f t="shared" si="9"/>
        <v>0</v>
      </c>
    </row>
    <row r="70" spans="4:12" x14ac:dyDescent="0.35">
      <c r="D70" s="20" t="str">
        <f t="shared" si="6"/>
        <v/>
      </c>
      <c r="E70" s="21" t="str">
        <f t="shared" si="7"/>
        <v/>
      </c>
      <c r="F70" s="20" t="str">
        <f t="shared" si="8"/>
        <v/>
      </c>
      <c r="G70" s="20">
        <f t="shared" si="10"/>
        <v>0</v>
      </c>
      <c r="H70" s="20">
        <f t="shared" si="11"/>
        <v>0</v>
      </c>
      <c r="I70" s="20">
        <f t="shared" si="12"/>
        <v>0</v>
      </c>
      <c r="J70" s="20">
        <f t="shared" si="9"/>
        <v>0</v>
      </c>
      <c r="K70" s="20">
        <f t="shared" si="9"/>
        <v>0</v>
      </c>
      <c r="L70" s="20">
        <f t="shared" si="9"/>
        <v>0</v>
      </c>
    </row>
    <row r="71" spans="4:12" x14ac:dyDescent="0.35">
      <c r="D71" s="20" t="str">
        <f t="shared" si="6"/>
        <v/>
      </c>
      <c r="E71" s="21" t="str">
        <f t="shared" si="7"/>
        <v/>
      </c>
      <c r="F71" s="20" t="str">
        <f t="shared" si="8"/>
        <v/>
      </c>
      <c r="G71" s="20">
        <f t="shared" si="10"/>
        <v>0</v>
      </c>
      <c r="H71" s="20">
        <f t="shared" si="11"/>
        <v>0</v>
      </c>
      <c r="I71" s="20">
        <f t="shared" si="12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</row>
    <row r="72" spans="4:12" x14ac:dyDescent="0.35">
      <c r="D72" s="20" t="str">
        <f t="shared" si="6"/>
        <v/>
      </c>
      <c r="E72" s="21" t="str">
        <f t="shared" si="7"/>
        <v/>
      </c>
      <c r="F72" s="20" t="str">
        <f t="shared" si="8"/>
        <v/>
      </c>
      <c r="G72" s="20">
        <f t="shared" si="10"/>
        <v>0</v>
      </c>
      <c r="H72" s="20">
        <f t="shared" si="11"/>
        <v>0</v>
      </c>
      <c r="I72" s="20">
        <f t="shared" si="12"/>
        <v>0</v>
      </c>
      <c r="J72" s="20">
        <f t="shared" si="9"/>
        <v>0</v>
      </c>
      <c r="K72" s="20">
        <f t="shared" si="9"/>
        <v>0</v>
      </c>
      <c r="L72" s="20">
        <f t="shared" si="9"/>
        <v>0</v>
      </c>
    </row>
    <row r="73" spans="4:12" x14ac:dyDescent="0.35">
      <c r="D73" s="20" t="str">
        <f t="shared" si="6"/>
        <v/>
      </c>
      <c r="E73" s="21" t="str">
        <f t="shared" si="7"/>
        <v/>
      </c>
      <c r="F73" s="20" t="str">
        <f t="shared" si="8"/>
        <v/>
      </c>
      <c r="G73" s="20">
        <f t="shared" si="10"/>
        <v>0</v>
      </c>
      <c r="H73" s="20">
        <f t="shared" si="11"/>
        <v>0</v>
      </c>
      <c r="I73" s="20">
        <f t="shared" si="12"/>
        <v>0</v>
      </c>
      <c r="J73" s="20">
        <f t="shared" si="9"/>
        <v>0</v>
      </c>
      <c r="K73" s="20">
        <f t="shared" si="9"/>
        <v>0</v>
      </c>
      <c r="L73" s="20">
        <f t="shared" si="9"/>
        <v>0</v>
      </c>
    </row>
    <row r="74" spans="4:12" x14ac:dyDescent="0.35">
      <c r="D74" s="20" t="str">
        <f t="shared" si="6"/>
        <v/>
      </c>
      <c r="E74" s="21" t="str">
        <f t="shared" si="7"/>
        <v/>
      </c>
      <c r="F74" s="20" t="str">
        <f t="shared" si="8"/>
        <v/>
      </c>
      <c r="G74" s="20">
        <f t="shared" si="10"/>
        <v>0</v>
      </c>
      <c r="H74" s="20">
        <f t="shared" si="11"/>
        <v>0</v>
      </c>
      <c r="I74" s="20">
        <f t="shared" si="12"/>
        <v>0</v>
      </c>
      <c r="J74" s="20">
        <f t="shared" si="9"/>
        <v>0</v>
      </c>
      <c r="K74" s="20">
        <f t="shared" si="9"/>
        <v>0</v>
      </c>
      <c r="L74" s="20">
        <f t="shared" si="9"/>
        <v>0</v>
      </c>
    </row>
    <row r="75" spans="4:12" x14ac:dyDescent="0.35">
      <c r="D75" s="20" t="str">
        <f t="shared" si="6"/>
        <v/>
      </c>
      <c r="E75" s="21" t="str">
        <f t="shared" si="7"/>
        <v/>
      </c>
      <c r="F75" s="20" t="str">
        <f t="shared" si="8"/>
        <v/>
      </c>
      <c r="G75" s="20">
        <f t="shared" si="10"/>
        <v>0</v>
      </c>
      <c r="H75" s="20">
        <f t="shared" si="11"/>
        <v>0</v>
      </c>
      <c r="I75" s="20">
        <f t="shared" si="12"/>
        <v>0</v>
      </c>
      <c r="J75" s="20">
        <f t="shared" si="9"/>
        <v>0</v>
      </c>
      <c r="K75" s="20">
        <f t="shared" si="9"/>
        <v>0</v>
      </c>
      <c r="L75" s="20">
        <f t="shared" si="9"/>
        <v>0</v>
      </c>
    </row>
    <row r="76" spans="4:12" x14ac:dyDescent="0.35">
      <c r="D76" s="20" t="str">
        <f t="shared" si="6"/>
        <v/>
      </c>
      <c r="E76" s="21" t="str">
        <f t="shared" si="7"/>
        <v/>
      </c>
      <c r="F76" s="20" t="str">
        <f t="shared" si="8"/>
        <v/>
      </c>
      <c r="G76" s="20">
        <f t="shared" si="10"/>
        <v>0</v>
      </c>
      <c r="H76" s="20">
        <f t="shared" si="11"/>
        <v>0</v>
      </c>
      <c r="I76" s="20">
        <f t="shared" si="12"/>
        <v>0</v>
      </c>
      <c r="J76" s="20">
        <f t="shared" si="9"/>
        <v>0</v>
      </c>
      <c r="K76" s="20">
        <f t="shared" si="9"/>
        <v>0</v>
      </c>
      <c r="L76" s="20">
        <f t="shared" si="9"/>
        <v>0</v>
      </c>
    </row>
    <row r="77" spans="4:12" x14ac:dyDescent="0.35">
      <c r="D77" s="20" t="str">
        <f t="shared" si="6"/>
        <v/>
      </c>
      <c r="E77" s="21" t="str">
        <f t="shared" si="7"/>
        <v/>
      </c>
      <c r="F77" s="20" t="str">
        <f t="shared" si="8"/>
        <v/>
      </c>
      <c r="G77" s="20">
        <f t="shared" si="10"/>
        <v>0</v>
      </c>
      <c r="H77" s="20">
        <f t="shared" si="11"/>
        <v>0</v>
      </c>
      <c r="I77" s="20">
        <f t="shared" si="12"/>
        <v>0</v>
      </c>
      <c r="J77" s="20">
        <f t="shared" si="9"/>
        <v>0</v>
      </c>
      <c r="K77" s="20">
        <f t="shared" si="9"/>
        <v>0</v>
      </c>
      <c r="L77" s="20">
        <f t="shared" si="9"/>
        <v>0</v>
      </c>
    </row>
    <row r="78" spans="4:12" x14ac:dyDescent="0.35">
      <c r="D78" s="20" t="str">
        <f t="shared" si="6"/>
        <v/>
      </c>
      <c r="E78" s="21" t="str">
        <f t="shared" si="7"/>
        <v/>
      </c>
      <c r="F78" s="20" t="str">
        <f t="shared" si="8"/>
        <v/>
      </c>
      <c r="G78" s="20">
        <f t="shared" si="10"/>
        <v>0</v>
      </c>
      <c r="H78" s="20">
        <f t="shared" si="11"/>
        <v>0</v>
      </c>
      <c r="I78" s="20">
        <f t="shared" si="12"/>
        <v>0</v>
      </c>
      <c r="J78" s="20">
        <f t="shared" si="9"/>
        <v>0</v>
      </c>
      <c r="K78" s="20">
        <f t="shared" si="9"/>
        <v>0</v>
      </c>
      <c r="L78" s="20">
        <f t="shared" si="9"/>
        <v>0</v>
      </c>
    </row>
    <row r="79" spans="4:12" x14ac:dyDescent="0.35">
      <c r="D79" s="20" t="str">
        <f t="shared" si="6"/>
        <v/>
      </c>
      <c r="E79" s="21" t="str">
        <f t="shared" si="7"/>
        <v/>
      </c>
      <c r="F79" s="20" t="str">
        <f t="shared" si="8"/>
        <v/>
      </c>
      <c r="G79" s="20">
        <f t="shared" si="10"/>
        <v>0</v>
      </c>
      <c r="H79" s="20">
        <f t="shared" si="11"/>
        <v>0</v>
      </c>
      <c r="I79" s="20">
        <f t="shared" si="12"/>
        <v>0</v>
      </c>
      <c r="J79" s="20">
        <f t="shared" si="9"/>
        <v>0</v>
      </c>
      <c r="K79" s="20">
        <f t="shared" si="9"/>
        <v>0</v>
      </c>
      <c r="L79" s="20">
        <f t="shared" si="9"/>
        <v>0</v>
      </c>
    </row>
    <row r="80" spans="4:12" x14ac:dyDescent="0.35">
      <c r="D80" s="20" t="str">
        <f t="shared" si="6"/>
        <v/>
      </c>
      <c r="E80" s="21" t="str">
        <f t="shared" si="7"/>
        <v/>
      </c>
      <c r="F80" s="20" t="str">
        <f t="shared" si="8"/>
        <v/>
      </c>
      <c r="G80" s="20">
        <f t="shared" si="10"/>
        <v>0</v>
      </c>
      <c r="H80" s="20">
        <f t="shared" si="11"/>
        <v>0</v>
      </c>
      <c r="I80" s="20">
        <f t="shared" si="12"/>
        <v>0</v>
      </c>
      <c r="J80" s="20">
        <f t="shared" si="9"/>
        <v>0</v>
      </c>
      <c r="K80" s="20">
        <f t="shared" si="9"/>
        <v>0</v>
      </c>
      <c r="L80" s="20">
        <f t="shared" si="9"/>
        <v>0</v>
      </c>
    </row>
    <row r="81" spans="4:12" x14ac:dyDescent="0.35">
      <c r="D81" s="20" t="str">
        <f t="shared" si="6"/>
        <v/>
      </c>
      <c r="E81" s="21" t="str">
        <f t="shared" si="7"/>
        <v/>
      </c>
      <c r="F81" s="20" t="str">
        <f t="shared" si="8"/>
        <v/>
      </c>
      <c r="G81" s="20">
        <f t="shared" si="10"/>
        <v>0</v>
      </c>
      <c r="H81" s="20">
        <f t="shared" si="11"/>
        <v>0</v>
      </c>
      <c r="I81" s="20">
        <f t="shared" si="12"/>
        <v>0</v>
      </c>
      <c r="J81" s="20">
        <f t="shared" si="9"/>
        <v>0</v>
      </c>
      <c r="K81" s="20">
        <f t="shared" si="9"/>
        <v>0</v>
      </c>
      <c r="L81" s="20">
        <f t="shared" si="9"/>
        <v>0</v>
      </c>
    </row>
    <row r="82" spans="4:12" x14ac:dyDescent="0.35">
      <c r="D82" s="20" t="str">
        <f t="shared" si="6"/>
        <v/>
      </c>
      <c r="E82" s="21" t="str">
        <f t="shared" si="7"/>
        <v/>
      </c>
      <c r="F82" s="20" t="str">
        <f t="shared" si="8"/>
        <v/>
      </c>
      <c r="G82" s="20">
        <f t="shared" si="10"/>
        <v>0</v>
      </c>
      <c r="H82" s="20">
        <f t="shared" si="11"/>
        <v>0</v>
      </c>
      <c r="I82" s="20">
        <f t="shared" si="12"/>
        <v>0</v>
      </c>
      <c r="J82" s="20">
        <f t="shared" si="9"/>
        <v>0</v>
      </c>
      <c r="K82" s="20">
        <f t="shared" si="9"/>
        <v>0</v>
      </c>
      <c r="L82" s="20">
        <f t="shared" si="9"/>
        <v>0</v>
      </c>
    </row>
    <row r="83" spans="4:12" x14ac:dyDescent="0.35">
      <c r="D83" s="20" t="str">
        <f t="shared" si="6"/>
        <v/>
      </c>
      <c r="E83" s="21" t="str">
        <f t="shared" si="7"/>
        <v/>
      </c>
      <c r="F83" s="20" t="str">
        <f t="shared" si="8"/>
        <v/>
      </c>
      <c r="G83" s="20">
        <f t="shared" si="10"/>
        <v>0</v>
      </c>
      <c r="H83" s="20">
        <f t="shared" si="11"/>
        <v>0</v>
      </c>
      <c r="I83" s="20">
        <f t="shared" si="12"/>
        <v>0</v>
      </c>
      <c r="J83" s="20">
        <f t="shared" si="9"/>
        <v>0</v>
      </c>
      <c r="K83" s="20">
        <f t="shared" si="9"/>
        <v>0</v>
      </c>
      <c r="L83" s="20">
        <f t="shared" si="9"/>
        <v>0</v>
      </c>
    </row>
    <row r="84" spans="4:12" x14ac:dyDescent="0.35">
      <c r="D84" s="20" t="str">
        <f t="shared" si="6"/>
        <v/>
      </c>
      <c r="E84" s="21" t="str">
        <f t="shared" si="7"/>
        <v/>
      </c>
      <c r="F84" s="20" t="str">
        <f t="shared" si="8"/>
        <v/>
      </c>
      <c r="G84" s="20">
        <f t="shared" si="10"/>
        <v>0</v>
      </c>
      <c r="H84" s="20">
        <f t="shared" si="11"/>
        <v>0</v>
      </c>
      <c r="I84" s="20">
        <f t="shared" si="12"/>
        <v>0</v>
      </c>
      <c r="J84" s="20">
        <f t="shared" si="9"/>
        <v>0</v>
      </c>
      <c r="K84" s="20">
        <f t="shared" si="9"/>
        <v>0</v>
      </c>
      <c r="L84" s="20">
        <f t="shared" si="9"/>
        <v>0</v>
      </c>
    </row>
    <row r="85" spans="4:12" x14ac:dyDescent="0.35">
      <c r="D85" s="20" t="str">
        <f t="shared" si="6"/>
        <v/>
      </c>
      <c r="E85" s="21" t="str">
        <f t="shared" si="7"/>
        <v/>
      </c>
      <c r="F85" s="20" t="str">
        <f t="shared" si="8"/>
        <v/>
      </c>
      <c r="G85" s="20">
        <f t="shared" si="10"/>
        <v>0</v>
      </c>
      <c r="H85" s="20">
        <f t="shared" si="11"/>
        <v>0</v>
      </c>
      <c r="I85" s="20">
        <f t="shared" si="12"/>
        <v>0</v>
      </c>
      <c r="J85" s="20">
        <f t="shared" si="9"/>
        <v>0</v>
      </c>
      <c r="K85" s="20">
        <f t="shared" si="9"/>
        <v>0</v>
      </c>
      <c r="L85" s="20">
        <f t="shared" si="9"/>
        <v>0</v>
      </c>
    </row>
    <row r="86" spans="4:12" x14ac:dyDescent="0.35">
      <c r="D86" s="20" t="str">
        <f t="shared" si="6"/>
        <v/>
      </c>
      <c r="E86" s="21" t="str">
        <f t="shared" si="7"/>
        <v/>
      </c>
      <c r="F86" s="20" t="str">
        <f t="shared" si="8"/>
        <v/>
      </c>
      <c r="G86" s="20">
        <f t="shared" si="10"/>
        <v>0</v>
      </c>
      <c r="H86" s="20">
        <f t="shared" si="11"/>
        <v>0</v>
      </c>
      <c r="I86" s="20">
        <f t="shared" si="12"/>
        <v>0</v>
      </c>
      <c r="J86" s="20">
        <f t="shared" si="9"/>
        <v>0</v>
      </c>
      <c r="K86" s="20">
        <f t="shared" si="9"/>
        <v>0</v>
      </c>
      <c r="L86" s="20">
        <f t="shared" si="9"/>
        <v>0</v>
      </c>
    </row>
    <row r="87" spans="4:12" x14ac:dyDescent="0.35">
      <c r="D87" s="20" t="str">
        <f t="shared" ref="D87:D150" si="13">IF(D86&lt;=$B$5,D86+1,"")</f>
        <v/>
      </c>
      <c r="E87" s="21" t="str">
        <f t="shared" ref="E87:E150" si="14">IF(D86&lt;=$B$5,E86+$B$6,"")</f>
        <v/>
      </c>
      <c r="F87" s="20" t="str">
        <f t="shared" ref="F87:F150" si="15">IF(D86&lt;=$B$5,(20*COS((5/2)*E87^2+1))/(E87^2+2),"")</f>
        <v/>
      </c>
      <c r="G87" s="20">
        <f t="shared" si="10"/>
        <v>0</v>
      </c>
      <c r="H87" s="20">
        <f t="shared" si="11"/>
        <v>0</v>
      </c>
      <c r="I87" s="20">
        <f t="shared" si="12"/>
        <v>0</v>
      </c>
      <c r="J87" s="20">
        <f t="shared" si="9"/>
        <v>0</v>
      </c>
      <c r="K87" s="20">
        <f t="shared" si="9"/>
        <v>0</v>
      </c>
      <c r="L87" s="20">
        <f t="shared" si="9"/>
        <v>0</v>
      </c>
    </row>
    <row r="88" spans="4:12" x14ac:dyDescent="0.35">
      <c r="D88" s="20" t="str">
        <f t="shared" si="13"/>
        <v/>
      </c>
      <c r="E88" s="21" t="str">
        <f t="shared" si="14"/>
        <v/>
      </c>
      <c r="F88" s="20" t="str">
        <f t="shared" si="15"/>
        <v/>
      </c>
      <c r="G88" s="20">
        <f t="shared" si="10"/>
        <v>0</v>
      </c>
      <c r="H88" s="20">
        <f t="shared" si="11"/>
        <v>0</v>
      </c>
      <c r="I88" s="20">
        <f t="shared" si="12"/>
        <v>0</v>
      </c>
      <c r="J88" s="20">
        <f t="shared" si="9"/>
        <v>0</v>
      </c>
      <c r="K88" s="20">
        <f t="shared" si="9"/>
        <v>0</v>
      </c>
      <c r="L88" s="20">
        <f t="shared" si="9"/>
        <v>0</v>
      </c>
    </row>
    <row r="89" spans="4:12" x14ac:dyDescent="0.35">
      <c r="D89" s="20" t="str">
        <f t="shared" si="13"/>
        <v/>
      </c>
      <c r="E89" s="21" t="str">
        <f t="shared" si="14"/>
        <v/>
      </c>
      <c r="F89" s="20" t="str">
        <f t="shared" si="15"/>
        <v/>
      </c>
      <c r="G89" s="20">
        <f t="shared" si="10"/>
        <v>0</v>
      </c>
      <c r="H89" s="20">
        <f t="shared" si="11"/>
        <v>0</v>
      </c>
      <c r="I89" s="20">
        <f t="shared" si="12"/>
        <v>0</v>
      </c>
      <c r="J89" s="20">
        <f t="shared" si="9"/>
        <v>0</v>
      </c>
      <c r="K89" s="20">
        <f t="shared" si="9"/>
        <v>0</v>
      </c>
      <c r="L89" s="20">
        <f t="shared" si="9"/>
        <v>0</v>
      </c>
    </row>
    <row r="90" spans="4:12" x14ac:dyDescent="0.35">
      <c r="D90" s="20" t="str">
        <f t="shared" si="13"/>
        <v/>
      </c>
      <c r="E90" s="21" t="str">
        <f t="shared" si="14"/>
        <v/>
      </c>
      <c r="F90" s="20" t="str">
        <f t="shared" si="15"/>
        <v/>
      </c>
      <c r="G90" s="20">
        <f t="shared" si="10"/>
        <v>0</v>
      </c>
      <c r="H90" s="20">
        <f t="shared" si="11"/>
        <v>0</v>
      </c>
      <c r="I90" s="20">
        <f t="shared" si="12"/>
        <v>0</v>
      </c>
      <c r="J90" s="20">
        <f t="shared" si="9"/>
        <v>0</v>
      </c>
      <c r="K90" s="20">
        <f t="shared" si="9"/>
        <v>0</v>
      </c>
      <c r="L90" s="20">
        <f t="shared" si="9"/>
        <v>0</v>
      </c>
    </row>
    <row r="91" spans="4:12" x14ac:dyDescent="0.35">
      <c r="D91" s="20" t="str">
        <f t="shared" si="13"/>
        <v/>
      </c>
      <c r="E91" s="21" t="str">
        <f t="shared" si="14"/>
        <v/>
      </c>
      <c r="F91" s="20" t="str">
        <f t="shared" si="15"/>
        <v/>
      </c>
      <c r="G91" s="20">
        <f t="shared" si="10"/>
        <v>0</v>
      </c>
      <c r="H91" s="20">
        <f t="shared" si="11"/>
        <v>0</v>
      </c>
      <c r="I91" s="20">
        <f t="shared" si="12"/>
        <v>0</v>
      </c>
      <c r="J91" s="20">
        <f t="shared" si="9"/>
        <v>0</v>
      </c>
      <c r="K91" s="20">
        <f t="shared" si="9"/>
        <v>0</v>
      </c>
      <c r="L91" s="20">
        <f t="shared" si="9"/>
        <v>0</v>
      </c>
    </row>
    <row r="92" spans="4:12" x14ac:dyDescent="0.35">
      <c r="D92" s="20" t="str">
        <f t="shared" si="13"/>
        <v/>
      </c>
      <c r="E92" s="21" t="str">
        <f t="shared" si="14"/>
        <v/>
      </c>
      <c r="F92" s="20" t="str">
        <f t="shared" si="15"/>
        <v/>
      </c>
      <c r="G92" s="20">
        <f t="shared" si="10"/>
        <v>0</v>
      </c>
      <c r="H92" s="20">
        <f t="shared" si="11"/>
        <v>0</v>
      </c>
      <c r="I92" s="20">
        <f t="shared" si="12"/>
        <v>0</v>
      </c>
      <c r="J92" s="20">
        <f t="shared" si="9"/>
        <v>0</v>
      </c>
      <c r="K92" s="20">
        <f t="shared" si="9"/>
        <v>0</v>
      </c>
      <c r="L92" s="20">
        <f t="shared" si="9"/>
        <v>0</v>
      </c>
    </row>
    <row r="93" spans="4:12" x14ac:dyDescent="0.35">
      <c r="D93" s="20" t="str">
        <f t="shared" si="13"/>
        <v/>
      </c>
      <c r="E93" s="21" t="str">
        <f t="shared" si="14"/>
        <v/>
      </c>
      <c r="F93" s="20" t="str">
        <f t="shared" si="15"/>
        <v/>
      </c>
      <c r="G93" s="20">
        <f t="shared" si="10"/>
        <v>0</v>
      </c>
      <c r="H93" s="20">
        <f t="shared" si="11"/>
        <v>0</v>
      </c>
      <c r="I93" s="20">
        <f t="shared" si="12"/>
        <v>0</v>
      </c>
      <c r="J93" s="20">
        <f t="shared" si="9"/>
        <v>0</v>
      </c>
      <c r="K93" s="20">
        <f t="shared" si="9"/>
        <v>0</v>
      </c>
      <c r="L93" s="20">
        <f t="shared" si="9"/>
        <v>0</v>
      </c>
    </row>
    <row r="94" spans="4:12" x14ac:dyDescent="0.35">
      <c r="D94" s="20" t="str">
        <f t="shared" si="13"/>
        <v/>
      </c>
      <c r="E94" s="21" t="str">
        <f t="shared" si="14"/>
        <v/>
      </c>
      <c r="F94" s="20" t="str">
        <f t="shared" si="15"/>
        <v/>
      </c>
      <c r="G94" s="20">
        <f t="shared" si="10"/>
        <v>0</v>
      </c>
      <c r="H94" s="20">
        <f t="shared" si="11"/>
        <v>0</v>
      </c>
      <c r="I94" s="20">
        <f t="shared" si="12"/>
        <v>0</v>
      </c>
      <c r="J94" s="20">
        <f t="shared" si="9"/>
        <v>0</v>
      </c>
      <c r="K94" s="20">
        <f t="shared" si="9"/>
        <v>0</v>
      </c>
      <c r="L94" s="20">
        <f t="shared" si="9"/>
        <v>0</v>
      </c>
    </row>
    <row r="95" spans="4:12" x14ac:dyDescent="0.35">
      <c r="D95" s="20" t="str">
        <f t="shared" si="13"/>
        <v/>
      </c>
      <c r="E95" s="21" t="str">
        <f t="shared" si="14"/>
        <v/>
      </c>
      <c r="F95" s="20" t="str">
        <f t="shared" si="15"/>
        <v/>
      </c>
      <c r="G95" s="20">
        <f t="shared" si="10"/>
        <v>0</v>
      </c>
      <c r="H95" s="20">
        <f t="shared" si="11"/>
        <v>0</v>
      </c>
      <c r="I95" s="20">
        <f t="shared" si="12"/>
        <v>0</v>
      </c>
      <c r="J95" s="20">
        <f t="shared" si="9"/>
        <v>0</v>
      </c>
      <c r="K95" s="20">
        <f t="shared" si="9"/>
        <v>0</v>
      </c>
      <c r="L95" s="20">
        <f t="shared" si="9"/>
        <v>0</v>
      </c>
    </row>
    <row r="96" spans="4:12" x14ac:dyDescent="0.35">
      <c r="D96" s="20" t="str">
        <f t="shared" si="13"/>
        <v/>
      </c>
      <c r="E96" s="21" t="str">
        <f t="shared" si="14"/>
        <v/>
      </c>
      <c r="F96" s="20" t="str">
        <f t="shared" si="15"/>
        <v/>
      </c>
      <c r="G96" s="20">
        <f t="shared" si="10"/>
        <v>0</v>
      </c>
      <c r="H96" s="20">
        <f t="shared" si="11"/>
        <v>0</v>
      </c>
      <c r="I96" s="20">
        <f t="shared" si="12"/>
        <v>0</v>
      </c>
      <c r="J96" s="20">
        <f t="shared" si="9"/>
        <v>0</v>
      </c>
      <c r="K96" s="20">
        <f t="shared" si="9"/>
        <v>0</v>
      </c>
      <c r="L96" s="20">
        <f t="shared" si="9"/>
        <v>0</v>
      </c>
    </row>
    <row r="97" spans="4:12" x14ac:dyDescent="0.35">
      <c r="D97" s="20" t="str">
        <f t="shared" si="13"/>
        <v/>
      </c>
      <c r="E97" s="21" t="str">
        <f t="shared" si="14"/>
        <v/>
      </c>
      <c r="F97" s="20" t="str">
        <f t="shared" si="15"/>
        <v/>
      </c>
      <c r="G97" s="20">
        <f t="shared" si="10"/>
        <v>0</v>
      </c>
      <c r="H97" s="20">
        <f t="shared" si="11"/>
        <v>0</v>
      </c>
      <c r="I97" s="20">
        <f t="shared" si="12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</row>
    <row r="98" spans="4:12" x14ac:dyDescent="0.35">
      <c r="D98" s="20" t="str">
        <f t="shared" si="13"/>
        <v/>
      </c>
      <c r="E98" s="21" t="str">
        <f t="shared" si="14"/>
        <v/>
      </c>
      <c r="F98" s="20" t="str">
        <f t="shared" si="15"/>
        <v/>
      </c>
      <c r="G98" s="20">
        <f t="shared" si="10"/>
        <v>0</v>
      </c>
      <c r="H98" s="20">
        <f t="shared" si="11"/>
        <v>0</v>
      </c>
      <c r="I98" s="20">
        <f t="shared" si="12"/>
        <v>0</v>
      </c>
      <c r="J98" s="20">
        <f t="shared" si="9"/>
        <v>0</v>
      </c>
      <c r="K98" s="20">
        <f t="shared" si="9"/>
        <v>0</v>
      </c>
      <c r="L98" s="20">
        <f t="shared" si="9"/>
        <v>0</v>
      </c>
    </row>
    <row r="99" spans="4:12" x14ac:dyDescent="0.35">
      <c r="D99" s="20" t="str">
        <f t="shared" si="13"/>
        <v/>
      </c>
      <c r="E99" s="21" t="str">
        <f t="shared" si="14"/>
        <v/>
      </c>
      <c r="F99" s="20" t="str">
        <f t="shared" si="15"/>
        <v/>
      </c>
      <c r="G99" s="20">
        <f t="shared" si="10"/>
        <v>0</v>
      </c>
      <c r="H99" s="20">
        <f t="shared" si="11"/>
        <v>0</v>
      </c>
      <c r="I99" s="20">
        <f t="shared" si="12"/>
        <v>0</v>
      </c>
      <c r="J99" s="20">
        <f t="shared" si="9"/>
        <v>0</v>
      </c>
      <c r="K99" s="20">
        <f t="shared" si="9"/>
        <v>0</v>
      </c>
      <c r="L99" s="20">
        <f t="shared" si="9"/>
        <v>0</v>
      </c>
    </row>
    <row r="100" spans="4:12" x14ac:dyDescent="0.35">
      <c r="D100" s="20" t="str">
        <f t="shared" si="13"/>
        <v/>
      </c>
      <c r="E100" s="21" t="str">
        <f t="shared" si="14"/>
        <v/>
      </c>
      <c r="F100" s="20" t="str">
        <f t="shared" si="15"/>
        <v/>
      </c>
      <c r="G100" s="20">
        <f t="shared" si="10"/>
        <v>0</v>
      </c>
      <c r="H100" s="20">
        <f t="shared" si="11"/>
        <v>0</v>
      </c>
      <c r="I100" s="20">
        <f t="shared" si="12"/>
        <v>0</v>
      </c>
      <c r="J100" s="20">
        <f t="shared" si="9"/>
        <v>0</v>
      </c>
      <c r="K100" s="20">
        <f t="shared" si="9"/>
        <v>0</v>
      </c>
      <c r="L100" s="20">
        <f t="shared" si="9"/>
        <v>0</v>
      </c>
    </row>
    <row r="101" spans="4:12" x14ac:dyDescent="0.35">
      <c r="D101" s="20" t="str">
        <f t="shared" si="13"/>
        <v/>
      </c>
      <c r="E101" s="21" t="str">
        <f t="shared" si="14"/>
        <v/>
      </c>
      <c r="F101" s="20" t="str">
        <f t="shared" si="15"/>
        <v/>
      </c>
      <c r="G101" s="20">
        <f t="shared" si="10"/>
        <v>0</v>
      </c>
      <c r="H101" s="20">
        <f t="shared" si="11"/>
        <v>0</v>
      </c>
      <c r="I101" s="20">
        <f t="shared" si="12"/>
        <v>0</v>
      </c>
      <c r="J101" s="20">
        <f t="shared" si="9"/>
        <v>0</v>
      </c>
      <c r="K101" s="20">
        <f t="shared" si="9"/>
        <v>0</v>
      </c>
      <c r="L101" s="20">
        <f t="shared" si="9"/>
        <v>0</v>
      </c>
    </row>
    <row r="102" spans="4:12" x14ac:dyDescent="0.35">
      <c r="D102" s="20" t="str">
        <f t="shared" si="13"/>
        <v/>
      </c>
      <c r="E102" s="21" t="str">
        <f t="shared" si="14"/>
        <v/>
      </c>
      <c r="F102" s="20" t="str">
        <f t="shared" si="15"/>
        <v/>
      </c>
      <c r="G102" s="20">
        <f t="shared" si="10"/>
        <v>0</v>
      </c>
      <c r="H102" s="20">
        <f t="shared" si="11"/>
        <v>0</v>
      </c>
      <c r="I102" s="20">
        <f t="shared" si="12"/>
        <v>0</v>
      </c>
      <c r="J102" s="20">
        <f t="shared" si="9"/>
        <v>0</v>
      </c>
      <c r="K102" s="20">
        <f t="shared" si="9"/>
        <v>0</v>
      </c>
      <c r="L102" s="20">
        <f t="shared" si="9"/>
        <v>0</v>
      </c>
    </row>
    <row r="103" spans="4:12" x14ac:dyDescent="0.35">
      <c r="D103" s="20" t="str">
        <f t="shared" si="13"/>
        <v/>
      </c>
      <c r="E103" s="21" t="str">
        <f t="shared" si="14"/>
        <v/>
      </c>
      <c r="F103" s="20" t="str">
        <f t="shared" si="15"/>
        <v/>
      </c>
      <c r="G103" s="20">
        <f t="shared" si="10"/>
        <v>0</v>
      </c>
      <c r="H103" s="20">
        <f t="shared" si="11"/>
        <v>0</v>
      </c>
      <c r="I103" s="20">
        <f t="shared" si="12"/>
        <v>0</v>
      </c>
      <c r="J103" s="20">
        <f t="shared" si="9"/>
        <v>0</v>
      </c>
      <c r="K103" s="20">
        <f t="shared" si="9"/>
        <v>0</v>
      </c>
      <c r="L103" s="20">
        <f t="shared" si="9"/>
        <v>0</v>
      </c>
    </row>
    <row r="104" spans="4:12" x14ac:dyDescent="0.35">
      <c r="D104" s="20" t="str">
        <f t="shared" si="13"/>
        <v/>
      </c>
      <c r="E104" s="21" t="str">
        <f t="shared" si="14"/>
        <v/>
      </c>
      <c r="F104" s="20" t="str">
        <f t="shared" si="15"/>
        <v/>
      </c>
      <c r="G104" s="20">
        <f t="shared" si="10"/>
        <v>0</v>
      </c>
      <c r="H104" s="20">
        <f t="shared" si="11"/>
        <v>0</v>
      </c>
      <c r="I104" s="20">
        <f t="shared" si="12"/>
        <v>0</v>
      </c>
      <c r="J104" s="20">
        <f t="shared" si="9"/>
        <v>0</v>
      </c>
      <c r="K104" s="20">
        <f t="shared" si="9"/>
        <v>0</v>
      </c>
      <c r="L104" s="20">
        <f t="shared" si="9"/>
        <v>0</v>
      </c>
    </row>
    <row r="105" spans="4:12" x14ac:dyDescent="0.35">
      <c r="D105" s="20" t="str">
        <f t="shared" si="13"/>
        <v/>
      </c>
      <c r="E105" s="21" t="str">
        <f t="shared" si="14"/>
        <v/>
      </c>
      <c r="F105" s="20" t="str">
        <f t="shared" si="15"/>
        <v/>
      </c>
      <c r="G105" s="20">
        <f t="shared" si="10"/>
        <v>0</v>
      </c>
      <c r="H105" s="20">
        <f t="shared" si="11"/>
        <v>0</v>
      </c>
      <c r="I105" s="20">
        <f t="shared" si="12"/>
        <v>0</v>
      </c>
      <c r="J105" s="20">
        <f t="shared" si="9"/>
        <v>0</v>
      </c>
      <c r="K105" s="20">
        <f t="shared" si="9"/>
        <v>0</v>
      </c>
      <c r="L105" s="20">
        <f t="shared" si="9"/>
        <v>0</v>
      </c>
    </row>
    <row r="106" spans="4:12" x14ac:dyDescent="0.35">
      <c r="D106" s="20" t="str">
        <f t="shared" si="13"/>
        <v/>
      </c>
      <c r="E106" s="21" t="str">
        <f t="shared" si="14"/>
        <v/>
      </c>
      <c r="F106" s="20" t="str">
        <f t="shared" si="15"/>
        <v/>
      </c>
      <c r="G106" s="20">
        <f t="shared" si="10"/>
        <v>0</v>
      </c>
      <c r="H106" s="20">
        <f t="shared" si="11"/>
        <v>0</v>
      </c>
      <c r="I106" s="20">
        <f t="shared" si="12"/>
        <v>0</v>
      </c>
      <c r="J106" s="20">
        <f t="shared" si="9"/>
        <v>0</v>
      </c>
      <c r="K106" s="20">
        <f t="shared" si="9"/>
        <v>0</v>
      </c>
      <c r="L106" s="20">
        <f t="shared" si="9"/>
        <v>0</v>
      </c>
    </row>
    <row r="107" spans="4:12" x14ac:dyDescent="0.35">
      <c r="D107" s="20" t="str">
        <f t="shared" si="13"/>
        <v/>
      </c>
      <c r="E107" s="21" t="str">
        <f t="shared" si="14"/>
        <v/>
      </c>
      <c r="F107" s="20" t="str">
        <f t="shared" si="15"/>
        <v/>
      </c>
      <c r="G107" s="20">
        <f t="shared" si="10"/>
        <v>0</v>
      </c>
      <c r="H107" s="20">
        <f t="shared" si="11"/>
        <v>0</v>
      </c>
      <c r="I107" s="20">
        <f t="shared" si="12"/>
        <v>0</v>
      </c>
      <c r="J107" s="20">
        <f t="shared" si="9"/>
        <v>0</v>
      </c>
      <c r="K107" s="20">
        <f t="shared" si="9"/>
        <v>0</v>
      </c>
      <c r="L107" s="20">
        <f t="shared" si="9"/>
        <v>0</v>
      </c>
    </row>
    <row r="108" spans="4:12" x14ac:dyDescent="0.35">
      <c r="D108" s="20" t="str">
        <f t="shared" si="13"/>
        <v/>
      </c>
      <c r="E108" s="21" t="str">
        <f t="shared" si="14"/>
        <v/>
      </c>
      <c r="F108" s="20" t="str">
        <f t="shared" si="15"/>
        <v/>
      </c>
      <c r="G108" s="20">
        <f t="shared" si="10"/>
        <v>0</v>
      </c>
      <c r="H108" s="20">
        <f t="shared" si="11"/>
        <v>0</v>
      </c>
      <c r="I108" s="20">
        <f t="shared" si="12"/>
        <v>0</v>
      </c>
      <c r="J108" s="20">
        <f t="shared" si="9"/>
        <v>0</v>
      </c>
      <c r="K108" s="20">
        <f t="shared" si="9"/>
        <v>0</v>
      </c>
      <c r="L108" s="20">
        <f t="shared" si="9"/>
        <v>0</v>
      </c>
    </row>
    <row r="109" spans="4:12" x14ac:dyDescent="0.35">
      <c r="D109" s="20" t="str">
        <f t="shared" si="13"/>
        <v/>
      </c>
      <c r="E109" s="21" t="str">
        <f t="shared" si="14"/>
        <v/>
      </c>
      <c r="F109" s="20" t="str">
        <f t="shared" si="15"/>
        <v/>
      </c>
      <c r="G109" s="20">
        <f t="shared" si="10"/>
        <v>0</v>
      </c>
      <c r="H109" s="20">
        <f t="shared" si="11"/>
        <v>0</v>
      </c>
      <c r="I109" s="20">
        <f t="shared" si="12"/>
        <v>0</v>
      </c>
      <c r="J109" s="20">
        <f t="shared" si="9"/>
        <v>0</v>
      </c>
      <c r="K109" s="20">
        <f t="shared" si="9"/>
        <v>0</v>
      </c>
      <c r="L109" s="20">
        <f t="shared" si="9"/>
        <v>0</v>
      </c>
    </row>
    <row r="110" spans="4:12" x14ac:dyDescent="0.35">
      <c r="D110" s="20" t="str">
        <f t="shared" si="13"/>
        <v/>
      </c>
      <c r="E110" s="21" t="str">
        <f t="shared" si="14"/>
        <v/>
      </c>
      <c r="F110" s="20" t="str">
        <f t="shared" si="15"/>
        <v/>
      </c>
      <c r="G110" s="20">
        <f t="shared" si="10"/>
        <v>0</v>
      </c>
      <c r="H110" s="20">
        <f t="shared" si="11"/>
        <v>0</v>
      </c>
      <c r="I110" s="20">
        <f t="shared" si="12"/>
        <v>0</v>
      </c>
      <c r="J110" s="20">
        <f t="shared" si="9"/>
        <v>0</v>
      </c>
      <c r="K110" s="20">
        <f t="shared" si="9"/>
        <v>0</v>
      </c>
      <c r="L110" s="20">
        <f t="shared" si="9"/>
        <v>0</v>
      </c>
    </row>
    <row r="111" spans="4:12" x14ac:dyDescent="0.35">
      <c r="D111" s="20" t="str">
        <f t="shared" si="13"/>
        <v/>
      </c>
      <c r="E111" s="21" t="str">
        <f t="shared" si="14"/>
        <v/>
      </c>
      <c r="F111" s="20" t="str">
        <f t="shared" si="15"/>
        <v/>
      </c>
      <c r="G111" s="20">
        <f t="shared" si="10"/>
        <v>0</v>
      </c>
      <c r="H111" s="20">
        <f t="shared" si="11"/>
        <v>0</v>
      </c>
      <c r="I111" s="20">
        <f t="shared" si="12"/>
        <v>0</v>
      </c>
      <c r="J111" s="20">
        <f t="shared" si="9"/>
        <v>0</v>
      </c>
      <c r="K111" s="20">
        <f t="shared" si="9"/>
        <v>0</v>
      </c>
      <c r="L111" s="20">
        <f t="shared" si="9"/>
        <v>0</v>
      </c>
    </row>
    <row r="112" spans="4:12" x14ac:dyDescent="0.35">
      <c r="D112" s="20" t="str">
        <f t="shared" si="13"/>
        <v/>
      </c>
      <c r="E112" s="21" t="str">
        <f t="shared" si="14"/>
        <v/>
      </c>
      <c r="F112" s="20" t="str">
        <f t="shared" si="15"/>
        <v/>
      </c>
      <c r="G112" s="20">
        <f t="shared" si="10"/>
        <v>0</v>
      </c>
      <c r="H112" s="20">
        <f t="shared" si="11"/>
        <v>0</v>
      </c>
      <c r="I112" s="20">
        <f t="shared" si="12"/>
        <v>0</v>
      </c>
      <c r="J112" s="20">
        <f t="shared" si="9"/>
        <v>0</v>
      </c>
      <c r="K112" s="20">
        <f t="shared" si="9"/>
        <v>0</v>
      </c>
      <c r="L112" s="20">
        <f t="shared" si="9"/>
        <v>0</v>
      </c>
    </row>
    <row r="113" spans="4:12" x14ac:dyDescent="0.35">
      <c r="D113" s="20" t="str">
        <f t="shared" si="13"/>
        <v/>
      </c>
      <c r="E113" s="21" t="str">
        <f t="shared" si="14"/>
        <v/>
      </c>
      <c r="F113" s="20" t="str">
        <f t="shared" si="15"/>
        <v/>
      </c>
      <c r="G113" s="20">
        <f t="shared" si="10"/>
        <v>0</v>
      </c>
      <c r="H113" s="20">
        <f t="shared" si="11"/>
        <v>0</v>
      </c>
      <c r="I113" s="20">
        <f t="shared" si="12"/>
        <v>0</v>
      </c>
      <c r="J113" s="20">
        <f t="shared" si="9"/>
        <v>0</v>
      </c>
      <c r="K113" s="20">
        <f t="shared" si="9"/>
        <v>0</v>
      </c>
      <c r="L113" s="20">
        <f t="shared" si="9"/>
        <v>0</v>
      </c>
    </row>
    <row r="114" spans="4:12" x14ac:dyDescent="0.35">
      <c r="D114" s="20" t="str">
        <f t="shared" si="13"/>
        <v/>
      </c>
      <c r="E114" s="21" t="str">
        <f t="shared" si="14"/>
        <v/>
      </c>
      <c r="F114" s="20" t="str">
        <f t="shared" si="15"/>
        <v/>
      </c>
      <c r="G114" s="20">
        <f t="shared" si="10"/>
        <v>0</v>
      </c>
      <c r="H114" s="20">
        <f t="shared" si="11"/>
        <v>0</v>
      </c>
      <c r="I114" s="20">
        <f t="shared" si="12"/>
        <v>0</v>
      </c>
      <c r="J114" s="20">
        <f t="shared" si="9"/>
        <v>0</v>
      </c>
      <c r="K114" s="20">
        <f t="shared" si="9"/>
        <v>0</v>
      </c>
      <c r="L114" s="20">
        <f t="shared" si="9"/>
        <v>0</v>
      </c>
    </row>
    <row r="115" spans="4:12" x14ac:dyDescent="0.35">
      <c r="D115" s="20" t="str">
        <f t="shared" si="13"/>
        <v/>
      </c>
      <c r="E115" s="21" t="str">
        <f t="shared" si="14"/>
        <v/>
      </c>
      <c r="F115" s="20" t="str">
        <f t="shared" si="15"/>
        <v/>
      </c>
      <c r="G115" s="20">
        <f t="shared" si="10"/>
        <v>0</v>
      </c>
      <c r="H115" s="20">
        <f t="shared" si="11"/>
        <v>0</v>
      </c>
      <c r="I115" s="20">
        <f t="shared" si="12"/>
        <v>0</v>
      </c>
      <c r="J115" s="20">
        <f t="shared" si="9"/>
        <v>0</v>
      </c>
      <c r="K115" s="20">
        <f t="shared" si="9"/>
        <v>0</v>
      </c>
      <c r="L115" s="20">
        <f t="shared" si="9"/>
        <v>0</v>
      </c>
    </row>
    <row r="116" spans="4:12" x14ac:dyDescent="0.35">
      <c r="D116" s="20" t="str">
        <f t="shared" si="13"/>
        <v/>
      </c>
      <c r="E116" s="21" t="str">
        <f t="shared" si="14"/>
        <v/>
      </c>
      <c r="F116" s="20" t="str">
        <f t="shared" si="15"/>
        <v/>
      </c>
      <c r="G116" s="20">
        <f t="shared" si="10"/>
        <v>0</v>
      </c>
      <c r="H116" s="20">
        <f t="shared" si="11"/>
        <v>0</v>
      </c>
      <c r="I116" s="20">
        <f t="shared" si="12"/>
        <v>0</v>
      </c>
      <c r="J116" s="20">
        <f t="shared" si="9"/>
        <v>0</v>
      </c>
      <c r="K116" s="20">
        <f t="shared" si="9"/>
        <v>0</v>
      </c>
      <c r="L116" s="20">
        <f t="shared" si="9"/>
        <v>0</v>
      </c>
    </row>
    <row r="117" spans="4:12" x14ac:dyDescent="0.35">
      <c r="D117" s="20" t="str">
        <f t="shared" si="13"/>
        <v/>
      </c>
      <c r="E117" s="21" t="str">
        <f t="shared" si="14"/>
        <v/>
      </c>
      <c r="F117" s="20" t="str">
        <f t="shared" si="15"/>
        <v/>
      </c>
      <c r="G117" s="20">
        <f t="shared" si="10"/>
        <v>0</v>
      </c>
      <c r="H117" s="20">
        <f t="shared" si="11"/>
        <v>0</v>
      </c>
      <c r="I117" s="20">
        <f t="shared" si="12"/>
        <v>0</v>
      </c>
      <c r="J117" s="20">
        <f t="shared" si="9"/>
        <v>0</v>
      </c>
      <c r="K117" s="20">
        <f t="shared" si="9"/>
        <v>0</v>
      </c>
      <c r="L117" s="20">
        <f t="shared" si="9"/>
        <v>0</v>
      </c>
    </row>
    <row r="118" spans="4:12" x14ac:dyDescent="0.35">
      <c r="D118" s="20" t="str">
        <f t="shared" si="13"/>
        <v/>
      </c>
      <c r="E118" s="21" t="str">
        <f t="shared" si="14"/>
        <v/>
      </c>
      <c r="F118" s="20" t="str">
        <f t="shared" si="15"/>
        <v/>
      </c>
      <c r="G118" s="20">
        <f t="shared" si="10"/>
        <v>0</v>
      </c>
      <c r="H118" s="20">
        <f t="shared" si="11"/>
        <v>0</v>
      </c>
      <c r="I118" s="20">
        <f t="shared" si="12"/>
        <v>0</v>
      </c>
      <c r="J118" s="20">
        <f t="shared" si="9"/>
        <v>0</v>
      </c>
      <c r="K118" s="20">
        <f t="shared" si="9"/>
        <v>0</v>
      </c>
      <c r="L118" s="20">
        <f t="shared" si="9"/>
        <v>0</v>
      </c>
    </row>
    <row r="119" spans="4:12" x14ac:dyDescent="0.35">
      <c r="D119" s="20" t="str">
        <f t="shared" si="13"/>
        <v/>
      </c>
      <c r="E119" s="21" t="str">
        <f t="shared" si="14"/>
        <v/>
      </c>
      <c r="F119" s="20" t="str">
        <f t="shared" si="15"/>
        <v/>
      </c>
      <c r="G119" s="20">
        <f t="shared" si="10"/>
        <v>0</v>
      </c>
      <c r="H119" s="20">
        <f t="shared" si="11"/>
        <v>0</v>
      </c>
      <c r="I119" s="20">
        <f t="shared" si="12"/>
        <v>0</v>
      </c>
      <c r="J119" s="20">
        <f t="shared" si="9"/>
        <v>0</v>
      </c>
      <c r="K119" s="20">
        <f t="shared" si="9"/>
        <v>0</v>
      </c>
      <c r="L119" s="20">
        <f t="shared" si="9"/>
        <v>0</v>
      </c>
    </row>
    <row r="120" spans="4:12" x14ac:dyDescent="0.35">
      <c r="D120" s="20" t="str">
        <f t="shared" si="13"/>
        <v/>
      </c>
      <c r="E120" s="21" t="str">
        <f t="shared" si="14"/>
        <v/>
      </c>
      <c r="F120" s="20" t="str">
        <f t="shared" si="15"/>
        <v/>
      </c>
      <c r="G120" s="20">
        <f t="shared" si="10"/>
        <v>0</v>
      </c>
      <c r="H120" s="20">
        <f t="shared" si="11"/>
        <v>0</v>
      </c>
      <c r="I120" s="20">
        <f t="shared" si="12"/>
        <v>0</v>
      </c>
      <c r="J120" s="20">
        <f t="shared" si="9"/>
        <v>0</v>
      </c>
      <c r="K120" s="20">
        <f t="shared" si="9"/>
        <v>0</v>
      </c>
      <c r="L120" s="20">
        <f t="shared" si="9"/>
        <v>0</v>
      </c>
    </row>
    <row r="121" spans="4:12" x14ac:dyDescent="0.35">
      <c r="D121" s="20" t="str">
        <f t="shared" si="13"/>
        <v/>
      </c>
      <c r="E121" s="21" t="str">
        <f t="shared" si="14"/>
        <v/>
      </c>
      <c r="F121" s="20" t="str">
        <f t="shared" si="15"/>
        <v/>
      </c>
      <c r="G121" s="20">
        <f t="shared" si="10"/>
        <v>0</v>
      </c>
      <c r="H121" s="20">
        <f t="shared" si="11"/>
        <v>0</v>
      </c>
      <c r="I121" s="20">
        <f t="shared" si="12"/>
        <v>0</v>
      </c>
      <c r="J121" s="20">
        <f t="shared" si="9"/>
        <v>0</v>
      </c>
      <c r="K121" s="20">
        <f t="shared" si="9"/>
        <v>0</v>
      </c>
      <c r="L121" s="20">
        <f t="shared" si="9"/>
        <v>0</v>
      </c>
    </row>
    <row r="122" spans="4:12" x14ac:dyDescent="0.35">
      <c r="D122" s="20" t="str">
        <f t="shared" si="13"/>
        <v/>
      </c>
      <c r="E122" s="21" t="str">
        <f t="shared" si="14"/>
        <v/>
      </c>
      <c r="F122" s="20" t="str">
        <f t="shared" si="15"/>
        <v/>
      </c>
      <c r="G122" s="20">
        <f t="shared" si="10"/>
        <v>0</v>
      </c>
      <c r="H122" s="20">
        <f t="shared" si="11"/>
        <v>0</v>
      </c>
      <c r="I122" s="20">
        <f t="shared" si="12"/>
        <v>0</v>
      </c>
      <c r="J122" s="20">
        <f t="shared" si="9"/>
        <v>0</v>
      </c>
      <c r="K122" s="20">
        <f t="shared" si="9"/>
        <v>0</v>
      </c>
      <c r="L122" s="20">
        <f t="shared" si="9"/>
        <v>0</v>
      </c>
    </row>
    <row r="123" spans="4:12" x14ac:dyDescent="0.35">
      <c r="D123" s="20" t="str">
        <f t="shared" si="13"/>
        <v/>
      </c>
      <c r="E123" s="21" t="str">
        <f t="shared" si="14"/>
        <v/>
      </c>
      <c r="F123" s="20" t="str">
        <f t="shared" si="15"/>
        <v/>
      </c>
      <c r="G123" s="20">
        <f t="shared" si="10"/>
        <v>0</v>
      </c>
      <c r="H123" s="20">
        <f t="shared" si="11"/>
        <v>0</v>
      </c>
      <c r="I123" s="20">
        <f t="shared" si="12"/>
        <v>0</v>
      </c>
      <c r="J123" s="20">
        <f t="shared" si="9"/>
        <v>0</v>
      </c>
      <c r="K123" s="20">
        <f t="shared" si="9"/>
        <v>0</v>
      </c>
      <c r="L123" s="20">
        <f t="shared" si="9"/>
        <v>0</v>
      </c>
    </row>
    <row r="124" spans="4:12" x14ac:dyDescent="0.35">
      <c r="D124" s="20" t="str">
        <f t="shared" si="13"/>
        <v/>
      </c>
      <c r="E124" s="21" t="str">
        <f t="shared" si="14"/>
        <v/>
      </c>
      <c r="F124" s="20" t="str">
        <f t="shared" si="15"/>
        <v/>
      </c>
      <c r="G124" s="20">
        <f t="shared" si="10"/>
        <v>0</v>
      </c>
      <c r="H124" s="20">
        <f t="shared" si="11"/>
        <v>0</v>
      </c>
      <c r="I124" s="20">
        <f t="shared" si="12"/>
        <v>0</v>
      </c>
      <c r="J124" s="20">
        <f t="shared" si="9"/>
        <v>0</v>
      </c>
      <c r="K124" s="20">
        <f t="shared" si="9"/>
        <v>0</v>
      </c>
      <c r="L124" s="20">
        <f t="shared" si="9"/>
        <v>0</v>
      </c>
    </row>
    <row r="125" spans="4:12" x14ac:dyDescent="0.35">
      <c r="D125" s="20" t="str">
        <f t="shared" si="13"/>
        <v/>
      </c>
      <c r="E125" s="21" t="str">
        <f t="shared" si="14"/>
        <v/>
      </c>
      <c r="F125" s="20" t="str">
        <f t="shared" si="15"/>
        <v/>
      </c>
      <c r="G125" s="20">
        <f t="shared" si="10"/>
        <v>0</v>
      </c>
      <c r="H125" s="20">
        <f t="shared" si="11"/>
        <v>0</v>
      </c>
      <c r="I125" s="20">
        <f t="shared" si="12"/>
        <v>0</v>
      </c>
      <c r="J125" s="20">
        <f t="shared" si="9"/>
        <v>0</v>
      </c>
      <c r="K125" s="20">
        <f t="shared" si="9"/>
        <v>0</v>
      </c>
      <c r="L125" s="20">
        <f t="shared" si="9"/>
        <v>0</v>
      </c>
    </row>
    <row r="126" spans="4:12" x14ac:dyDescent="0.35">
      <c r="D126" s="20" t="str">
        <f t="shared" si="13"/>
        <v/>
      </c>
      <c r="E126" s="21" t="str">
        <f t="shared" si="14"/>
        <v/>
      </c>
      <c r="F126" s="20" t="str">
        <f t="shared" si="15"/>
        <v/>
      </c>
      <c r="G126" s="20">
        <f t="shared" si="10"/>
        <v>0</v>
      </c>
      <c r="H126" s="20">
        <f t="shared" si="11"/>
        <v>0</v>
      </c>
      <c r="I126" s="20">
        <f t="shared" si="12"/>
        <v>0</v>
      </c>
      <c r="J126" s="20">
        <f t="shared" si="9"/>
        <v>0</v>
      </c>
      <c r="K126" s="20">
        <f t="shared" si="9"/>
        <v>0</v>
      </c>
      <c r="L126" s="20">
        <f t="shared" si="9"/>
        <v>0</v>
      </c>
    </row>
    <row r="127" spans="4:12" x14ac:dyDescent="0.35">
      <c r="D127" s="20" t="str">
        <f t="shared" si="13"/>
        <v/>
      </c>
      <c r="E127" s="21" t="str">
        <f t="shared" si="14"/>
        <v/>
      </c>
      <c r="F127" s="20" t="str">
        <f t="shared" si="15"/>
        <v/>
      </c>
      <c r="G127" s="20">
        <f t="shared" si="10"/>
        <v>0</v>
      </c>
      <c r="H127" s="20">
        <f t="shared" si="11"/>
        <v>0</v>
      </c>
      <c r="I127" s="20">
        <f t="shared" si="12"/>
        <v>0</v>
      </c>
      <c r="J127" s="20">
        <f t="shared" si="9"/>
        <v>0</v>
      </c>
      <c r="K127" s="20">
        <f t="shared" si="9"/>
        <v>0</v>
      </c>
      <c r="L127" s="20">
        <f t="shared" si="9"/>
        <v>0</v>
      </c>
    </row>
    <row r="128" spans="4:12" x14ac:dyDescent="0.35">
      <c r="D128" s="20" t="str">
        <f t="shared" si="13"/>
        <v/>
      </c>
      <c r="E128" s="21" t="str">
        <f t="shared" si="14"/>
        <v/>
      </c>
      <c r="F128" s="20" t="str">
        <f t="shared" si="15"/>
        <v/>
      </c>
      <c r="G128" s="20">
        <f t="shared" si="10"/>
        <v>0</v>
      </c>
      <c r="H128" s="20">
        <f t="shared" si="11"/>
        <v>0</v>
      </c>
      <c r="I128" s="20">
        <f t="shared" si="12"/>
        <v>0</v>
      </c>
      <c r="J128" s="20">
        <f t="shared" si="9"/>
        <v>0</v>
      </c>
      <c r="K128" s="20">
        <f t="shared" si="9"/>
        <v>0</v>
      </c>
      <c r="L128" s="20">
        <f t="shared" si="9"/>
        <v>0</v>
      </c>
    </row>
    <row r="129" spans="4:12" x14ac:dyDescent="0.35">
      <c r="D129" s="20" t="str">
        <f t="shared" si="13"/>
        <v/>
      </c>
      <c r="E129" s="21" t="str">
        <f t="shared" si="14"/>
        <v/>
      </c>
      <c r="F129" s="20" t="str">
        <f t="shared" si="15"/>
        <v/>
      </c>
      <c r="G129" s="20">
        <f t="shared" si="10"/>
        <v>0</v>
      </c>
      <c r="H129" s="20">
        <f t="shared" si="11"/>
        <v>0</v>
      </c>
      <c r="I129" s="20">
        <f t="shared" si="12"/>
        <v>0</v>
      </c>
      <c r="J129" s="20">
        <f t="shared" si="9"/>
        <v>0</v>
      </c>
      <c r="K129" s="20">
        <f t="shared" si="9"/>
        <v>0</v>
      </c>
      <c r="L129" s="20">
        <f t="shared" si="9"/>
        <v>0</v>
      </c>
    </row>
    <row r="130" spans="4:12" x14ac:dyDescent="0.35">
      <c r="D130" s="20" t="str">
        <f t="shared" si="13"/>
        <v/>
      </c>
      <c r="E130" s="21" t="str">
        <f t="shared" si="14"/>
        <v/>
      </c>
      <c r="F130" s="20" t="str">
        <f t="shared" si="15"/>
        <v/>
      </c>
      <c r="G130" s="20">
        <f t="shared" si="10"/>
        <v>0</v>
      </c>
      <c r="H130" s="20">
        <f t="shared" si="11"/>
        <v>0</v>
      </c>
      <c r="I130" s="20">
        <f t="shared" si="12"/>
        <v>0</v>
      </c>
      <c r="J130" s="20">
        <f t="shared" si="9"/>
        <v>0</v>
      </c>
      <c r="K130" s="20">
        <f t="shared" si="9"/>
        <v>0</v>
      </c>
      <c r="L130" s="20">
        <f t="shared" si="9"/>
        <v>0</v>
      </c>
    </row>
    <row r="131" spans="4:12" x14ac:dyDescent="0.35">
      <c r="D131" s="20" t="str">
        <f t="shared" si="13"/>
        <v/>
      </c>
      <c r="E131" s="21" t="str">
        <f t="shared" si="14"/>
        <v/>
      </c>
      <c r="F131" s="20" t="str">
        <f t="shared" si="15"/>
        <v/>
      </c>
      <c r="G131" s="20">
        <f t="shared" si="10"/>
        <v>0</v>
      </c>
      <c r="H131" s="20">
        <f t="shared" si="11"/>
        <v>0</v>
      </c>
      <c r="I131" s="20">
        <f t="shared" si="12"/>
        <v>0</v>
      </c>
      <c r="J131" s="20">
        <f t="shared" ref="J131:L194" si="16">ABS(G131)</f>
        <v>0</v>
      </c>
      <c r="K131" s="20">
        <f t="shared" si="16"/>
        <v>0</v>
      </c>
      <c r="L131" s="20">
        <f t="shared" si="16"/>
        <v>0</v>
      </c>
    </row>
    <row r="132" spans="4:12" x14ac:dyDescent="0.35">
      <c r="D132" s="20" t="str">
        <f t="shared" si="13"/>
        <v/>
      </c>
      <c r="E132" s="21" t="str">
        <f t="shared" si="14"/>
        <v/>
      </c>
      <c r="F132" s="20" t="str">
        <f t="shared" si="15"/>
        <v/>
      </c>
      <c r="G132" s="20">
        <f t="shared" ref="G132:G195" si="17">IF(D132=$B$5+1,F132,0)</f>
        <v>0</v>
      </c>
      <c r="H132" s="20">
        <f t="shared" ref="H132:H195" si="18">IF(D131&lt;$B$5,F132*MOD(D131,2),0)</f>
        <v>0</v>
      </c>
      <c r="I132" s="20">
        <f t="shared" ref="I132:I195" si="19">IF(D131&lt;$B$5,F132*MOD(D132,2),0)</f>
        <v>0</v>
      </c>
      <c r="J132" s="20">
        <f t="shared" si="16"/>
        <v>0</v>
      </c>
      <c r="K132" s="20">
        <f t="shared" si="16"/>
        <v>0</v>
      </c>
      <c r="L132" s="20">
        <f t="shared" si="16"/>
        <v>0</v>
      </c>
    </row>
    <row r="133" spans="4:12" x14ac:dyDescent="0.35">
      <c r="D133" s="20" t="str">
        <f t="shared" si="13"/>
        <v/>
      </c>
      <c r="E133" s="21" t="str">
        <f t="shared" si="14"/>
        <v/>
      </c>
      <c r="F133" s="20" t="str">
        <f t="shared" si="15"/>
        <v/>
      </c>
      <c r="G133" s="20">
        <f t="shared" si="17"/>
        <v>0</v>
      </c>
      <c r="H133" s="20">
        <f t="shared" si="18"/>
        <v>0</v>
      </c>
      <c r="I133" s="20">
        <f t="shared" si="19"/>
        <v>0</v>
      </c>
      <c r="J133" s="20">
        <f t="shared" si="16"/>
        <v>0</v>
      </c>
      <c r="K133" s="20">
        <f t="shared" si="16"/>
        <v>0</v>
      </c>
      <c r="L133" s="20">
        <f t="shared" si="16"/>
        <v>0</v>
      </c>
    </row>
    <row r="134" spans="4:12" x14ac:dyDescent="0.35">
      <c r="D134" s="20" t="str">
        <f t="shared" si="13"/>
        <v/>
      </c>
      <c r="E134" s="21" t="str">
        <f t="shared" si="14"/>
        <v/>
      </c>
      <c r="F134" s="20" t="str">
        <f t="shared" si="15"/>
        <v/>
      </c>
      <c r="G134" s="20">
        <f t="shared" si="17"/>
        <v>0</v>
      </c>
      <c r="H134" s="20">
        <f t="shared" si="18"/>
        <v>0</v>
      </c>
      <c r="I134" s="20">
        <f t="shared" si="19"/>
        <v>0</v>
      </c>
      <c r="J134" s="20">
        <f t="shared" si="16"/>
        <v>0</v>
      </c>
      <c r="K134" s="20">
        <f t="shared" si="16"/>
        <v>0</v>
      </c>
      <c r="L134" s="20">
        <f t="shared" si="16"/>
        <v>0</v>
      </c>
    </row>
    <row r="135" spans="4:12" x14ac:dyDescent="0.35">
      <c r="D135" s="20" t="str">
        <f t="shared" si="13"/>
        <v/>
      </c>
      <c r="E135" s="21" t="str">
        <f t="shared" si="14"/>
        <v/>
      </c>
      <c r="F135" s="20" t="str">
        <f t="shared" si="15"/>
        <v/>
      </c>
      <c r="G135" s="20">
        <f t="shared" si="17"/>
        <v>0</v>
      </c>
      <c r="H135" s="20">
        <f t="shared" si="18"/>
        <v>0</v>
      </c>
      <c r="I135" s="20">
        <f t="shared" si="19"/>
        <v>0</v>
      </c>
      <c r="J135" s="20">
        <f t="shared" si="16"/>
        <v>0</v>
      </c>
      <c r="K135" s="20">
        <f t="shared" si="16"/>
        <v>0</v>
      </c>
      <c r="L135" s="20">
        <f t="shared" si="16"/>
        <v>0</v>
      </c>
    </row>
    <row r="136" spans="4:12" x14ac:dyDescent="0.35">
      <c r="D136" s="20" t="str">
        <f t="shared" si="13"/>
        <v/>
      </c>
      <c r="E136" s="21" t="str">
        <f t="shared" si="14"/>
        <v/>
      </c>
      <c r="F136" s="20" t="str">
        <f t="shared" si="15"/>
        <v/>
      </c>
      <c r="G136" s="20">
        <f t="shared" si="17"/>
        <v>0</v>
      </c>
      <c r="H136" s="20">
        <f t="shared" si="18"/>
        <v>0</v>
      </c>
      <c r="I136" s="20">
        <f t="shared" si="19"/>
        <v>0</v>
      </c>
      <c r="J136" s="20">
        <f t="shared" si="16"/>
        <v>0</v>
      </c>
      <c r="K136" s="20">
        <f t="shared" si="16"/>
        <v>0</v>
      </c>
      <c r="L136" s="20">
        <f t="shared" si="16"/>
        <v>0</v>
      </c>
    </row>
    <row r="137" spans="4:12" x14ac:dyDescent="0.35">
      <c r="D137" s="20" t="str">
        <f t="shared" si="13"/>
        <v/>
      </c>
      <c r="E137" s="21" t="str">
        <f t="shared" si="14"/>
        <v/>
      </c>
      <c r="F137" s="20" t="str">
        <f t="shared" si="15"/>
        <v/>
      </c>
      <c r="G137" s="20">
        <f t="shared" si="17"/>
        <v>0</v>
      </c>
      <c r="H137" s="20">
        <f t="shared" si="18"/>
        <v>0</v>
      </c>
      <c r="I137" s="20">
        <f t="shared" si="19"/>
        <v>0</v>
      </c>
      <c r="J137" s="20">
        <f t="shared" si="16"/>
        <v>0</v>
      </c>
      <c r="K137" s="20">
        <f t="shared" si="16"/>
        <v>0</v>
      </c>
      <c r="L137" s="20">
        <f t="shared" si="16"/>
        <v>0</v>
      </c>
    </row>
    <row r="138" spans="4:12" x14ac:dyDescent="0.35">
      <c r="D138" s="20" t="str">
        <f t="shared" si="13"/>
        <v/>
      </c>
      <c r="E138" s="21" t="str">
        <f t="shared" si="14"/>
        <v/>
      </c>
      <c r="F138" s="20" t="str">
        <f t="shared" si="15"/>
        <v/>
      </c>
      <c r="G138" s="20">
        <f t="shared" si="17"/>
        <v>0</v>
      </c>
      <c r="H138" s="20">
        <f t="shared" si="18"/>
        <v>0</v>
      </c>
      <c r="I138" s="20">
        <f t="shared" si="19"/>
        <v>0</v>
      </c>
      <c r="J138" s="20">
        <f t="shared" si="16"/>
        <v>0</v>
      </c>
      <c r="K138" s="20">
        <f t="shared" si="16"/>
        <v>0</v>
      </c>
      <c r="L138" s="20">
        <f t="shared" si="16"/>
        <v>0</v>
      </c>
    </row>
    <row r="139" spans="4:12" x14ac:dyDescent="0.35">
      <c r="D139" s="20" t="str">
        <f t="shared" si="13"/>
        <v/>
      </c>
      <c r="E139" s="21" t="str">
        <f t="shared" si="14"/>
        <v/>
      </c>
      <c r="F139" s="20" t="str">
        <f t="shared" si="15"/>
        <v/>
      </c>
      <c r="G139" s="20">
        <f t="shared" si="17"/>
        <v>0</v>
      </c>
      <c r="H139" s="20">
        <f t="shared" si="18"/>
        <v>0</v>
      </c>
      <c r="I139" s="20">
        <f t="shared" si="19"/>
        <v>0</v>
      </c>
      <c r="J139" s="20">
        <f t="shared" si="16"/>
        <v>0</v>
      </c>
      <c r="K139" s="20">
        <f t="shared" si="16"/>
        <v>0</v>
      </c>
      <c r="L139" s="20">
        <f t="shared" si="16"/>
        <v>0</v>
      </c>
    </row>
    <row r="140" spans="4:12" x14ac:dyDescent="0.35">
      <c r="D140" s="20" t="str">
        <f t="shared" si="13"/>
        <v/>
      </c>
      <c r="E140" s="21" t="str">
        <f t="shared" si="14"/>
        <v/>
      </c>
      <c r="F140" s="20" t="str">
        <f t="shared" si="15"/>
        <v/>
      </c>
      <c r="G140" s="20">
        <f t="shared" si="17"/>
        <v>0</v>
      </c>
      <c r="H140" s="20">
        <f t="shared" si="18"/>
        <v>0</v>
      </c>
      <c r="I140" s="20">
        <f t="shared" si="19"/>
        <v>0</v>
      </c>
      <c r="J140" s="20">
        <f t="shared" si="16"/>
        <v>0</v>
      </c>
      <c r="K140" s="20">
        <f t="shared" si="16"/>
        <v>0</v>
      </c>
      <c r="L140" s="20">
        <f t="shared" si="16"/>
        <v>0</v>
      </c>
    </row>
    <row r="141" spans="4:12" x14ac:dyDescent="0.35">
      <c r="D141" s="20" t="str">
        <f t="shared" si="13"/>
        <v/>
      </c>
      <c r="E141" s="21" t="str">
        <f t="shared" si="14"/>
        <v/>
      </c>
      <c r="F141" s="20" t="str">
        <f t="shared" si="15"/>
        <v/>
      </c>
      <c r="G141" s="20">
        <f t="shared" si="17"/>
        <v>0</v>
      </c>
      <c r="H141" s="20">
        <f t="shared" si="18"/>
        <v>0</v>
      </c>
      <c r="I141" s="20">
        <f t="shared" si="19"/>
        <v>0</v>
      </c>
      <c r="J141" s="20">
        <f t="shared" si="16"/>
        <v>0</v>
      </c>
      <c r="K141" s="20">
        <f t="shared" si="16"/>
        <v>0</v>
      </c>
      <c r="L141" s="20">
        <f t="shared" si="16"/>
        <v>0</v>
      </c>
    </row>
    <row r="142" spans="4:12" x14ac:dyDescent="0.35">
      <c r="D142" s="20" t="str">
        <f t="shared" si="13"/>
        <v/>
      </c>
      <c r="E142" s="21" t="str">
        <f t="shared" si="14"/>
        <v/>
      </c>
      <c r="F142" s="20" t="str">
        <f t="shared" si="15"/>
        <v/>
      </c>
      <c r="G142" s="20">
        <f t="shared" si="17"/>
        <v>0</v>
      </c>
      <c r="H142" s="20">
        <f t="shared" si="18"/>
        <v>0</v>
      </c>
      <c r="I142" s="20">
        <f t="shared" si="19"/>
        <v>0</v>
      </c>
      <c r="J142" s="20">
        <f t="shared" si="16"/>
        <v>0</v>
      </c>
      <c r="K142" s="20">
        <f t="shared" si="16"/>
        <v>0</v>
      </c>
      <c r="L142" s="20">
        <f t="shared" si="16"/>
        <v>0</v>
      </c>
    </row>
    <row r="143" spans="4:12" x14ac:dyDescent="0.35">
      <c r="D143" s="20" t="str">
        <f t="shared" si="13"/>
        <v/>
      </c>
      <c r="E143" s="21" t="str">
        <f t="shared" si="14"/>
        <v/>
      </c>
      <c r="F143" s="20" t="str">
        <f t="shared" si="15"/>
        <v/>
      </c>
      <c r="G143" s="20">
        <f t="shared" si="17"/>
        <v>0</v>
      </c>
      <c r="H143" s="20">
        <f t="shared" si="18"/>
        <v>0</v>
      </c>
      <c r="I143" s="20">
        <f t="shared" si="19"/>
        <v>0</v>
      </c>
      <c r="J143" s="20">
        <f t="shared" si="16"/>
        <v>0</v>
      </c>
      <c r="K143" s="20">
        <f t="shared" si="16"/>
        <v>0</v>
      </c>
      <c r="L143" s="20">
        <f t="shared" si="16"/>
        <v>0</v>
      </c>
    </row>
    <row r="144" spans="4:12" x14ac:dyDescent="0.35">
      <c r="D144" s="20" t="str">
        <f t="shared" si="13"/>
        <v/>
      </c>
      <c r="E144" s="21" t="str">
        <f t="shared" si="14"/>
        <v/>
      </c>
      <c r="F144" s="20" t="str">
        <f t="shared" si="15"/>
        <v/>
      </c>
      <c r="G144" s="20">
        <f t="shared" si="17"/>
        <v>0</v>
      </c>
      <c r="H144" s="20">
        <f t="shared" si="18"/>
        <v>0</v>
      </c>
      <c r="I144" s="20">
        <f t="shared" si="19"/>
        <v>0</v>
      </c>
      <c r="J144" s="20">
        <f t="shared" si="16"/>
        <v>0</v>
      </c>
      <c r="K144" s="20">
        <f t="shared" si="16"/>
        <v>0</v>
      </c>
      <c r="L144" s="20">
        <f t="shared" si="16"/>
        <v>0</v>
      </c>
    </row>
    <row r="145" spans="4:12" x14ac:dyDescent="0.35">
      <c r="D145" s="20" t="str">
        <f t="shared" si="13"/>
        <v/>
      </c>
      <c r="E145" s="21" t="str">
        <f t="shared" si="14"/>
        <v/>
      </c>
      <c r="F145" s="20" t="str">
        <f t="shared" si="15"/>
        <v/>
      </c>
      <c r="G145" s="20">
        <f t="shared" si="17"/>
        <v>0</v>
      </c>
      <c r="H145" s="20">
        <f t="shared" si="18"/>
        <v>0</v>
      </c>
      <c r="I145" s="20">
        <f t="shared" si="19"/>
        <v>0</v>
      </c>
      <c r="J145" s="20">
        <f t="shared" si="16"/>
        <v>0</v>
      </c>
      <c r="K145" s="20">
        <f t="shared" si="16"/>
        <v>0</v>
      </c>
      <c r="L145" s="20">
        <f t="shared" si="16"/>
        <v>0</v>
      </c>
    </row>
    <row r="146" spans="4:12" x14ac:dyDescent="0.35">
      <c r="D146" s="20" t="str">
        <f t="shared" si="13"/>
        <v/>
      </c>
      <c r="E146" s="21" t="str">
        <f t="shared" si="14"/>
        <v/>
      </c>
      <c r="F146" s="20" t="str">
        <f t="shared" si="15"/>
        <v/>
      </c>
      <c r="G146" s="20">
        <f t="shared" si="17"/>
        <v>0</v>
      </c>
      <c r="H146" s="20">
        <f t="shared" si="18"/>
        <v>0</v>
      </c>
      <c r="I146" s="20">
        <f t="shared" si="19"/>
        <v>0</v>
      </c>
      <c r="J146" s="20">
        <f t="shared" si="16"/>
        <v>0</v>
      </c>
      <c r="K146" s="20">
        <f t="shared" si="16"/>
        <v>0</v>
      </c>
      <c r="L146" s="20">
        <f t="shared" si="16"/>
        <v>0</v>
      </c>
    </row>
    <row r="147" spans="4:12" x14ac:dyDescent="0.35">
      <c r="D147" s="20" t="str">
        <f t="shared" si="13"/>
        <v/>
      </c>
      <c r="E147" s="21" t="str">
        <f t="shared" si="14"/>
        <v/>
      </c>
      <c r="F147" s="20" t="str">
        <f t="shared" si="15"/>
        <v/>
      </c>
      <c r="G147" s="20">
        <f t="shared" si="17"/>
        <v>0</v>
      </c>
      <c r="H147" s="20">
        <f t="shared" si="18"/>
        <v>0</v>
      </c>
      <c r="I147" s="20">
        <f t="shared" si="19"/>
        <v>0</v>
      </c>
      <c r="J147" s="20">
        <f t="shared" si="16"/>
        <v>0</v>
      </c>
      <c r="K147" s="20">
        <f t="shared" si="16"/>
        <v>0</v>
      </c>
      <c r="L147" s="20">
        <f t="shared" si="16"/>
        <v>0</v>
      </c>
    </row>
    <row r="148" spans="4:12" x14ac:dyDescent="0.35">
      <c r="D148" s="20" t="str">
        <f t="shared" si="13"/>
        <v/>
      </c>
      <c r="E148" s="21" t="str">
        <f t="shared" si="14"/>
        <v/>
      </c>
      <c r="F148" s="20" t="str">
        <f t="shared" si="15"/>
        <v/>
      </c>
      <c r="G148" s="20">
        <f t="shared" si="17"/>
        <v>0</v>
      </c>
      <c r="H148" s="20">
        <f t="shared" si="18"/>
        <v>0</v>
      </c>
      <c r="I148" s="20">
        <f t="shared" si="19"/>
        <v>0</v>
      </c>
      <c r="J148" s="20">
        <f t="shared" si="16"/>
        <v>0</v>
      </c>
      <c r="K148" s="20">
        <f t="shared" si="16"/>
        <v>0</v>
      </c>
      <c r="L148" s="20">
        <f t="shared" si="16"/>
        <v>0</v>
      </c>
    </row>
    <row r="149" spans="4:12" x14ac:dyDescent="0.35">
      <c r="D149" s="20" t="str">
        <f t="shared" si="13"/>
        <v/>
      </c>
      <c r="E149" s="21" t="str">
        <f t="shared" si="14"/>
        <v/>
      </c>
      <c r="F149" s="20" t="str">
        <f t="shared" si="15"/>
        <v/>
      </c>
      <c r="G149" s="20">
        <f t="shared" si="17"/>
        <v>0</v>
      </c>
      <c r="H149" s="20">
        <f t="shared" si="18"/>
        <v>0</v>
      </c>
      <c r="I149" s="20">
        <f t="shared" si="19"/>
        <v>0</v>
      </c>
      <c r="J149" s="20">
        <f t="shared" si="16"/>
        <v>0</v>
      </c>
      <c r="K149" s="20">
        <f t="shared" si="16"/>
        <v>0</v>
      </c>
      <c r="L149" s="20">
        <f t="shared" si="16"/>
        <v>0</v>
      </c>
    </row>
    <row r="150" spans="4:12" x14ac:dyDescent="0.35">
      <c r="D150" s="20" t="str">
        <f t="shared" si="13"/>
        <v/>
      </c>
      <c r="E150" s="21" t="str">
        <f t="shared" si="14"/>
        <v/>
      </c>
      <c r="F150" s="20" t="str">
        <f t="shared" si="15"/>
        <v/>
      </c>
      <c r="G150" s="20">
        <f t="shared" si="17"/>
        <v>0</v>
      </c>
      <c r="H150" s="20">
        <f t="shared" si="18"/>
        <v>0</v>
      </c>
      <c r="I150" s="20">
        <f t="shared" si="19"/>
        <v>0</v>
      </c>
      <c r="J150" s="20">
        <f t="shared" si="16"/>
        <v>0</v>
      </c>
      <c r="K150" s="20">
        <f t="shared" si="16"/>
        <v>0</v>
      </c>
      <c r="L150" s="20">
        <f t="shared" si="16"/>
        <v>0</v>
      </c>
    </row>
    <row r="151" spans="4:12" x14ac:dyDescent="0.35">
      <c r="D151" s="20" t="str">
        <f t="shared" ref="D151:D214" si="20">IF(D150&lt;=$B$5,D150+1,"")</f>
        <v/>
      </c>
      <c r="E151" s="21" t="str">
        <f t="shared" ref="E151:E214" si="21">IF(D150&lt;=$B$5,E150+$B$6,"")</f>
        <v/>
      </c>
      <c r="F151" s="20" t="str">
        <f t="shared" ref="F151:F214" si="22">IF(D150&lt;=$B$5,(20*COS((5/2)*E151^2+1))/(E151^2+2),"")</f>
        <v/>
      </c>
      <c r="G151" s="20">
        <f t="shared" si="17"/>
        <v>0</v>
      </c>
      <c r="H151" s="20">
        <f t="shared" si="18"/>
        <v>0</v>
      </c>
      <c r="I151" s="20">
        <f t="shared" si="19"/>
        <v>0</v>
      </c>
      <c r="J151" s="20">
        <f t="shared" si="16"/>
        <v>0</v>
      </c>
      <c r="K151" s="20">
        <f t="shared" si="16"/>
        <v>0</v>
      </c>
      <c r="L151" s="20">
        <f t="shared" si="16"/>
        <v>0</v>
      </c>
    </row>
    <row r="152" spans="4:12" x14ac:dyDescent="0.35">
      <c r="D152" s="20" t="str">
        <f t="shared" si="20"/>
        <v/>
      </c>
      <c r="E152" s="21" t="str">
        <f t="shared" si="21"/>
        <v/>
      </c>
      <c r="F152" s="20" t="str">
        <f t="shared" si="22"/>
        <v/>
      </c>
      <c r="G152" s="20">
        <f t="shared" si="17"/>
        <v>0</v>
      </c>
      <c r="H152" s="20">
        <f t="shared" si="18"/>
        <v>0</v>
      </c>
      <c r="I152" s="20">
        <f t="shared" si="19"/>
        <v>0</v>
      </c>
      <c r="J152" s="20">
        <f t="shared" si="16"/>
        <v>0</v>
      </c>
      <c r="K152" s="20">
        <f t="shared" si="16"/>
        <v>0</v>
      </c>
      <c r="L152" s="20">
        <f t="shared" si="16"/>
        <v>0</v>
      </c>
    </row>
    <row r="153" spans="4:12" x14ac:dyDescent="0.35">
      <c r="D153" s="20" t="str">
        <f t="shared" si="20"/>
        <v/>
      </c>
      <c r="E153" s="21" t="str">
        <f t="shared" si="21"/>
        <v/>
      </c>
      <c r="F153" s="20" t="str">
        <f t="shared" si="22"/>
        <v/>
      </c>
      <c r="G153" s="20">
        <f t="shared" si="17"/>
        <v>0</v>
      </c>
      <c r="H153" s="20">
        <f t="shared" si="18"/>
        <v>0</v>
      </c>
      <c r="I153" s="20">
        <f t="shared" si="19"/>
        <v>0</v>
      </c>
      <c r="J153" s="20">
        <f t="shared" si="16"/>
        <v>0</v>
      </c>
      <c r="K153" s="20">
        <f t="shared" si="16"/>
        <v>0</v>
      </c>
      <c r="L153" s="20">
        <f t="shared" si="16"/>
        <v>0</v>
      </c>
    </row>
    <row r="154" spans="4:12" x14ac:dyDescent="0.35">
      <c r="D154" s="20" t="str">
        <f t="shared" si="20"/>
        <v/>
      </c>
      <c r="E154" s="21" t="str">
        <f t="shared" si="21"/>
        <v/>
      </c>
      <c r="F154" s="20" t="str">
        <f t="shared" si="22"/>
        <v/>
      </c>
      <c r="G154" s="20">
        <f t="shared" si="17"/>
        <v>0</v>
      </c>
      <c r="H154" s="20">
        <f t="shared" si="18"/>
        <v>0</v>
      </c>
      <c r="I154" s="20">
        <f t="shared" si="19"/>
        <v>0</v>
      </c>
      <c r="J154" s="20">
        <f t="shared" si="16"/>
        <v>0</v>
      </c>
      <c r="K154" s="20">
        <f t="shared" si="16"/>
        <v>0</v>
      </c>
      <c r="L154" s="20">
        <f t="shared" si="16"/>
        <v>0</v>
      </c>
    </row>
    <row r="155" spans="4:12" x14ac:dyDescent="0.35">
      <c r="D155" s="20" t="str">
        <f t="shared" si="20"/>
        <v/>
      </c>
      <c r="E155" s="21" t="str">
        <f t="shared" si="21"/>
        <v/>
      </c>
      <c r="F155" s="20" t="str">
        <f t="shared" si="22"/>
        <v/>
      </c>
      <c r="G155" s="20">
        <f t="shared" si="17"/>
        <v>0</v>
      </c>
      <c r="H155" s="20">
        <f t="shared" si="18"/>
        <v>0</v>
      </c>
      <c r="I155" s="20">
        <f t="shared" si="19"/>
        <v>0</v>
      </c>
      <c r="J155" s="20">
        <f t="shared" si="16"/>
        <v>0</v>
      </c>
      <c r="K155" s="20">
        <f t="shared" si="16"/>
        <v>0</v>
      </c>
      <c r="L155" s="20">
        <f t="shared" si="16"/>
        <v>0</v>
      </c>
    </row>
    <row r="156" spans="4:12" x14ac:dyDescent="0.35">
      <c r="D156" s="20" t="str">
        <f t="shared" si="20"/>
        <v/>
      </c>
      <c r="E156" s="21" t="str">
        <f t="shared" si="21"/>
        <v/>
      </c>
      <c r="F156" s="20" t="str">
        <f t="shared" si="22"/>
        <v/>
      </c>
      <c r="G156" s="20">
        <f t="shared" si="17"/>
        <v>0</v>
      </c>
      <c r="H156" s="20">
        <f t="shared" si="18"/>
        <v>0</v>
      </c>
      <c r="I156" s="20">
        <f t="shared" si="19"/>
        <v>0</v>
      </c>
      <c r="J156" s="20">
        <f t="shared" si="16"/>
        <v>0</v>
      </c>
      <c r="K156" s="20">
        <f t="shared" si="16"/>
        <v>0</v>
      </c>
      <c r="L156" s="20">
        <f t="shared" si="16"/>
        <v>0</v>
      </c>
    </row>
    <row r="157" spans="4:12" x14ac:dyDescent="0.35">
      <c r="D157" s="20" t="str">
        <f t="shared" si="20"/>
        <v/>
      </c>
      <c r="E157" s="21" t="str">
        <f t="shared" si="21"/>
        <v/>
      </c>
      <c r="F157" s="20" t="str">
        <f t="shared" si="22"/>
        <v/>
      </c>
      <c r="G157" s="20">
        <f t="shared" si="17"/>
        <v>0</v>
      </c>
      <c r="H157" s="20">
        <f t="shared" si="18"/>
        <v>0</v>
      </c>
      <c r="I157" s="20">
        <f t="shared" si="19"/>
        <v>0</v>
      </c>
      <c r="J157" s="20">
        <f t="shared" si="16"/>
        <v>0</v>
      </c>
      <c r="K157" s="20">
        <f t="shared" si="16"/>
        <v>0</v>
      </c>
      <c r="L157" s="20">
        <f t="shared" si="16"/>
        <v>0</v>
      </c>
    </row>
    <row r="158" spans="4:12" x14ac:dyDescent="0.35">
      <c r="D158" s="20" t="str">
        <f t="shared" si="20"/>
        <v/>
      </c>
      <c r="E158" s="21" t="str">
        <f t="shared" si="21"/>
        <v/>
      </c>
      <c r="F158" s="20" t="str">
        <f t="shared" si="22"/>
        <v/>
      </c>
      <c r="G158" s="20">
        <f t="shared" si="17"/>
        <v>0</v>
      </c>
      <c r="H158" s="20">
        <f t="shared" si="18"/>
        <v>0</v>
      </c>
      <c r="I158" s="20">
        <f t="shared" si="19"/>
        <v>0</v>
      </c>
      <c r="J158" s="20">
        <f t="shared" si="16"/>
        <v>0</v>
      </c>
      <c r="K158" s="20">
        <f t="shared" si="16"/>
        <v>0</v>
      </c>
      <c r="L158" s="20">
        <f t="shared" si="16"/>
        <v>0</v>
      </c>
    </row>
    <row r="159" spans="4:12" x14ac:dyDescent="0.35">
      <c r="D159" s="20" t="str">
        <f t="shared" si="20"/>
        <v/>
      </c>
      <c r="E159" s="21" t="str">
        <f t="shared" si="21"/>
        <v/>
      </c>
      <c r="F159" s="20" t="str">
        <f t="shared" si="22"/>
        <v/>
      </c>
      <c r="G159" s="20">
        <f t="shared" si="17"/>
        <v>0</v>
      </c>
      <c r="H159" s="20">
        <f t="shared" si="18"/>
        <v>0</v>
      </c>
      <c r="I159" s="20">
        <f t="shared" si="19"/>
        <v>0</v>
      </c>
      <c r="J159" s="20">
        <f t="shared" si="16"/>
        <v>0</v>
      </c>
      <c r="K159" s="20">
        <f t="shared" si="16"/>
        <v>0</v>
      </c>
      <c r="L159" s="20">
        <f t="shared" si="16"/>
        <v>0</v>
      </c>
    </row>
    <row r="160" spans="4:12" x14ac:dyDescent="0.35">
      <c r="D160" s="20" t="str">
        <f t="shared" si="20"/>
        <v/>
      </c>
      <c r="E160" s="21" t="str">
        <f t="shared" si="21"/>
        <v/>
      </c>
      <c r="F160" s="20" t="str">
        <f t="shared" si="22"/>
        <v/>
      </c>
      <c r="G160" s="20">
        <f t="shared" si="17"/>
        <v>0</v>
      </c>
      <c r="H160" s="20">
        <f t="shared" si="18"/>
        <v>0</v>
      </c>
      <c r="I160" s="20">
        <f t="shared" si="19"/>
        <v>0</v>
      </c>
      <c r="J160" s="20">
        <f t="shared" si="16"/>
        <v>0</v>
      </c>
      <c r="K160" s="20">
        <f t="shared" si="16"/>
        <v>0</v>
      </c>
      <c r="L160" s="20">
        <f t="shared" si="16"/>
        <v>0</v>
      </c>
    </row>
    <row r="161" spans="4:12" x14ac:dyDescent="0.35">
      <c r="D161" s="20" t="str">
        <f t="shared" si="20"/>
        <v/>
      </c>
      <c r="E161" s="21" t="str">
        <f t="shared" si="21"/>
        <v/>
      </c>
      <c r="F161" s="20" t="str">
        <f t="shared" si="22"/>
        <v/>
      </c>
      <c r="G161" s="20">
        <f t="shared" si="17"/>
        <v>0</v>
      </c>
      <c r="H161" s="20">
        <f t="shared" si="18"/>
        <v>0</v>
      </c>
      <c r="I161" s="20">
        <f t="shared" si="19"/>
        <v>0</v>
      </c>
      <c r="J161" s="20">
        <f t="shared" si="16"/>
        <v>0</v>
      </c>
      <c r="K161" s="20">
        <f t="shared" si="16"/>
        <v>0</v>
      </c>
      <c r="L161" s="20">
        <f t="shared" si="16"/>
        <v>0</v>
      </c>
    </row>
    <row r="162" spans="4:12" x14ac:dyDescent="0.35">
      <c r="D162" s="20" t="str">
        <f t="shared" si="20"/>
        <v/>
      </c>
      <c r="E162" s="21" t="str">
        <f t="shared" si="21"/>
        <v/>
      </c>
      <c r="F162" s="20" t="str">
        <f t="shared" si="22"/>
        <v/>
      </c>
      <c r="G162" s="20">
        <f t="shared" si="17"/>
        <v>0</v>
      </c>
      <c r="H162" s="20">
        <f t="shared" si="18"/>
        <v>0</v>
      </c>
      <c r="I162" s="20">
        <f t="shared" si="19"/>
        <v>0</v>
      </c>
      <c r="J162" s="20">
        <f t="shared" si="16"/>
        <v>0</v>
      </c>
      <c r="K162" s="20">
        <f t="shared" si="16"/>
        <v>0</v>
      </c>
      <c r="L162" s="20">
        <f t="shared" si="16"/>
        <v>0</v>
      </c>
    </row>
    <row r="163" spans="4:12" x14ac:dyDescent="0.35">
      <c r="D163" s="20" t="str">
        <f t="shared" si="20"/>
        <v/>
      </c>
      <c r="E163" s="21" t="str">
        <f t="shared" si="21"/>
        <v/>
      </c>
      <c r="F163" s="20" t="str">
        <f t="shared" si="22"/>
        <v/>
      </c>
      <c r="G163" s="20">
        <f t="shared" si="17"/>
        <v>0</v>
      </c>
      <c r="H163" s="20">
        <f t="shared" si="18"/>
        <v>0</v>
      </c>
      <c r="I163" s="20">
        <f t="shared" si="19"/>
        <v>0</v>
      </c>
      <c r="J163" s="20">
        <f t="shared" si="16"/>
        <v>0</v>
      </c>
      <c r="K163" s="20">
        <f t="shared" si="16"/>
        <v>0</v>
      </c>
      <c r="L163" s="20">
        <f t="shared" si="16"/>
        <v>0</v>
      </c>
    </row>
    <row r="164" spans="4:12" x14ac:dyDescent="0.35">
      <c r="D164" s="20" t="str">
        <f t="shared" si="20"/>
        <v/>
      </c>
      <c r="E164" s="21" t="str">
        <f t="shared" si="21"/>
        <v/>
      </c>
      <c r="F164" s="20" t="str">
        <f t="shared" si="22"/>
        <v/>
      </c>
      <c r="G164" s="20">
        <f t="shared" si="17"/>
        <v>0</v>
      </c>
      <c r="H164" s="20">
        <f t="shared" si="18"/>
        <v>0</v>
      </c>
      <c r="I164" s="20">
        <f t="shared" si="19"/>
        <v>0</v>
      </c>
      <c r="J164" s="20">
        <f t="shared" si="16"/>
        <v>0</v>
      </c>
      <c r="K164" s="20">
        <f t="shared" si="16"/>
        <v>0</v>
      </c>
      <c r="L164" s="20">
        <f t="shared" si="16"/>
        <v>0</v>
      </c>
    </row>
    <row r="165" spans="4:12" x14ac:dyDescent="0.35">
      <c r="D165" s="20" t="str">
        <f t="shared" si="20"/>
        <v/>
      </c>
      <c r="E165" s="21" t="str">
        <f t="shared" si="21"/>
        <v/>
      </c>
      <c r="F165" s="20" t="str">
        <f t="shared" si="22"/>
        <v/>
      </c>
      <c r="G165" s="20">
        <f t="shared" si="17"/>
        <v>0</v>
      </c>
      <c r="H165" s="20">
        <f t="shared" si="18"/>
        <v>0</v>
      </c>
      <c r="I165" s="20">
        <f t="shared" si="19"/>
        <v>0</v>
      </c>
      <c r="J165" s="20">
        <f t="shared" si="16"/>
        <v>0</v>
      </c>
      <c r="K165" s="20">
        <f t="shared" si="16"/>
        <v>0</v>
      </c>
      <c r="L165" s="20">
        <f t="shared" si="16"/>
        <v>0</v>
      </c>
    </row>
    <row r="166" spans="4:12" x14ac:dyDescent="0.35">
      <c r="D166" s="20" t="str">
        <f t="shared" si="20"/>
        <v/>
      </c>
      <c r="E166" s="21" t="str">
        <f t="shared" si="21"/>
        <v/>
      </c>
      <c r="F166" s="20" t="str">
        <f t="shared" si="22"/>
        <v/>
      </c>
      <c r="G166" s="20">
        <f t="shared" si="17"/>
        <v>0</v>
      </c>
      <c r="H166" s="20">
        <f t="shared" si="18"/>
        <v>0</v>
      </c>
      <c r="I166" s="20">
        <f t="shared" si="19"/>
        <v>0</v>
      </c>
      <c r="J166" s="20">
        <f t="shared" si="16"/>
        <v>0</v>
      </c>
      <c r="K166" s="20">
        <f t="shared" si="16"/>
        <v>0</v>
      </c>
      <c r="L166" s="20">
        <f t="shared" si="16"/>
        <v>0</v>
      </c>
    </row>
    <row r="167" spans="4:12" x14ac:dyDescent="0.35">
      <c r="D167" s="20" t="str">
        <f t="shared" si="20"/>
        <v/>
      </c>
      <c r="E167" s="21" t="str">
        <f t="shared" si="21"/>
        <v/>
      </c>
      <c r="F167" s="20" t="str">
        <f t="shared" si="22"/>
        <v/>
      </c>
      <c r="G167" s="20">
        <f t="shared" si="17"/>
        <v>0</v>
      </c>
      <c r="H167" s="20">
        <f t="shared" si="18"/>
        <v>0</v>
      </c>
      <c r="I167" s="20">
        <f t="shared" si="19"/>
        <v>0</v>
      </c>
      <c r="J167" s="20">
        <f t="shared" si="16"/>
        <v>0</v>
      </c>
      <c r="K167" s="20">
        <f t="shared" si="16"/>
        <v>0</v>
      </c>
      <c r="L167" s="20">
        <f t="shared" si="16"/>
        <v>0</v>
      </c>
    </row>
    <row r="168" spans="4:12" x14ac:dyDescent="0.35">
      <c r="D168" s="20" t="str">
        <f t="shared" si="20"/>
        <v/>
      </c>
      <c r="E168" s="21" t="str">
        <f t="shared" si="21"/>
        <v/>
      </c>
      <c r="F168" s="20" t="str">
        <f t="shared" si="22"/>
        <v/>
      </c>
      <c r="G168" s="20">
        <f t="shared" si="17"/>
        <v>0</v>
      </c>
      <c r="H168" s="20">
        <f t="shared" si="18"/>
        <v>0</v>
      </c>
      <c r="I168" s="20">
        <f t="shared" si="19"/>
        <v>0</v>
      </c>
      <c r="J168" s="20">
        <f t="shared" si="16"/>
        <v>0</v>
      </c>
      <c r="K168" s="20">
        <f t="shared" si="16"/>
        <v>0</v>
      </c>
      <c r="L168" s="20">
        <f t="shared" si="16"/>
        <v>0</v>
      </c>
    </row>
    <row r="169" spans="4:12" x14ac:dyDescent="0.35">
      <c r="D169" s="20" t="str">
        <f t="shared" si="20"/>
        <v/>
      </c>
      <c r="E169" s="21" t="str">
        <f t="shared" si="21"/>
        <v/>
      </c>
      <c r="F169" s="20" t="str">
        <f t="shared" si="22"/>
        <v/>
      </c>
      <c r="G169" s="20">
        <f t="shared" si="17"/>
        <v>0</v>
      </c>
      <c r="H169" s="20">
        <f t="shared" si="18"/>
        <v>0</v>
      </c>
      <c r="I169" s="20">
        <f t="shared" si="19"/>
        <v>0</v>
      </c>
      <c r="J169" s="20">
        <f t="shared" si="16"/>
        <v>0</v>
      </c>
      <c r="K169" s="20">
        <f t="shared" si="16"/>
        <v>0</v>
      </c>
      <c r="L169" s="20">
        <f t="shared" si="16"/>
        <v>0</v>
      </c>
    </row>
    <row r="170" spans="4:12" x14ac:dyDescent="0.35">
      <c r="D170" s="20" t="str">
        <f t="shared" si="20"/>
        <v/>
      </c>
      <c r="E170" s="21" t="str">
        <f t="shared" si="21"/>
        <v/>
      </c>
      <c r="F170" s="20" t="str">
        <f t="shared" si="22"/>
        <v/>
      </c>
      <c r="G170" s="20">
        <f t="shared" si="17"/>
        <v>0</v>
      </c>
      <c r="H170" s="20">
        <f t="shared" si="18"/>
        <v>0</v>
      </c>
      <c r="I170" s="20">
        <f t="shared" si="19"/>
        <v>0</v>
      </c>
      <c r="J170" s="20">
        <f t="shared" si="16"/>
        <v>0</v>
      </c>
      <c r="K170" s="20">
        <f t="shared" si="16"/>
        <v>0</v>
      </c>
      <c r="L170" s="20">
        <f t="shared" si="16"/>
        <v>0</v>
      </c>
    </row>
    <row r="171" spans="4:12" x14ac:dyDescent="0.35">
      <c r="D171" s="20" t="str">
        <f t="shared" si="20"/>
        <v/>
      </c>
      <c r="E171" s="21" t="str">
        <f t="shared" si="21"/>
        <v/>
      </c>
      <c r="F171" s="20" t="str">
        <f t="shared" si="22"/>
        <v/>
      </c>
      <c r="G171" s="20">
        <f t="shared" si="17"/>
        <v>0</v>
      </c>
      <c r="H171" s="20">
        <f t="shared" si="18"/>
        <v>0</v>
      </c>
      <c r="I171" s="20">
        <f t="shared" si="19"/>
        <v>0</v>
      </c>
      <c r="J171" s="20">
        <f t="shared" si="16"/>
        <v>0</v>
      </c>
      <c r="K171" s="20">
        <f t="shared" si="16"/>
        <v>0</v>
      </c>
      <c r="L171" s="20">
        <f t="shared" si="16"/>
        <v>0</v>
      </c>
    </row>
    <row r="172" spans="4:12" x14ac:dyDescent="0.35">
      <c r="D172" s="20" t="str">
        <f t="shared" si="20"/>
        <v/>
      </c>
      <c r="E172" s="21" t="str">
        <f t="shared" si="21"/>
        <v/>
      </c>
      <c r="F172" s="20" t="str">
        <f t="shared" si="22"/>
        <v/>
      </c>
      <c r="G172" s="20">
        <f t="shared" si="17"/>
        <v>0</v>
      </c>
      <c r="H172" s="20">
        <f t="shared" si="18"/>
        <v>0</v>
      </c>
      <c r="I172" s="20">
        <f t="shared" si="19"/>
        <v>0</v>
      </c>
      <c r="J172" s="20">
        <f t="shared" si="16"/>
        <v>0</v>
      </c>
      <c r="K172" s="20">
        <f t="shared" si="16"/>
        <v>0</v>
      </c>
      <c r="L172" s="20">
        <f t="shared" si="16"/>
        <v>0</v>
      </c>
    </row>
    <row r="173" spans="4:12" x14ac:dyDescent="0.35">
      <c r="D173" s="20" t="str">
        <f t="shared" si="20"/>
        <v/>
      </c>
      <c r="E173" s="21" t="str">
        <f t="shared" si="21"/>
        <v/>
      </c>
      <c r="F173" s="20" t="str">
        <f t="shared" si="22"/>
        <v/>
      </c>
      <c r="G173" s="20">
        <f t="shared" si="17"/>
        <v>0</v>
      </c>
      <c r="H173" s="20">
        <f t="shared" si="18"/>
        <v>0</v>
      </c>
      <c r="I173" s="20">
        <f t="shared" si="19"/>
        <v>0</v>
      </c>
      <c r="J173" s="20">
        <f t="shared" si="16"/>
        <v>0</v>
      </c>
      <c r="K173" s="20">
        <f t="shared" si="16"/>
        <v>0</v>
      </c>
      <c r="L173" s="20">
        <f t="shared" si="16"/>
        <v>0</v>
      </c>
    </row>
    <row r="174" spans="4:12" x14ac:dyDescent="0.35">
      <c r="D174" s="20" t="str">
        <f t="shared" si="20"/>
        <v/>
      </c>
      <c r="E174" s="21" t="str">
        <f t="shared" si="21"/>
        <v/>
      </c>
      <c r="F174" s="20" t="str">
        <f t="shared" si="22"/>
        <v/>
      </c>
      <c r="G174" s="20">
        <f t="shared" si="17"/>
        <v>0</v>
      </c>
      <c r="H174" s="20">
        <f t="shared" si="18"/>
        <v>0</v>
      </c>
      <c r="I174" s="20">
        <f t="shared" si="19"/>
        <v>0</v>
      </c>
      <c r="J174" s="20">
        <f t="shared" si="16"/>
        <v>0</v>
      </c>
      <c r="K174" s="20">
        <f t="shared" si="16"/>
        <v>0</v>
      </c>
      <c r="L174" s="20">
        <f t="shared" si="16"/>
        <v>0</v>
      </c>
    </row>
    <row r="175" spans="4:12" x14ac:dyDescent="0.35">
      <c r="D175" s="20" t="str">
        <f t="shared" si="20"/>
        <v/>
      </c>
      <c r="E175" s="21" t="str">
        <f t="shared" si="21"/>
        <v/>
      </c>
      <c r="F175" s="20" t="str">
        <f t="shared" si="22"/>
        <v/>
      </c>
      <c r="G175" s="20">
        <f t="shared" si="17"/>
        <v>0</v>
      </c>
      <c r="H175" s="20">
        <f t="shared" si="18"/>
        <v>0</v>
      </c>
      <c r="I175" s="20">
        <f t="shared" si="19"/>
        <v>0</v>
      </c>
      <c r="J175" s="20">
        <f t="shared" si="16"/>
        <v>0</v>
      </c>
      <c r="K175" s="20">
        <f t="shared" si="16"/>
        <v>0</v>
      </c>
      <c r="L175" s="20">
        <f t="shared" si="16"/>
        <v>0</v>
      </c>
    </row>
    <row r="176" spans="4:12" x14ac:dyDescent="0.35">
      <c r="D176" s="20" t="str">
        <f t="shared" si="20"/>
        <v/>
      </c>
      <c r="E176" s="21" t="str">
        <f t="shared" si="21"/>
        <v/>
      </c>
      <c r="F176" s="20" t="str">
        <f t="shared" si="22"/>
        <v/>
      </c>
      <c r="G176" s="20">
        <f t="shared" si="17"/>
        <v>0</v>
      </c>
      <c r="H176" s="20">
        <f t="shared" si="18"/>
        <v>0</v>
      </c>
      <c r="I176" s="20">
        <f t="shared" si="19"/>
        <v>0</v>
      </c>
      <c r="J176" s="20">
        <f t="shared" si="16"/>
        <v>0</v>
      </c>
      <c r="K176" s="20">
        <f t="shared" si="16"/>
        <v>0</v>
      </c>
      <c r="L176" s="20">
        <f t="shared" si="16"/>
        <v>0</v>
      </c>
    </row>
    <row r="177" spans="4:12" x14ac:dyDescent="0.35">
      <c r="D177" s="20" t="str">
        <f t="shared" si="20"/>
        <v/>
      </c>
      <c r="E177" s="21" t="str">
        <f t="shared" si="21"/>
        <v/>
      </c>
      <c r="F177" s="20" t="str">
        <f t="shared" si="22"/>
        <v/>
      </c>
      <c r="G177" s="20">
        <f t="shared" si="17"/>
        <v>0</v>
      </c>
      <c r="H177" s="20">
        <f t="shared" si="18"/>
        <v>0</v>
      </c>
      <c r="I177" s="20">
        <f t="shared" si="19"/>
        <v>0</v>
      </c>
      <c r="J177" s="20">
        <f t="shared" si="16"/>
        <v>0</v>
      </c>
      <c r="K177" s="20">
        <f t="shared" si="16"/>
        <v>0</v>
      </c>
      <c r="L177" s="20">
        <f t="shared" si="16"/>
        <v>0</v>
      </c>
    </row>
    <row r="178" spans="4:12" x14ac:dyDescent="0.35">
      <c r="D178" s="20" t="str">
        <f t="shared" si="20"/>
        <v/>
      </c>
      <c r="E178" s="21" t="str">
        <f t="shared" si="21"/>
        <v/>
      </c>
      <c r="F178" s="20" t="str">
        <f t="shared" si="22"/>
        <v/>
      </c>
      <c r="G178" s="20">
        <f t="shared" si="17"/>
        <v>0</v>
      </c>
      <c r="H178" s="20">
        <f t="shared" si="18"/>
        <v>0</v>
      </c>
      <c r="I178" s="20">
        <f t="shared" si="19"/>
        <v>0</v>
      </c>
      <c r="J178" s="20">
        <f t="shared" si="16"/>
        <v>0</v>
      </c>
      <c r="K178" s="20">
        <f t="shared" si="16"/>
        <v>0</v>
      </c>
      <c r="L178" s="20">
        <f t="shared" si="16"/>
        <v>0</v>
      </c>
    </row>
    <row r="179" spans="4:12" x14ac:dyDescent="0.35">
      <c r="D179" s="20" t="str">
        <f t="shared" si="20"/>
        <v/>
      </c>
      <c r="E179" s="21" t="str">
        <f t="shared" si="21"/>
        <v/>
      </c>
      <c r="F179" s="20" t="str">
        <f t="shared" si="22"/>
        <v/>
      </c>
      <c r="G179" s="20">
        <f t="shared" si="17"/>
        <v>0</v>
      </c>
      <c r="H179" s="20">
        <f t="shared" si="18"/>
        <v>0</v>
      </c>
      <c r="I179" s="20">
        <f t="shared" si="19"/>
        <v>0</v>
      </c>
      <c r="J179" s="20">
        <f t="shared" si="16"/>
        <v>0</v>
      </c>
      <c r="K179" s="20">
        <f t="shared" si="16"/>
        <v>0</v>
      </c>
      <c r="L179" s="20">
        <f t="shared" si="16"/>
        <v>0</v>
      </c>
    </row>
    <row r="180" spans="4:12" x14ac:dyDescent="0.35">
      <c r="D180" s="20" t="str">
        <f t="shared" si="20"/>
        <v/>
      </c>
      <c r="E180" s="21" t="str">
        <f t="shared" si="21"/>
        <v/>
      </c>
      <c r="F180" s="20" t="str">
        <f t="shared" si="22"/>
        <v/>
      </c>
      <c r="G180" s="20">
        <f t="shared" si="17"/>
        <v>0</v>
      </c>
      <c r="H180" s="20">
        <f t="shared" si="18"/>
        <v>0</v>
      </c>
      <c r="I180" s="20">
        <f t="shared" si="19"/>
        <v>0</v>
      </c>
      <c r="J180" s="20">
        <f t="shared" si="16"/>
        <v>0</v>
      </c>
      <c r="K180" s="20">
        <f t="shared" si="16"/>
        <v>0</v>
      </c>
      <c r="L180" s="20">
        <f t="shared" si="16"/>
        <v>0</v>
      </c>
    </row>
    <row r="181" spans="4:12" x14ac:dyDescent="0.35">
      <c r="D181" s="20" t="str">
        <f t="shared" si="20"/>
        <v/>
      </c>
      <c r="E181" s="21" t="str">
        <f t="shared" si="21"/>
        <v/>
      </c>
      <c r="F181" s="20" t="str">
        <f t="shared" si="22"/>
        <v/>
      </c>
      <c r="G181" s="20">
        <f t="shared" si="17"/>
        <v>0</v>
      </c>
      <c r="H181" s="20">
        <f t="shared" si="18"/>
        <v>0</v>
      </c>
      <c r="I181" s="20">
        <f t="shared" si="19"/>
        <v>0</v>
      </c>
      <c r="J181" s="20">
        <f t="shared" si="16"/>
        <v>0</v>
      </c>
      <c r="K181" s="20">
        <f t="shared" si="16"/>
        <v>0</v>
      </c>
      <c r="L181" s="20">
        <f t="shared" si="16"/>
        <v>0</v>
      </c>
    </row>
    <row r="182" spans="4:12" x14ac:dyDescent="0.35">
      <c r="D182" s="20" t="str">
        <f t="shared" si="20"/>
        <v/>
      </c>
      <c r="E182" s="21" t="str">
        <f t="shared" si="21"/>
        <v/>
      </c>
      <c r="F182" s="20" t="str">
        <f t="shared" si="22"/>
        <v/>
      </c>
      <c r="G182" s="20">
        <f t="shared" si="17"/>
        <v>0</v>
      </c>
      <c r="H182" s="20">
        <f t="shared" si="18"/>
        <v>0</v>
      </c>
      <c r="I182" s="20">
        <f t="shared" si="19"/>
        <v>0</v>
      </c>
      <c r="J182" s="20">
        <f t="shared" si="16"/>
        <v>0</v>
      </c>
      <c r="K182" s="20">
        <f t="shared" si="16"/>
        <v>0</v>
      </c>
      <c r="L182" s="20">
        <f t="shared" si="16"/>
        <v>0</v>
      </c>
    </row>
    <row r="183" spans="4:12" x14ac:dyDescent="0.35">
      <c r="D183" s="20" t="str">
        <f t="shared" si="20"/>
        <v/>
      </c>
      <c r="E183" s="21" t="str">
        <f t="shared" si="21"/>
        <v/>
      </c>
      <c r="F183" s="20" t="str">
        <f t="shared" si="22"/>
        <v/>
      </c>
      <c r="G183" s="20">
        <f t="shared" si="17"/>
        <v>0</v>
      </c>
      <c r="H183" s="20">
        <f t="shared" si="18"/>
        <v>0</v>
      </c>
      <c r="I183" s="20">
        <f t="shared" si="19"/>
        <v>0</v>
      </c>
      <c r="J183" s="20">
        <f t="shared" si="16"/>
        <v>0</v>
      </c>
      <c r="K183" s="20">
        <f t="shared" si="16"/>
        <v>0</v>
      </c>
      <c r="L183" s="20">
        <f t="shared" si="16"/>
        <v>0</v>
      </c>
    </row>
    <row r="184" spans="4:12" x14ac:dyDescent="0.35">
      <c r="D184" s="20" t="str">
        <f t="shared" si="20"/>
        <v/>
      </c>
      <c r="E184" s="21" t="str">
        <f t="shared" si="21"/>
        <v/>
      </c>
      <c r="F184" s="20" t="str">
        <f t="shared" si="22"/>
        <v/>
      </c>
      <c r="G184" s="20">
        <f t="shared" si="17"/>
        <v>0</v>
      </c>
      <c r="H184" s="20">
        <f t="shared" si="18"/>
        <v>0</v>
      </c>
      <c r="I184" s="20">
        <f t="shared" si="19"/>
        <v>0</v>
      </c>
      <c r="J184" s="20">
        <f t="shared" si="16"/>
        <v>0</v>
      </c>
      <c r="K184" s="20">
        <f t="shared" si="16"/>
        <v>0</v>
      </c>
      <c r="L184" s="20">
        <f t="shared" si="16"/>
        <v>0</v>
      </c>
    </row>
    <row r="185" spans="4:12" x14ac:dyDescent="0.35">
      <c r="D185" s="20" t="str">
        <f t="shared" si="20"/>
        <v/>
      </c>
      <c r="E185" s="21" t="str">
        <f t="shared" si="21"/>
        <v/>
      </c>
      <c r="F185" s="20" t="str">
        <f t="shared" si="22"/>
        <v/>
      </c>
      <c r="G185" s="20">
        <f t="shared" si="17"/>
        <v>0</v>
      </c>
      <c r="H185" s="20">
        <f t="shared" si="18"/>
        <v>0</v>
      </c>
      <c r="I185" s="20">
        <f t="shared" si="19"/>
        <v>0</v>
      </c>
      <c r="J185" s="20">
        <f t="shared" si="16"/>
        <v>0</v>
      </c>
      <c r="K185" s="20">
        <f t="shared" si="16"/>
        <v>0</v>
      </c>
      <c r="L185" s="20">
        <f t="shared" si="16"/>
        <v>0</v>
      </c>
    </row>
    <row r="186" spans="4:12" x14ac:dyDescent="0.35">
      <c r="D186" s="20" t="str">
        <f t="shared" si="20"/>
        <v/>
      </c>
      <c r="E186" s="21" t="str">
        <f t="shared" si="21"/>
        <v/>
      </c>
      <c r="F186" s="20" t="str">
        <f t="shared" si="22"/>
        <v/>
      </c>
      <c r="G186" s="20">
        <f t="shared" si="17"/>
        <v>0</v>
      </c>
      <c r="H186" s="20">
        <f t="shared" si="18"/>
        <v>0</v>
      </c>
      <c r="I186" s="20">
        <f t="shared" si="19"/>
        <v>0</v>
      </c>
      <c r="J186" s="20">
        <f t="shared" si="16"/>
        <v>0</v>
      </c>
      <c r="K186" s="20">
        <f t="shared" si="16"/>
        <v>0</v>
      </c>
      <c r="L186" s="20">
        <f t="shared" si="16"/>
        <v>0</v>
      </c>
    </row>
    <row r="187" spans="4:12" x14ac:dyDescent="0.35">
      <c r="D187" s="20" t="str">
        <f t="shared" si="20"/>
        <v/>
      </c>
      <c r="E187" s="21" t="str">
        <f t="shared" si="21"/>
        <v/>
      </c>
      <c r="F187" s="20" t="str">
        <f t="shared" si="22"/>
        <v/>
      </c>
      <c r="G187" s="20">
        <f t="shared" si="17"/>
        <v>0</v>
      </c>
      <c r="H187" s="20">
        <f t="shared" si="18"/>
        <v>0</v>
      </c>
      <c r="I187" s="20">
        <f t="shared" si="19"/>
        <v>0</v>
      </c>
      <c r="J187" s="20">
        <f t="shared" si="16"/>
        <v>0</v>
      </c>
      <c r="K187" s="20">
        <f t="shared" si="16"/>
        <v>0</v>
      </c>
      <c r="L187" s="20">
        <f t="shared" si="16"/>
        <v>0</v>
      </c>
    </row>
    <row r="188" spans="4:12" x14ac:dyDescent="0.35">
      <c r="D188" s="20" t="str">
        <f t="shared" si="20"/>
        <v/>
      </c>
      <c r="E188" s="21" t="str">
        <f t="shared" si="21"/>
        <v/>
      </c>
      <c r="F188" s="20" t="str">
        <f t="shared" si="22"/>
        <v/>
      </c>
      <c r="G188" s="20">
        <f t="shared" si="17"/>
        <v>0</v>
      </c>
      <c r="H188" s="20">
        <f t="shared" si="18"/>
        <v>0</v>
      </c>
      <c r="I188" s="20">
        <f t="shared" si="19"/>
        <v>0</v>
      </c>
      <c r="J188" s="20">
        <f t="shared" si="16"/>
        <v>0</v>
      </c>
      <c r="K188" s="20">
        <f t="shared" si="16"/>
        <v>0</v>
      </c>
      <c r="L188" s="20">
        <f t="shared" si="16"/>
        <v>0</v>
      </c>
    </row>
    <row r="189" spans="4:12" x14ac:dyDescent="0.35">
      <c r="D189" s="20" t="str">
        <f t="shared" si="20"/>
        <v/>
      </c>
      <c r="E189" s="21" t="str">
        <f t="shared" si="21"/>
        <v/>
      </c>
      <c r="F189" s="20" t="str">
        <f t="shared" si="22"/>
        <v/>
      </c>
      <c r="G189" s="20">
        <f t="shared" si="17"/>
        <v>0</v>
      </c>
      <c r="H189" s="20">
        <f t="shared" si="18"/>
        <v>0</v>
      </c>
      <c r="I189" s="20">
        <f t="shared" si="19"/>
        <v>0</v>
      </c>
      <c r="J189" s="20">
        <f t="shared" si="16"/>
        <v>0</v>
      </c>
      <c r="K189" s="20">
        <f t="shared" si="16"/>
        <v>0</v>
      </c>
      <c r="L189" s="20">
        <f t="shared" si="16"/>
        <v>0</v>
      </c>
    </row>
    <row r="190" spans="4:12" x14ac:dyDescent="0.35">
      <c r="D190" s="20" t="str">
        <f t="shared" si="20"/>
        <v/>
      </c>
      <c r="E190" s="21" t="str">
        <f t="shared" si="21"/>
        <v/>
      </c>
      <c r="F190" s="20" t="str">
        <f t="shared" si="22"/>
        <v/>
      </c>
      <c r="G190" s="20">
        <f t="shared" si="17"/>
        <v>0</v>
      </c>
      <c r="H190" s="20">
        <f t="shared" si="18"/>
        <v>0</v>
      </c>
      <c r="I190" s="20">
        <f t="shared" si="19"/>
        <v>0</v>
      </c>
      <c r="J190" s="20">
        <f t="shared" si="16"/>
        <v>0</v>
      </c>
      <c r="K190" s="20">
        <f t="shared" si="16"/>
        <v>0</v>
      </c>
      <c r="L190" s="20">
        <f t="shared" si="16"/>
        <v>0</v>
      </c>
    </row>
    <row r="191" spans="4:12" x14ac:dyDescent="0.35">
      <c r="D191" s="20" t="str">
        <f t="shared" si="20"/>
        <v/>
      </c>
      <c r="E191" s="21" t="str">
        <f t="shared" si="21"/>
        <v/>
      </c>
      <c r="F191" s="20" t="str">
        <f t="shared" si="22"/>
        <v/>
      </c>
      <c r="G191" s="20">
        <f t="shared" si="17"/>
        <v>0</v>
      </c>
      <c r="H191" s="20">
        <f t="shared" si="18"/>
        <v>0</v>
      </c>
      <c r="I191" s="20">
        <f t="shared" si="19"/>
        <v>0</v>
      </c>
      <c r="J191" s="20">
        <f t="shared" si="16"/>
        <v>0</v>
      </c>
      <c r="K191" s="20">
        <f t="shared" si="16"/>
        <v>0</v>
      </c>
      <c r="L191" s="20">
        <f t="shared" si="16"/>
        <v>0</v>
      </c>
    </row>
    <row r="192" spans="4:12" x14ac:dyDescent="0.35">
      <c r="D192" s="20" t="str">
        <f t="shared" si="20"/>
        <v/>
      </c>
      <c r="E192" s="21" t="str">
        <f t="shared" si="21"/>
        <v/>
      </c>
      <c r="F192" s="20" t="str">
        <f t="shared" si="22"/>
        <v/>
      </c>
      <c r="G192" s="20">
        <f t="shared" si="17"/>
        <v>0</v>
      </c>
      <c r="H192" s="20">
        <f t="shared" si="18"/>
        <v>0</v>
      </c>
      <c r="I192" s="20">
        <f t="shared" si="19"/>
        <v>0</v>
      </c>
      <c r="J192" s="20">
        <f t="shared" si="16"/>
        <v>0</v>
      </c>
      <c r="K192" s="20">
        <f t="shared" si="16"/>
        <v>0</v>
      </c>
      <c r="L192" s="20">
        <f t="shared" si="16"/>
        <v>0</v>
      </c>
    </row>
    <row r="193" spans="4:12" x14ac:dyDescent="0.35">
      <c r="D193" s="20" t="str">
        <f t="shared" si="20"/>
        <v/>
      </c>
      <c r="E193" s="21" t="str">
        <f t="shared" si="21"/>
        <v/>
      </c>
      <c r="F193" s="20" t="str">
        <f t="shared" si="22"/>
        <v/>
      </c>
      <c r="G193" s="20">
        <f t="shared" si="17"/>
        <v>0</v>
      </c>
      <c r="H193" s="20">
        <f t="shared" si="18"/>
        <v>0</v>
      </c>
      <c r="I193" s="20">
        <f t="shared" si="19"/>
        <v>0</v>
      </c>
      <c r="J193" s="20">
        <f t="shared" si="16"/>
        <v>0</v>
      </c>
      <c r="K193" s="20">
        <f t="shared" si="16"/>
        <v>0</v>
      </c>
      <c r="L193" s="20">
        <f t="shared" si="16"/>
        <v>0</v>
      </c>
    </row>
    <row r="194" spans="4:12" x14ac:dyDescent="0.35">
      <c r="D194" s="20" t="str">
        <f t="shared" si="20"/>
        <v/>
      </c>
      <c r="E194" s="21" t="str">
        <f t="shared" si="21"/>
        <v/>
      </c>
      <c r="F194" s="20" t="str">
        <f t="shared" si="22"/>
        <v/>
      </c>
      <c r="G194" s="20">
        <f t="shared" si="17"/>
        <v>0</v>
      </c>
      <c r="H194" s="20">
        <f t="shared" si="18"/>
        <v>0</v>
      </c>
      <c r="I194" s="20">
        <f t="shared" si="19"/>
        <v>0</v>
      </c>
      <c r="J194" s="20">
        <f t="shared" si="16"/>
        <v>0</v>
      </c>
      <c r="K194" s="20">
        <f t="shared" si="16"/>
        <v>0</v>
      </c>
      <c r="L194" s="20">
        <f t="shared" si="16"/>
        <v>0</v>
      </c>
    </row>
    <row r="195" spans="4:12" x14ac:dyDescent="0.35">
      <c r="D195" s="20" t="str">
        <f t="shared" si="20"/>
        <v/>
      </c>
      <c r="E195" s="21" t="str">
        <f t="shared" si="21"/>
        <v/>
      </c>
      <c r="F195" s="20" t="str">
        <f t="shared" si="22"/>
        <v/>
      </c>
      <c r="G195" s="20">
        <f t="shared" si="17"/>
        <v>0</v>
      </c>
      <c r="H195" s="20">
        <f t="shared" si="18"/>
        <v>0</v>
      </c>
      <c r="I195" s="20">
        <f t="shared" si="19"/>
        <v>0</v>
      </c>
      <c r="J195" s="20">
        <f t="shared" ref="J195:L258" si="23">ABS(G195)</f>
        <v>0</v>
      </c>
      <c r="K195" s="20">
        <f t="shared" si="23"/>
        <v>0</v>
      </c>
      <c r="L195" s="20">
        <f t="shared" si="23"/>
        <v>0</v>
      </c>
    </row>
    <row r="196" spans="4:12" x14ac:dyDescent="0.35">
      <c r="D196" s="20" t="str">
        <f t="shared" si="20"/>
        <v/>
      </c>
      <c r="E196" s="21" t="str">
        <f t="shared" si="21"/>
        <v/>
      </c>
      <c r="F196" s="20" t="str">
        <f t="shared" si="22"/>
        <v/>
      </c>
      <c r="G196" s="20">
        <f t="shared" ref="G196:G259" si="24">IF(D196=$B$5+1,F196,0)</f>
        <v>0</v>
      </c>
      <c r="H196" s="20">
        <f t="shared" ref="H196:H259" si="25">IF(D195&lt;$B$5,F196*MOD(D195,2),0)</f>
        <v>0</v>
      </c>
      <c r="I196" s="20">
        <f t="shared" ref="I196:I259" si="26">IF(D195&lt;$B$5,F196*MOD(D196,2),0)</f>
        <v>0</v>
      </c>
      <c r="J196" s="20">
        <f t="shared" si="23"/>
        <v>0</v>
      </c>
      <c r="K196" s="20">
        <f t="shared" si="23"/>
        <v>0</v>
      </c>
      <c r="L196" s="20">
        <f t="shared" si="23"/>
        <v>0</v>
      </c>
    </row>
    <row r="197" spans="4:12" x14ac:dyDescent="0.35">
      <c r="D197" s="20" t="str">
        <f t="shared" si="20"/>
        <v/>
      </c>
      <c r="E197" s="21" t="str">
        <f t="shared" si="21"/>
        <v/>
      </c>
      <c r="F197" s="20" t="str">
        <f t="shared" si="22"/>
        <v/>
      </c>
      <c r="G197" s="20">
        <f t="shared" si="24"/>
        <v>0</v>
      </c>
      <c r="H197" s="20">
        <f t="shared" si="25"/>
        <v>0</v>
      </c>
      <c r="I197" s="20">
        <f t="shared" si="26"/>
        <v>0</v>
      </c>
      <c r="J197" s="20">
        <f t="shared" si="23"/>
        <v>0</v>
      </c>
      <c r="K197" s="20">
        <f t="shared" si="23"/>
        <v>0</v>
      </c>
      <c r="L197" s="20">
        <f t="shared" si="23"/>
        <v>0</v>
      </c>
    </row>
    <row r="198" spans="4:12" x14ac:dyDescent="0.35">
      <c r="D198" s="20" t="str">
        <f t="shared" si="20"/>
        <v/>
      </c>
      <c r="E198" s="21" t="str">
        <f t="shared" si="21"/>
        <v/>
      </c>
      <c r="F198" s="20" t="str">
        <f t="shared" si="22"/>
        <v/>
      </c>
      <c r="G198" s="20">
        <f t="shared" si="24"/>
        <v>0</v>
      </c>
      <c r="H198" s="20">
        <f t="shared" si="25"/>
        <v>0</v>
      </c>
      <c r="I198" s="20">
        <f t="shared" si="26"/>
        <v>0</v>
      </c>
      <c r="J198" s="20">
        <f t="shared" si="23"/>
        <v>0</v>
      </c>
      <c r="K198" s="20">
        <f t="shared" si="23"/>
        <v>0</v>
      </c>
      <c r="L198" s="20">
        <f t="shared" si="23"/>
        <v>0</v>
      </c>
    </row>
    <row r="199" spans="4:12" x14ac:dyDescent="0.35">
      <c r="D199" s="20" t="str">
        <f t="shared" si="20"/>
        <v/>
      </c>
      <c r="E199" s="21" t="str">
        <f t="shared" si="21"/>
        <v/>
      </c>
      <c r="F199" s="20" t="str">
        <f t="shared" si="22"/>
        <v/>
      </c>
      <c r="G199" s="20">
        <f t="shared" si="24"/>
        <v>0</v>
      </c>
      <c r="H199" s="20">
        <f t="shared" si="25"/>
        <v>0</v>
      </c>
      <c r="I199" s="20">
        <f t="shared" si="26"/>
        <v>0</v>
      </c>
      <c r="J199" s="20">
        <f t="shared" si="23"/>
        <v>0</v>
      </c>
      <c r="K199" s="20">
        <f t="shared" si="23"/>
        <v>0</v>
      </c>
      <c r="L199" s="20">
        <f t="shared" si="23"/>
        <v>0</v>
      </c>
    </row>
    <row r="200" spans="4:12" x14ac:dyDescent="0.35">
      <c r="D200" s="20" t="str">
        <f t="shared" si="20"/>
        <v/>
      </c>
      <c r="E200" s="21" t="str">
        <f t="shared" si="21"/>
        <v/>
      </c>
      <c r="F200" s="20" t="str">
        <f t="shared" si="22"/>
        <v/>
      </c>
      <c r="G200" s="20">
        <f t="shared" si="24"/>
        <v>0</v>
      </c>
      <c r="H200" s="20">
        <f t="shared" si="25"/>
        <v>0</v>
      </c>
      <c r="I200" s="20">
        <f t="shared" si="26"/>
        <v>0</v>
      </c>
      <c r="J200" s="20">
        <f t="shared" si="23"/>
        <v>0</v>
      </c>
      <c r="K200" s="20">
        <f t="shared" si="23"/>
        <v>0</v>
      </c>
      <c r="L200" s="20">
        <f t="shared" si="23"/>
        <v>0</v>
      </c>
    </row>
    <row r="201" spans="4:12" x14ac:dyDescent="0.35">
      <c r="D201" s="20" t="str">
        <f t="shared" si="20"/>
        <v/>
      </c>
      <c r="E201" s="21" t="str">
        <f t="shared" si="21"/>
        <v/>
      </c>
      <c r="F201" s="20" t="str">
        <f t="shared" si="22"/>
        <v/>
      </c>
      <c r="G201" s="20">
        <f t="shared" si="24"/>
        <v>0</v>
      </c>
      <c r="H201" s="20">
        <f t="shared" si="25"/>
        <v>0</v>
      </c>
      <c r="I201" s="20">
        <f t="shared" si="26"/>
        <v>0</v>
      </c>
      <c r="J201" s="20">
        <f t="shared" si="23"/>
        <v>0</v>
      </c>
      <c r="K201" s="20">
        <f t="shared" si="23"/>
        <v>0</v>
      </c>
      <c r="L201" s="20">
        <f t="shared" si="23"/>
        <v>0</v>
      </c>
    </row>
    <row r="202" spans="4:12" x14ac:dyDescent="0.35">
      <c r="D202" s="20" t="str">
        <f t="shared" si="20"/>
        <v/>
      </c>
      <c r="E202" s="21" t="str">
        <f t="shared" si="21"/>
        <v/>
      </c>
      <c r="F202" s="20" t="str">
        <f t="shared" si="22"/>
        <v/>
      </c>
      <c r="G202" s="20">
        <f t="shared" si="24"/>
        <v>0</v>
      </c>
      <c r="H202" s="20">
        <f t="shared" si="25"/>
        <v>0</v>
      </c>
      <c r="I202" s="20">
        <f t="shared" si="26"/>
        <v>0</v>
      </c>
      <c r="J202" s="20">
        <f t="shared" si="23"/>
        <v>0</v>
      </c>
      <c r="K202" s="20">
        <f t="shared" si="23"/>
        <v>0</v>
      </c>
      <c r="L202" s="20">
        <f t="shared" si="23"/>
        <v>0</v>
      </c>
    </row>
    <row r="203" spans="4:12" x14ac:dyDescent="0.35">
      <c r="D203" s="20" t="str">
        <f t="shared" si="20"/>
        <v/>
      </c>
      <c r="E203" s="21" t="str">
        <f t="shared" si="21"/>
        <v/>
      </c>
      <c r="F203" s="20" t="str">
        <f t="shared" si="22"/>
        <v/>
      </c>
      <c r="G203" s="20">
        <f t="shared" si="24"/>
        <v>0</v>
      </c>
      <c r="H203" s="20">
        <f t="shared" si="25"/>
        <v>0</v>
      </c>
      <c r="I203" s="20">
        <f t="shared" si="26"/>
        <v>0</v>
      </c>
      <c r="J203" s="20">
        <f t="shared" si="23"/>
        <v>0</v>
      </c>
      <c r="K203" s="20">
        <f t="shared" si="23"/>
        <v>0</v>
      </c>
      <c r="L203" s="20">
        <f t="shared" si="23"/>
        <v>0</v>
      </c>
    </row>
    <row r="204" spans="4:12" x14ac:dyDescent="0.35">
      <c r="D204" s="20" t="str">
        <f t="shared" si="20"/>
        <v/>
      </c>
      <c r="E204" s="21" t="str">
        <f t="shared" si="21"/>
        <v/>
      </c>
      <c r="F204" s="20" t="str">
        <f t="shared" si="22"/>
        <v/>
      </c>
      <c r="G204" s="20">
        <f t="shared" si="24"/>
        <v>0</v>
      </c>
      <c r="H204" s="20">
        <f t="shared" si="25"/>
        <v>0</v>
      </c>
      <c r="I204" s="20">
        <f t="shared" si="26"/>
        <v>0</v>
      </c>
      <c r="J204" s="20">
        <f t="shared" si="23"/>
        <v>0</v>
      </c>
      <c r="K204" s="20">
        <f t="shared" si="23"/>
        <v>0</v>
      </c>
      <c r="L204" s="20">
        <f t="shared" si="23"/>
        <v>0</v>
      </c>
    </row>
    <row r="205" spans="4:12" x14ac:dyDescent="0.35">
      <c r="D205" s="20" t="str">
        <f t="shared" si="20"/>
        <v/>
      </c>
      <c r="E205" s="21" t="str">
        <f t="shared" si="21"/>
        <v/>
      </c>
      <c r="F205" s="20" t="str">
        <f t="shared" si="22"/>
        <v/>
      </c>
      <c r="G205" s="20">
        <f t="shared" si="24"/>
        <v>0</v>
      </c>
      <c r="H205" s="20">
        <f t="shared" si="25"/>
        <v>0</v>
      </c>
      <c r="I205" s="20">
        <f t="shared" si="26"/>
        <v>0</v>
      </c>
      <c r="J205" s="20">
        <f t="shared" si="23"/>
        <v>0</v>
      </c>
      <c r="K205" s="20">
        <f t="shared" si="23"/>
        <v>0</v>
      </c>
      <c r="L205" s="20">
        <f t="shared" si="23"/>
        <v>0</v>
      </c>
    </row>
    <row r="206" spans="4:12" x14ac:dyDescent="0.35">
      <c r="D206" s="20" t="str">
        <f t="shared" si="20"/>
        <v/>
      </c>
      <c r="E206" s="21" t="str">
        <f t="shared" si="21"/>
        <v/>
      </c>
      <c r="F206" s="20" t="str">
        <f t="shared" si="22"/>
        <v/>
      </c>
      <c r="G206" s="20">
        <f t="shared" si="24"/>
        <v>0</v>
      </c>
      <c r="H206" s="20">
        <f t="shared" si="25"/>
        <v>0</v>
      </c>
      <c r="I206" s="20">
        <f t="shared" si="26"/>
        <v>0</v>
      </c>
      <c r="J206" s="20">
        <f t="shared" si="23"/>
        <v>0</v>
      </c>
      <c r="K206" s="20">
        <f t="shared" si="23"/>
        <v>0</v>
      </c>
      <c r="L206" s="20">
        <f t="shared" si="23"/>
        <v>0</v>
      </c>
    </row>
    <row r="207" spans="4:12" x14ac:dyDescent="0.35">
      <c r="D207" s="20" t="str">
        <f t="shared" si="20"/>
        <v/>
      </c>
      <c r="E207" s="21" t="str">
        <f t="shared" si="21"/>
        <v/>
      </c>
      <c r="F207" s="20" t="str">
        <f t="shared" si="22"/>
        <v/>
      </c>
      <c r="G207" s="20">
        <f t="shared" si="24"/>
        <v>0</v>
      </c>
      <c r="H207" s="20">
        <f t="shared" si="25"/>
        <v>0</v>
      </c>
      <c r="I207" s="20">
        <f t="shared" si="26"/>
        <v>0</v>
      </c>
      <c r="J207" s="20">
        <f t="shared" si="23"/>
        <v>0</v>
      </c>
      <c r="K207" s="20">
        <f t="shared" si="23"/>
        <v>0</v>
      </c>
      <c r="L207" s="20">
        <f t="shared" si="23"/>
        <v>0</v>
      </c>
    </row>
    <row r="208" spans="4:12" x14ac:dyDescent="0.35">
      <c r="D208" s="20" t="str">
        <f t="shared" si="20"/>
        <v/>
      </c>
      <c r="E208" s="21" t="str">
        <f t="shared" si="21"/>
        <v/>
      </c>
      <c r="F208" s="20" t="str">
        <f t="shared" si="22"/>
        <v/>
      </c>
      <c r="G208" s="20">
        <f t="shared" si="24"/>
        <v>0</v>
      </c>
      <c r="H208" s="20">
        <f t="shared" si="25"/>
        <v>0</v>
      </c>
      <c r="I208" s="20">
        <f t="shared" si="26"/>
        <v>0</v>
      </c>
      <c r="J208" s="20">
        <f t="shared" si="23"/>
        <v>0</v>
      </c>
      <c r="K208" s="20">
        <f t="shared" si="23"/>
        <v>0</v>
      </c>
      <c r="L208" s="20">
        <f t="shared" si="23"/>
        <v>0</v>
      </c>
    </row>
    <row r="209" spans="4:12" x14ac:dyDescent="0.35">
      <c r="D209" s="20" t="str">
        <f t="shared" si="20"/>
        <v/>
      </c>
      <c r="E209" s="21" t="str">
        <f t="shared" si="21"/>
        <v/>
      </c>
      <c r="F209" s="20" t="str">
        <f t="shared" si="22"/>
        <v/>
      </c>
      <c r="G209" s="20">
        <f t="shared" si="24"/>
        <v>0</v>
      </c>
      <c r="H209" s="20">
        <f t="shared" si="25"/>
        <v>0</v>
      </c>
      <c r="I209" s="20">
        <f t="shared" si="26"/>
        <v>0</v>
      </c>
      <c r="J209" s="20">
        <f t="shared" si="23"/>
        <v>0</v>
      </c>
      <c r="K209" s="20">
        <f t="shared" si="23"/>
        <v>0</v>
      </c>
      <c r="L209" s="20">
        <f t="shared" si="23"/>
        <v>0</v>
      </c>
    </row>
    <row r="210" spans="4:12" x14ac:dyDescent="0.35">
      <c r="D210" s="20" t="str">
        <f t="shared" si="20"/>
        <v/>
      </c>
      <c r="E210" s="21" t="str">
        <f t="shared" si="21"/>
        <v/>
      </c>
      <c r="F210" s="20" t="str">
        <f t="shared" si="22"/>
        <v/>
      </c>
      <c r="G210" s="20">
        <f t="shared" si="24"/>
        <v>0</v>
      </c>
      <c r="H210" s="20">
        <f t="shared" si="25"/>
        <v>0</v>
      </c>
      <c r="I210" s="20">
        <f t="shared" si="26"/>
        <v>0</v>
      </c>
      <c r="J210" s="20">
        <f t="shared" si="23"/>
        <v>0</v>
      </c>
      <c r="K210" s="20">
        <f t="shared" si="23"/>
        <v>0</v>
      </c>
      <c r="L210" s="20">
        <f t="shared" si="23"/>
        <v>0</v>
      </c>
    </row>
    <row r="211" spans="4:12" x14ac:dyDescent="0.35">
      <c r="D211" s="20" t="str">
        <f t="shared" si="20"/>
        <v/>
      </c>
      <c r="E211" s="21" t="str">
        <f t="shared" si="21"/>
        <v/>
      </c>
      <c r="F211" s="20" t="str">
        <f t="shared" si="22"/>
        <v/>
      </c>
      <c r="G211" s="20">
        <f t="shared" si="24"/>
        <v>0</v>
      </c>
      <c r="H211" s="20">
        <f t="shared" si="25"/>
        <v>0</v>
      </c>
      <c r="I211" s="20">
        <f t="shared" si="26"/>
        <v>0</v>
      </c>
      <c r="J211" s="20">
        <f t="shared" si="23"/>
        <v>0</v>
      </c>
      <c r="K211" s="20">
        <f t="shared" si="23"/>
        <v>0</v>
      </c>
      <c r="L211" s="20">
        <f t="shared" si="23"/>
        <v>0</v>
      </c>
    </row>
    <row r="212" spans="4:12" x14ac:dyDescent="0.35">
      <c r="D212" s="20" t="str">
        <f t="shared" si="20"/>
        <v/>
      </c>
      <c r="E212" s="21" t="str">
        <f t="shared" si="21"/>
        <v/>
      </c>
      <c r="F212" s="20" t="str">
        <f t="shared" si="22"/>
        <v/>
      </c>
      <c r="G212" s="20">
        <f t="shared" si="24"/>
        <v>0</v>
      </c>
      <c r="H212" s="20">
        <f t="shared" si="25"/>
        <v>0</v>
      </c>
      <c r="I212" s="20">
        <f t="shared" si="26"/>
        <v>0</v>
      </c>
      <c r="J212" s="20">
        <f t="shared" si="23"/>
        <v>0</v>
      </c>
      <c r="K212" s="20">
        <f t="shared" si="23"/>
        <v>0</v>
      </c>
      <c r="L212" s="20">
        <f t="shared" si="23"/>
        <v>0</v>
      </c>
    </row>
    <row r="213" spans="4:12" x14ac:dyDescent="0.35">
      <c r="D213" s="20" t="str">
        <f t="shared" si="20"/>
        <v/>
      </c>
      <c r="E213" s="21" t="str">
        <f t="shared" si="21"/>
        <v/>
      </c>
      <c r="F213" s="20" t="str">
        <f t="shared" si="22"/>
        <v/>
      </c>
      <c r="G213" s="20">
        <f t="shared" si="24"/>
        <v>0</v>
      </c>
      <c r="H213" s="20">
        <f t="shared" si="25"/>
        <v>0</v>
      </c>
      <c r="I213" s="20">
        <f t="shared" si="26"/>
        <v>0</v>
      </c>
      <c r="J213" s="20">
        <f t="shared" si="23"/>
        <v>0</v>
      </c>
      <c r="K213" s="20">
        <f t="shared" si="23"/>
        <v>0</v>
      </c>
      <c r="L213" s="20">
        <f t="shared" si="23"/>
        <v>0</v>
      </c>
    </row>
    <row r="214" spans="4:12" x14ac:dyDescent="0.35">
      <c r="D214" s="20" t="str">
        <f t="shared" si="20"/>
        <v/>
      </c>
      <c r="E214" s="21" t="str">
        <f t="shared" si="21"/>
        <v/>
      </c>
      <c r="F214" s="20" t="str">
        <f t="shared" si="22"/>
        <v/>
      </c>
      <c r="G214" s="20">
        <f t="shared" si="24"/>
        <v>0</v>
      </c>
      <c r="H214" s="20">
        <f t="shared" si="25"/>
        <v>0</v>
      </c>
      <c r="I214" s="20">
        <f t="shared" si="26"/>
        <v>0</v>
      </c>
      <c r="J214" s="20">
        <f t="shared" si="23"/>
        <v>0</v>
      </c>
      <c r="K214" s="20">
        <f t="shared" si="23"/>
        <v>0</v>
      </c>
      <c r="L214" s="20">
        <f t="shared" si="23"/>
        <v>0</v>
      </c>
    </row>
    <row r="215" spans="4:12" x14ac:dyDescent="0.35">
      <c r="D215" s="20" t="str">
        <f t="shared" ref="D215:D278" si="27">IF(D214&lt;=$B$5,D214+1,"")</f>
        <v/>
      </c>
      <c r="E215" s="21" t="str">
        <f t="shared" ref="E215:E278" si="28">IF(D214&lt;=$B$5,E214+$B$6,"")</f>
        <v/>
      </c>
      <c r="F215" s="20" t="str">
        <f t="shared" ref="F215:F278" si="29">IF(D214&lt;=$B$5,(20*COS((5/2)*E215^2+1))/(E215^2+2),"")</f>
        <v/>
      </c>
      <c r="G215" s="20">
        <f t="shared" si="24"/>
        <v>0</v>
      </c>
      <c r="H215" s="20">
        <f t="shared" si="25"/>
        <v>0</v>
      </c>
      <c r="I215" s="20">
        <f t="shared" si="26"/>
        <v>0</v>
      </c>
      <c r="J215" s="20">
        <f t="shared" si="23"/>
        <v>0</v>
      </c>
      <c r="K215" s="20">
        <f t="shared" si="23"/>
        <v>0</v>
      </c>
      <c r="L215" s="20">
        <f t="shared" si="23"/>
        <v>0</v>
      </c>
    </row>
    <row r="216" spans="4:12" x14ac:dyDescent="0.35">
      <c r="D216" s="20" t="str">
        <f t="shared" si="27"/>
        <v/>
      </c>
      <c r="E216" s="21" t="str">
        <f t="shared" si="28"/>
        <v/>
      </c>
      <c r="F216" s="20" t="str">
        <f t="shared" si="29"/>
        <v/>
      </c>
      <c r="G216" s="20">
        <f t="shared" si="24"/>
        <v>0</v>
      </c>
      <c r="H216" s="20">
        <f t="shared" si="25"/>
        <v>0</v>
      </c>
      <c r="I216" s="20">
        <f t="shared" si="26"/>
        <v>0</v>
      </c>
      <c r="J216" s="20">
        <f t="shared" si="23"/>
        <v>0</v>
      </c>
      <c r="K216" s="20">
        <f t="shared" si="23"/>
        <v>0</v>
      </c>
      <c r="L216" s="20">
        <f t="shared" si="23"/>
        <v>0</v>
      </c>
    </row>
    <row r="217" spans="4:12" x14ac:dyDescent="0.35">
      <c r="D217" s="20" t="str">
        <f t="shared" si="27"/>
        <v/>
      </c>
      <c r="E217" s="21" t="str">
        <f t="shared" si="28"/>
        <v/>
      </c>
      <c r="F217" s="20" t="str">
        <f t="shared" si="29"/>
        <v/>
      </c>
      <c r="G217" s="20">
        <f t="shared" si="24"/>
        <v>0</v>
      </c>
      <c r="H217" s="20">
        <f t="shared" si="25"/>
        <v>0</v>
      </c>
      <c r="I217" s="20">
        <f t="shared" si="26"/>
        <v>0</v>
      </c>
      <c r="J217" s="20">
        <f t="shared" si="23"/>
        <v>0</v>
      </c>
      <c r="K217" s="20">
        <f t="shared" si="23"/>
        <v>0</v>
      </c>
      <c r="L217" s="20">
        <f t="shared" si="23"/>
        <v>0</v>
      </c>
    </row>
    <row r="218" spans="4:12" x14ac:dyDescent="0.35">
      <c r="D218" s="20" t="str">
        <f t="shared" si="27"/>
        <v/>
      </c>
      <c r="E218" s="21" t="str">
        <f t="shared" si="28"/>
        <v/>
      </c>
      <c r="F218" s="20" t="str">
        <f t="shared" si="29"/>
        <v/>
      </c>
      <c r="G218" s="20">
        <f t="shared" si="24"/>
        <v>0</v>
      </c>
      <c r="H218" s="20">
        <f t="shared" si="25"/>
        <v>0</v>
      </c>
      <c r="I218" s="20">
        <f t="shared" si="26"/>
        <v>0</v>
      </c>
      <c r="J218" s="20">
        <f t="shared" si="23"/>
        <v>0</v>
      </c>
      <c r="K218" s="20">
        <f t="shared" si="23"/>
        <v>0</v>
      </c>
      <c r="L218" s="20">
        <f t="shared" si="23"/>
        <v>0</v>
      </c>
    </row>
    <row r="219" spans="4:12" x14ac:dyDescent="0.35">
      <c r="D219" s="20" t="str">
        <f t="shared" si="27"/>
        <v/>
      </c>
      <c r="E219" s="21" t="str">
        <f t="shared" si="28"/>
        <v/>
      </c>
      <c r="F219" s="20" t="str">
        <f t="shared" si="29"/>
        <v/>
      </c>
      <c r="G219" s="20">
        <f t="shared" si="24"/>
        <v>0</v>
      </c>
      <c r="H219" s="20">
        <f t="shared" si="25"/>
        <v>0</v>
      </c>
      <c r="I219" s="20">
        <f t="shared" si="26"/>
        <v>0</v>
      </c>
      <c r="J219" s="20">
        <f t="shared" si="23"/>
        <v>0</v>
      </c>
      <c r="K219" s="20">
        <f t="shared" si="23"/>
        <v>0</v>
      </c>
      <c r="L219" s="20">
        <f t="shared" si="23"/>
        <v>0</v>
      </c>
    </row>
    <row r="220" spans="4:12" x14ac:dyDescent="0.35">
      <c r="D220" s="20" t="str">
        <f t="shared" si="27"/>
        <v/>
      </c>
      <c r="E220" s="21" t="str">
        <f t="shared" si="28"/>
        <v/>
      </c>
      <c r="F220" s="20" t="str">
        <f t="shared" si="29"/>
        <v/>
      </c>
      <c r="G220" s="20">
        <f t="shared" si="24"/>
        <v>0</v>
      </c>
      <c r="H220" s="20">
        <f t="shared" si="25"/>
        <v>0</v>
      </c>
      <c r="I220" s="20">
        <f t="shared" si="26"/>
        <v>0</v>
      </c>
      <c r="J220" s="20">
        <f t="shared" si="23"/>
        <v>0</v>
      </c>
      <c r="K220" s="20">
        <f t="shared" si="23"/>
        <v>0</v>
      </c>
      <c r="L220" s="20">
        <f t="shared" si="23"/>
        <v>0</v>
      </c>
    </row>
    <row r="221" spans="4:12" x14ac:dyDescent="0.35">
      <c r="D221" s="20" t="str">
        <f t="shared" si="27"/>
        <v/>
      </c>
      <c r="E221" s="21" t="str">
        <f t="shared" si="28"/>
        <v/>
      </c>
      <c r="F221" s="20" t="str">
        <f t="shared" si="29"/>
        <v/>
      </c>
      <c r="G221" s="20">
        <f t="shared" si="24"/>
        <v>0</v>
      </c>
      <c r="H221" s="20">
        <f t="shared" si="25"/>
        <v>0</v>
      </c>
      <c r="I221" s="20">
        <f t="shared" si="26"/>
        <v>0</v>
      </c>
      <c r="J221" s="20">
        <f t="shared" si="23"/>
        <v>0</v>
      </c>
      <c r="K221" s="20">
        <f t="shared" si="23"/>
        <v>0</v>
      </c>
      <c r="L221" s="20">
        <f t="shared" si="23"/>
        <v>0</v>
      </c>
    </row>
    <row r="222" spans="4:12" x14ac:dyDescent="0.35">
      <c r="D222" s="20" t="str">
        <f t="shared" si="27"/>
        <v/>
      </c>
      <c r="E222" s="21" t="str">
        <f t="shared" si="28"/>
        <v/>
      </c>
      <c r="F222" s="20" t="str">
        <f t="shared" si="29"/>
        <v/>
      </c>
      <c r="G222" s="20">
        <f t="shared" si="24"/>
        <v>0</v>
      </c>
      <c r="H222" s="20">
        <f t="shared" si="25"/>
        <v>0</v>
      </c>
      <c r="I222" s="20">
        <f t="shared" si="26"/>
        <v>0</v>
      </c>
      <c r="J222" s="20">
        <f t="shared" si="23"/>
        <v>0</v>
      </c>
      <c r="K222" s="20">
        <f t="shared" si="23"/>
        <v>0</v>
      </c>
      <c r="L222" s="20">
        <f t="shared" si="23"/>
        <v>0</v>
      </c>
    </row>
    <row r="223" spans="4:12" x14ac:dyDescent="0.35">
      <c r="D223" s="20" t="str">
        <f t="shared" si="27"/>
        <v/>
      </c>
      <c r="E223" s="21" t="str">
        <f t="shared" si="28"/>
        <v/>
      </c>
      <c r="F223" s="20" t="str">
        <f t="shared" si="29"/>
        <v/>
      </c>
      <c r="G223" s="20">
        <f t="shared" si="24"/>
        <v>0</v>
      </c>
      <c r="H223" s="20">
        <f t="shared" si="25"/>
        <v>0</v>
      </c>
      <c r="I223" s="20">
        <f t="shared" si="26"/>
        <v>0</v>
      </c>
      <c r="J223" s="20">
        <f t="shared" si="23"/>
        <v>0</v>
      </c>
      <c r="K223" s="20">
        <f t="shared" si="23"/>
        <v>0</v>
      </c>
      <c r="L223" s="20">
        <f t="shared" si="23"/>
        <v>0</v>
      </c>
    </row>
    <row r="224" spans="4:12" x14ac:dyDescent="0.35">
      <c r="D224" s="20" t="str">
        <f t="shared" si="27"/>
        <v/>
      </c>
      <c r="E224" s="21" t="str">
        <f t="shared" si="28"/>
        <v/>
      </c>
      <c r="F224" s="20" t="str">
        <f t="shared" si="29"/>
        <v/>
      </c>
      <c r="G224" s="20">
        <f t="shared" si="24"/>
        <v>0</v>
      </c>
      <c r="H224" s="20">
        <f t="shared" si="25"/>
        <v>0</v>
      </c>
      <c r="I224" s="20">
        <f t="shared" si="26"/>
        <v>0</v>
      </c>
      <c r="J224" s="20">
        <f t="shared" si="23"/>
        <v>0</v>
      </c>
      <c r="K224" s="20">
        <f t="shared" si="23"/>
        <v>0</v>
      </c>
      <c r="L224" s="20">
        <f t="shared" si="23"/>
        <v>0</v>
      </c>
    </row>
    <row r="225" spans="4:12" x14ac:dyDescent="0.35">
      <c r="D225" s="20" t="str">
        <f t="shared" si="27"/>
        <v/>
      </c>
      <c r="E225" s="21" t="str">
        <f t="shared" si="28"/>
        <v/>
      </c>
      <c r="F225" s="20" t="str">
        <f t="shared" si="29"/>
        <v/>
      </c>
      <c r="G225" s="20">
        <f t="shared" si="24"/>
        <v>0</v>
      </c>
      <c r="H225" s="20">
        <f t="shared" si="25"/>
        <v>0</v>
      </c>
      <c r="I225" s="20">
        <f t="shared" si="26"/>
        <v>0</v>
      </c>
      <c r="J225" s="20">
        <f t="shared" si="23"/>
        <v>0</v>
      </c>
      <c r="K225" s="20">
        <f t="shared" si="23"/>
        <v>0</v>
      </c>
      <c r="L225" s="20">
        <f t="shared" si="23"/>
        <v>0</v>
      </c>
    </row>
    <row r="226" spans="4:12" x14ac:dyDescent="0.35">
      <c r="D226" s="20" t="str">
        <f t="shared" si="27"/>
        <v/>
      </c>
      <c r="E226" s="21" t="str">
        <f t="shared" si="28"/>
        <v/>
      </c>
      <c r="F226" s="20" t="str">
        <f t="shared" si="29"/>
        <v/>
      </c>
      <c r="G226" s="20">
        <f t="shared" si="24"/>
        <v>0</v>
      </c>
      <c r="H226" s="20">
        <f t="shared" si="25"/>
        <v>0</v>
      </c>
      <c r="I226" s="20">
        <f t="shared" si="26"/>
        <v>0</v>
      </c>
      <c r="J226" s="20">
        <f t="shared" si="23"/>
        <v>0</v>
      </c>
      <c r="K226" s="20">
        <f t="shared" si="23"/>
        <v>0</v>
      </c>
      <c r="L226" s="20">
        <f t="shared" si="23"/>
        <v>0</v>
      </c>
    </row>
    <row r="227" spans="4:12" x14ac:dyDescent="0.35">
      <c r="D227" s="20" t="str">
        <f t="shared" si="27"/>
        <v/>
      </c>
      <c r="E227" s="21" t="str">
        <f t="shared" si="28"/>
        <v/>
      </c>
      <c r="F227" s="20" t="str">
        <f t="shared" si="29"/>
        <v/>
      </c>
      <c r="G227" s="20">
        <f t="shared" si="24"/>
        <v>0</v>
      </c>
      <c r="H227" s="20">
        <f t="shared" si="25"/>
        <v>0</v>
      </c>
      <c r="I227" s="20">
        <f t="shared" si="26"/>
        <v>0</v>
      </c>
      <c r="J227" s="20">
        <f t="shared" si="23"/>
        <v>0</v>
      </c>
      <c r="K227" s="20">
        <f t="shared" si="23"/>
        <v>0</v>
      </c>
      <c r="L227" s="20">
        <f t="shared" si="23"/>
        <v>0</v>
      </c>
    </row>
    <row r="228" spans="4:12" x14ac:dyDescent="0.35">
      <c r="D228" s="20" t="str">
        <f t="shared" si="27"/>
        <v/>
      </c>
      <c r="E228" s="21" t="str">
        <f t="shared" si="28"/>
        <v/>
      </c>
      <c r="F228" s="20" t="str">
        <f t="shared" si="29"/>
        <v/>
      </c>
      <c r="G228" s="20">
        <f t="shared" si="24"/>
        <v>0</v>
      </c>
      <c r="H228" s="20">
        <f t="shared" si="25"/>
        <v>0</v>
      </c>
      <c r="I228" s="20">
        <f t="shared" si="26"/>
        <v>0</v>
      </c>
      <c r="J228" s="20">
        <f t="shared" si="23"/>
        <v>0</v>
      </c>
      <c r="K228" s="20">
        <f t="shared" si="23"/>
        <v>0</v>
      </c>
      <c r="L228" s="20">
        <f t="shared" si="23"/>
        <v>0</v>
      </c>
    </row>
    <row r="229" spans="4:12" x14ac:dyDescent="0.35">
      <c r="D229" s="20" t="str">
        <f t="shared" si="27"/>
        <v/>
      </c>
      <c r="E229" s="21" t="str">
        <f t="shared" si="28"/>
        <v/>
      </c>
      <c r="F229" s="20" t="str">
        <f t="shared" si="29"/>
        <v/>
      </c>
      <c r="G229" s="20">
        <f t="shared" si="24"/>
        <v>0</v>
      </c>
      <c r="H229" s="20">
        <f t="shared" si="25"/>
        <v>0</v>
      </c>
      <c r="I229" s="20">
        <f t="shared" si="26"/>
        <v>0</v>
      </c>
      <c r="J229" s="20">
        <f t="shared" si="23"/>
        <v>0</v>
      </c>
      <c r="K229" s="20">
        <f t="shared" si="23"/>
        <v>0</v>
      </c>
      <c r="L229" s="20">
        <f t="shared" si="23"/>
        <v>0</v>
      </c>
    </row>
    <row r="230" spans="4:12" x14ac:dyDescent="0.35">
      <c r="D230" s="20" t="str">
        <f t="shared" si="27"/>
        <v/>
      </c>
      <c r="E230" s="21" t="str">
        <f t="shared" si="28"/>
        <v/>
      </c>
      <c r="F230" s="20" t="str">
        <f t="shared" si="29"/>
        <v/>
      </c>
      <c r="G230" s="20">
        <f t="shared" si="24"/>
        <v>0</v>
      </c>
      <c r="H230" s="20">
        <f t="shared" si="25"/>
        <v>0</v>
      </c>
      <c r="I230" s="20">
        <f t="shared" si="26"/>
        <v>0</v>
      </c>
      <c r="J230" s="20">
        <f t="shared" si="23"/>
        <v>0</v>
      </c>
      <c r="K230" s="20">
        <f t="shared" si="23"/>
        <v>0</v>
      </c>
      <c r="L230" s="20">
        <f t="shared" si="23"/>
        <v>0</v>
      </c>
    </row>
    <row r="231" spans="4:12" x14ac:dyDescent="0.35">
      <c r="D231" s="20" t="str">
        <f t="shared" si="27"/>
        <v/>
      </c>
      <c r="E231" s="21" t="str">
        <f t="shared" si="28"/>
        <v/>
      </c>
      <c r="F231" s="20" t="str">
        <f t="shared" si="29"/>
        <v/>
      </c>
      <c r="G231" s="20">
        <f t="shared" si="24"/>
        <v>0</v>
      </c>
      <c r="H231" s="20">
        <f t="shared" si="25"/>
        <v>0</v>
      </c>
      <c r="I231" s="20">
        <f t="shared" si="26"/>
        <v>0</v>
      </c>
      <c r="J231" s="20">
        <f t="shared" si="23"/>
        <v>0</v>
      </c>
      <c r="K231" s="20">
        <f t="shared" si="23"/>
        <v>0</v>
      </c>
      <c r="L231" s="20">
        <f t="shared" si="23"/>
        <v>0</v>
      </c>
    </row>
    <row r="232" spans="4:12" x14ac:dyDescent="0.35">
      <c r="D232" s="20" t="str">
        <f t="shared" si="27"/>
        <v/>
      </c>
      <c r="E232" s="21" t="str">
        <f t="shared" si="28"/>
        <v/>
      </c>
      <c r="F232" s="20" t="str">
        <f t="shared" si="29"/>
        <v/>
      </c>
      <c r="G232" s="20">
        <f t="shared" si="24"/>
        <v>0</v>
      </c>
      <c r="H232" s="20">
        <f t="shared" si="25"/>
        <v>0</v>
      </c>
      <c r="I232" s="20">
        <f t="shared" si="26"/>
        <v>0</v>
      </c>
      <c r="J232" s="20">
        <f t="shared" si="23"/>
        <v>0</v>
      </c>
      <c r="K232" s="20">
        <f t="shared" si="23"/>
        <v>0</v>
      </c>
      <c r="L232" s="20">
        <f t="shared" si="23"/>
        <v>0</v>
      </c>
    </row>
    <row r="233" spans="4:12" x14ac:dyDescent="0.35">
      <c r="D233" s="20" t="str">
        <f t="shared" si="27"/>
        <v/>
      </c>
      <c r="E233" s="21" t="str">
        <f t="shared" si="28"/>
        <v/>
      </c>
      <c r="F233" s="20" t="str">
        <f t="shared" si="29"/>
        <v/>
      </c>
      <c r="G233" s="20">
        <f t="shared" si="24"/>
        <v>0</v>
      </c>
      <c r="H233" s="20">
        <f t="shared" si="25"/>
        <v>0</v>
      </c>
      <c r="I233" s="20">
        <f t="shared" si="26"/>
        <v>0</v>
      </c>
      <c r="J233" s="20">
        <f t="shared" si="23"/>
        <v>0</v>
      </c>
      <c r="K233" s="20">
        <f t="shared" si="23"/>
        <v>0</v>
      </c>
      <c r="L233" s="20">
        <f t="shared" si="23"/>
        <v>0</v>
      </c>
    </row>
    <row r="234" spans="4:12" x14ac:dyDescent="0.35">
      <c r="D234" s="20" t="str">
        <f t="shared" si="27"/>
        <v/>
      </c>
      <c r="E234" s="21" t="str">
        <f t="shared" si="28"/>
        <v/>
      </c>
      <c r="F234" s="20" t="str">
        <f t="shared" si="29"/>
        <v/>
      </c>
      <c r="G234" s="20">
        <f t="shared" si="24"/>
        <v>0</v>
      </c>
      <c r="H234" s="20">
        <f t="shared" si="25"/>
        <v>0</v>
      </c>
      <c r="I234" s="20">
        <f t="shared" si="26"/>
        <v>0</v>
      </c>
      <c r="J234" s="20">
        <f t="shared" si="23"/>
        <v>0</v>
      </c>
      <c r="K234" s="20">
        <f t="shared" si="23"/>
        <v>0</v>
      </c>
      <c r="L234" s="20">
        <f t="shared" si="23"/>
        <v>0</v>
      </c>
    </row>
    <row r="235" spans="4:12" x14ac:dyDescent="0.35">
      <c r="D235" s="20" t="str">
        <f t="shared" si="27"/>
        <v/>
      </c>
      <c r="E235" s="21" t="str">
        <f t="shared" si="28"/>
        <v/>
      </c>
      <c r="F235" s="20" t="str">
        <f t="shared" si="29"/>
        <v/>
      </c>
      <c r="G235" s="20">
        <f t="shared" si="24"/>
        <v>0</v>
      </c>
      <c r="H235" s="20">
        <f t="shared" si="25"/>
        <v>0</v>
      </c>
      <c r="I235" s="20">
        <f t="shared" si="26"/>
        <v>0</v>
      </c>
      <c r="J235" s="20">
        <f t="shared" si="23"/>
        <v>0</v>
      </c>
      <c r="K235" s="20">
        <f t="shared" si="23"/>
        <v>0</v>
      </c>
      <c r="L235" s="20">
        <f t="shared" si="23"/>
        <v>0</v>
      </c>
    </row>
    <row r="236" spans="4:12" x14ac:dyDescent="0.35">
      <c r="D236" s="20" t="str">
        <f t="shared" si="27"/>
        <v/>
      </c>
      <c r="E236" s="21" t="str">
        <f t="shared" si="28"/>
        <v/>
      </c>
      <c r="F236" s="20" t="str">
        <f t="shared" si="29"/>
        <v/>
      </c>
      <c r="G236" s="20">
        <f t="shared" si="24"/>
        <v>0</v>
      </c>
      <c r="H236" s="20">
        <f t="shared" si="25"/>
        <v>0</v>
      </c>
      <c r="I236" s="20">
        <f t="shared" si="26"/>
        <v>0</v>
      </c>
      <c r="J236" s="20">
        <f t="shared" si="23"/>
        <v>0</v>
      </c>
      <c r="K236" s="20">
        <f t="shared" si="23"/>
        <v>0</v>
      </c>
      <c r="L236" s="20">
        <f t="shared" si="23"/>
        <v>0</v>
      </c>
    </row>
    <row r="237" spans="4:12" x14ac:dyDescent="0.35">
      <c r="D237" s="20" t="str">
        <f t="shared" si="27"/>
        <v/>
      </c>
      <c r="E237" s="21" t="str">
        <f t="shared" si="28"/>
        <v/>
      </c>
      <c r="F237" s="20" t="str">
        <f t="shared" si="29"/>
        <v/>
      </c>
      <c r="G237" s="20">
        <f t="shared" si="24"/>
        <v>0</v>
      </c>
      <c r="H237" s="20">
        <f t="shared" si="25"/>
        <v>0</v>
      </c>
      <c r="I237" s="20">
        <f t="shared" si="26"/>
        <v>0</v>
      </c>
      <c r="J237" s="20">
        <f t="shared" si="23"/>
        <v>0</v>
      </c>
      <c r="K237" s="20">
        <f t="shared" si="23"/>
        <v>0</v>
      </c>
      <c r="L237" s="20">
        <f t="shared" si="23"/>
        <v>0</v>
      </c>
    </row>
    <row r="238" spans="4:12" x14ac:dyDescent="0.35">
      <c r="D238" s="20" t="str">
        <f t="shared" si="27"/>
        <v/>
      </c>
      <c r="E238" s="21" t="str">
        <f t="shared" si="28"/>
        <v/>
      </c>
      <c r="F238" s="20" t="str">
        <f t="shared" si="29"/>
        <v/>
      </c>
      <c r="G238" s="20">
        <f t="shared" si="24"/>
        <v>0</v>
      </c>
      <c r="H238" s="20">
        <f t="shared" si="25"/>
        <v>0</v>
      </c>
      <c r="I238" s="20">
        <f t="shared" si="26"/>
        <v>0</v>
      </c>
      <c r="J238" s="20">
        <f t="shared" si="23"/>
        <v>0</v>
      </c>
      <c r="K238" s="20">
        <f t="shared" si="23"/>
        <v>0</v>
      </c>
      <c r="L238" s="20">
        <f t="shared" si="23"/>
        <v>0</v>
      </c>
    </row>
    <row r="239" spans="4:12" x14ac:dyDescent="0.35">
      <c r="D239" s="20" t="str">
        <f t="shared" si="27"/>
        <v/>
      </c>
      <c r="E239" s="21" t="str">
        <f t="shared" si="28"/>
        <v/>
      </c>
      <c r="F239" s="20" t="str">
        <f t="shared" si="29"/>
        <v/>
      </c>
      <c r="G239" s="20">
        <f t="shared" si="24"/>
        <v>0</v>
      </c>
      <c r="H239" s="20">
        <f t="shared" si="25"/>
        <v>0</v>
      </c>
      <c r="I239" s="20">
        <f t="shared" si="26"/>
        <v>0</v>
      </c>
      <c r="J239" s="20">
        <f t="shared" si="23"/>
        <v>0</v>
      </c>
      <c r="K239" s="20">
        <f t="shared" si="23"/>
        <v>0</v>
      </c>
      <c r="L239" s="20">
        <f t="shared" si="23"/>
        <v>0</v>
      </c>
    </row>
    <row r="240" spans="4:12" x14ac:dyDescent="0.35">
      <c r="D240" s="20" t="str">
        <f t="shared" si="27"/>
        <v/>
      </c>
      <c r="E240" s="21" t="str">
        <f t="shared" si="28"/>
        <v/>
      </c>
      <c r="F240" s="20" t="str">
        <f t="shared" si="29"/>
        <v/>
      </c>
      <c r="G240" s="20">
        <f t="shared" si="24"/>
        <v>0</v>
      </c>
      <c r="H240" s="20">
        <f t="shared" si="25"/>
        <v>0</v>
      </c>
      <c r="I240" s="20">
        <f t="shared" si="26"/>
        <v>0</v>
      </c>
      <c r="J240" s="20">
        <f t="shared" si="23"/>
        <v>0</v>
      </c>
      <c r="K240" s="20">
        <f t="shared" si="23"/>
        <v>0</v>
      </c>
      <c r="L240" s="20">
        <f t="shared" si="23"/>
        <v>0</v>
      </c>
    </row>
    <row r="241" spans="4:12" x14ac:dyDescent="0.35">
      <c r="D241" s="20" t="str">
        <f t="shared" si="27"/>
        <v/>
      </c>
      <c r="E241" s="21" t="str">
        <f t="shared" si="28"/>
        <v/>
      </c>
      <c r="F241" s="20" t="str">
        <f t="shared" si="29"/>
        <v/>
      </c>
      <c r="G241" s="20">
        <f t="shared" si="24"/>
        <v>0</v>
      </c>
      <c r="H241" s="20">
        <f t="shared" si="25"/>
        <v>0</v>
      </c>
      <c r="I241" s="20">
        <f t="shared" si="26"/>
        <v>0</v>
      </c>
      <c r="J241" s="20">
        <f t="shared" si="23"/>
        <v>0</v>
      </c>
      <c r="K241" s="20">
        <f t="shared" si="23"/>
        <v>0</v>
      </c>
      <c r="L241" s="20">
        <f t="shared" si="23"/>
        <v>0</v>
      </c>
    </row>
    <row r="242" spans="4:12" x14ac:dyDescent="0.35">
      <c r="D242" s="20" t="str">
        <f t="shared" si="27"/>
        <v/>
      </c>
      <c r="E242" s="21" t="str">
        <f t="shared" si="28"/>
        <v/>
      </c>
      <c r="F242" s="20" t="str">
        <f t="shared" si="29"/>
        <v/>
      </c>
      <c r="G242" s="20">
        <f t="shared" si="24"/>
        <v>0</v>
      </c>
      <c r="H242" s="20">
        <f t="shared" si="25"/>
        <v>0</v>
      </c>
      <c r="I242" s="20">
        <f t="shared" si="26"/>
        <v>0</v>
      </c>
      <c r="J242" s="20">
        <f t="shared" si="23"/>
        <v>0</v>
      </c>
      <c r="K242" s="20">
        <f t="shared" si="23"/>
        <v>0</v>
      </c>
      <c r="L242" s="20">
        <f t="shared" si="23"/>
        <v>0</v>
      </c>
    </row>
    <row r="243" spans="4:12" x14ac:dyDescent="0.35">
      <c r="D243" s="20" t="str">
        <f t="shared" si="27"/>
        <v/>
      </c>
      <c r="E243" s="21" t="str">
        <f t="shared" si="28"/>
        <v/>
      </c>
      <c r="F243" s="20" t="str">
        <f t="shared" si="29"/>
        <v/>
      </c>
      <c r="G243" s="20">
        <f t="shared" si="24"/>
        <v>0</v>
      </c>
      <c r="H243" s="20">
        <f t="shared" si="25"/>
        <v>0</v>
      </c>
      <c r="I243" s="20">
        <f t="shared" si="26"/>
        <v>0</v>
      </c>
      <c r="J243" s="20">
        <f t="shared" si="23"/>
        <v>0</v>
      </c>
      <c r="K243" s="20">
        <f t="shared" si="23"/>
        <v>0</v>
      </c>
      <c r="L243" s="20">
        <f t="shared" si="23"/>
        <v>0</v>
      </c>
    </row>
    <row r="244" spans="4:12" x14ac:dyDescent="0.35">
      <c r="D244" s="20" t="str">
        <f t="shared" si="27"/>
        <v/>
      </c>
      <c r="E244" s="21" t="str">
        <f t="shared" si="28"/>
        <v/>
      </c>
      <c r="F244" s="20" t="str">
        <f t="shared" si="29"/>
        <v/>
      </c>
      <c r="G244" s="20">
        <f t="shared" si="24"/>
        <v>0</v>
      </c>
      <c r="H244" s="20">
        <f t="shared" si="25"/>
        <v>0</v>
      </c>
      <c r="I244" s="20">
        <f t="shared" si="26"/>
        <v>0</v>
      </c>
      <c r="J244" s="20">
        <f t="shared" si="23"/>
        <v>0</v>
      </c>
      <c r="K244" s="20">
        <f t="shared" si="23"/>
        <v>0</v>
      </c>
      <c r="L244" s="20">
        <f t="shared" si="23"/>
        <v>0</v>
      </c>
    </row>
    <row r="245" spans="4:12" x14ac:dyDescent="0.35">
      <c r="D245" s="20" t="str">
        <f t="shared" si="27"/>
        <v/>
      </c>
      <c r="E245" s="21" t="str">
        <f t="shared" si="28"/>
        <v/>
      </c>
      <c r="F245" s="20" t="str">
        <f t="shared" si="29"/>
        <v/>
      </c>
      <c r="G245" s="20">
        <f t="shared" si="24"/>
        <v>0</v>
      </c>
      <c r="H245" s="20">
        <f t="shared" si="25"/>
        <v>0</v>
      </c>
      <c r="I245" s="20">
        <f t="shared" si="26"/>
        <v>0</v>
      </c>
      <c r="J245" s="20">
        <f t="shared" si="23"/>
        <v>0</v>
      </c>
      <c r="K245" s="20">
        <f t="shared" si="23"/>
        <v>0</v>
      </c>
      <c r="L245" s="20">
        <f t="shared" si="23"/>
        <v>0</v>
      </c>
    </row>
    <row r="246" spans="4:12" x14ac:dyDescent="0.35">
      <c r="D246" s="20" t="str">
        <f t="shared" si="27"/>
        <v/>
      </c>
      <c r="E246" s="21" t="str">
        <f t="shared" si="28"/>
        <v/>
      </c>
      <c r="F246" s="20" t="str">
        <f t="shared" si="29"/>
        <v/>
      </c>
      <c r="G246" s="20">
        <f t="shared" si="24"/>
        <v>0</v>
      </c>
      <c r="H246" s="20">
        <f t="shared" si="25"/>
        <v>0</v>
      </c>
      <c r="I246" s="20">
        <f t="shared" si="26"/>
        <v>0</v>
      </c>
      <c r="J246" s="20">
        <f t="shared" si="23"/>
        <v>0</v>
      </c>
      <c r="K246" s="20">
        <f t="shared" si="23"/>
        <v>0</v>
      </c>
      <c r="L246" s="20">
        <f t="shared" si="23"/>
        <v>0</v>
      </c>
    </row>
    <row r="247" spans="4:12" x14ac:dyDescent="0.35">
      <c r="D247" s="20" t="str">
        <f t="shared" si="27"/>
        <v/>
      </c>
      <c r="E247" s="21" t="str">
        <f t="shared" si="28"/>
        <v/>
      </c>
      <c r="F247" s="20" t="str">
        <f t="shared" si="29"/>
        <v/>
      </c>
      <c r="G247" s="20">
        <f t="shared" si="24"/>
        <v>0</v>
      </c>
      <c r="H247" s="20">
        <f t="shared" si="25"/>
        <v>0</v>
      </c>
      <c r="I247" s="20">
        <f t="shared" si="26"/>
        <v>0</v>
      </c>
      <c r="J247" s="20">
        <f t="shared" si="23"/>
        <v>0</v>
      </c>
      <c r="K247" s="20">
        <f t="shared" si="23"/>
        <v>0</v>
      </c>
      <c r="L247" s="20">
        <f t="shared" si="23"/>
        <v>0</v>
      </c>
    </row>
    <row r="248" spans="4:12" x14ac:dyDescent="0.35">
      <c r="D248" s="20" t="str">
        <f t="shared" si="27"/>
        <v/>
      </c>
      <c r="E248" s="21" t="str">
        <f t="shared" si="28"/>
        <v/>
      </c>
      <c r="F248" s="20" t="str">
        <f t="shared" si="29"/>
        <v/>
      </c>
      <c r="G248" s="20">
        <f t="shared" si="24"/>
        <v>0</v>
      </c>
      <c r="H248" s="20">
        <f t="shared" si="25"/>
        <v>0</v>
      </c>
      <c r="I248" s="20">
        <f t="shared" si="26"/>
        <v>0</v>
      </c>
      <c r="J248" s="20">
        <f t="shared" si="23"/>
        <v>0</v>
      </c>
      <c r="K248" s="20">
        <f t="shared" si="23"/>
        <v>0</v>
      </c>
      <c r="L248" s="20">
        <f t="shared" si="23"/>
        <v>0</v>
      </c>
    </row>
    <row r="249" spans="4:12" x14ac:dyDescent="0.35">
      <c r="D249" s="20" t="str">
        <f t="shared" si="27"/>
        <v/>
      </c>
      <c r="E249" s="21" t="str">
        <f t="shared" si="28"/>
        <v/>
      </c>
      <c r="F249" s="20" t="str">
        <f t="shared" si="29"/>
        <v/>
      </c>
      <c r="G249" s="20">
        <f t="shared" si="24"/>
        <v>0</v>
      </c>
      <c r="H249" s="20">
        <f t="shared" si="25"/>
        <v>0</v>
      </c>
      <c r="I249" s="20">
        <f t="shared" si="26"/>
        <v>0</v>
      </c>
      <c r="J249" s="20">
        <f t="shared" si="23"/>
        <v>0</v>
      </c>
      <c r="K249" s="20">
        <f t="shared" si="23"/>
        <v>0</v>
      </c>
      <c r="L249" s="20">
        <f t="shared" si="23"/>
        <v>0</v>
      </c>
    </row>
    <row r="250" spans="4:12" x14ac:dyDescent="0.35">
      <c r="D250" s="20" t="str">
        <f t="shared" si="27"/>
        <v/>
      </c>
      <c r="E250" s="21" t="str">
        <f t="shared" si="28"/>
        <v/>
      </c>
      <c r="F250" s="20" t="str">
        <f t="shared" si="29"/>
        <v/>
      </c>
      <c r="G250" s="20">
        <f t="shared" si="24"/>
        <v>0</v>
      </c>
      <c r="H250" s="20">
        <f t="shared" si="25"/>
        <v>0</v>
      </c>
      <c r="I250" s="20">
        <f t="shared" si="26"/>
        <v>0</v>
      </c>
      <c r="J250" s="20">
        <f t="shared" si="23"/>
        <v>0</v>
      </c>
      <c r="K250" s="20">
        <f t="shared" si="23"/>
        <v>0</v>
      </c>
      <c r="L250" s="20">
        <f t="shared" si="23"/>
        <v>0</v>
      </c>
    </row>
    <row r="251" spans="4:12" x14ac:dyDescent="0.35">
      <c r="D251" s="20" t="str">
        <f t="shared" si="27"/>
        <v/>
      </c>
      <c r="E251" s="21" t="str">
        <f t="shared" si="28"/>
        <v/>
      </c>
      <c r="F251" s="20" t="str">
        <f t="shared" si="29"/>
        <v/>
      </c>
      <c r="G251" s="20">
        <f t="shared" si="24"/>
        <v>0</v>
      </c>
      <c r="H251" s="20">
        <f t="shared" si="25"/>
        <v>0</v>
      </c>
      <c r="I251" s="20">
        <f t="shared" si="26"/>
        <v>0</v>
      </c>
      <c r="J251" s="20">
        <f t="shared" si="23"/>
        <v>0</v>
      </c>
      <c r="K251" s="20">
        <f t="shared" si="23"/>
        <v>0</v>
      </c>
      <c r="L251" s="20">
        <f t="shared" si="23"/>
        <v>0</v>
      </c>
    </row>
    <row r="252" spans="4:12" x14ac:dyDescent="0.35">
      <c r="D252" s="20" t="str">
        <f t="shared" si="27"/>
        <v/>
      </c>
      <c r="E252" s="21" t="str">
        <f t="shared" si="28"/>
        <v/>
      </c>
      <c r="F252" s="20" t="str">
        <f t="shared" si="29"/>
        <v/>
      </c>
      <c r="G252" s="20">
        <f t="shared" si="24"/>
        <v>0</v>
      </c>
      <c r="H252" s="20">
        <f t="shared" si="25"/>
        <v>0</v>
      </c>
      <c r="I252" s="20">
        <f t="shared" si="26"/>
        <v>0</v>
      </c>
      <c r="J252" s="20">
        <f t="shared" si="23"/>
        <v>0</v>
      </c>
      <c r="K252" s="20">
        <f t="shared" si="23"/>
        <v>0</v>
      </c>
      <c r="L252" s="20">
        <f t="shared" si="23"/>
        <v>0</v>
      </c>
    </row>
    <row r="253" spans="4:12" x14ac:dyDescent="0.35">
      <c r="D253" s="20" t="str">
        <f t="shared" si="27"/>
        <v/>
      </c>
      <c r="E253" s="21" t="str">
        <f t="shared" si="28"/>
        <v/>
      </c>
      <c r="F253" s="20" t="str">
        <f t="shared" si="29"/>
        <v/>
      </c>
      <c r="G253" s="20">
        <f t="shared" si="24"/>
        <v>0</v>
      </c>
      <c r="H253" s="20">
        <f t="shared" si="25"/>
        <v>0</v>
      </c>
      <c r="I253" s="20">
        <f t="shared" si="26"/>
        <v>0</v>
      </c>
      <c r="J253" s="20">
        <f t="shared" si="23"/>
        <v>0</v>
      </c>
      <c r="K253" s="20">
        <f t="shared" si="23"/>
        <v>0</v>
      </c>
      <c r="L253" s="20">
        <f t="shared" si="23"/>
        <v>0</v>
      </c>
    </row>
    <row r="254" spans="4:12" x14ac:dyDescent="0.35">
      <c r="D254" s="20" t="str">
        <f t="shared" si="27"/>
        <v/>
      </c>
      <c r="E254" s="21" t="str">
        <f t="shared" si="28"/>
        <v/>
      </c>
      <c r="F254" s="20" t="str">
        <f t="shared" si="29"/>
        <v/>
      </c>
      <c r="G254" s="20">
        <f t="shared" si="24"/>
        <v>0</v>
      </c>
      <c r="H254" s="20">
        <f t="shared" si="25"/>
        <v>0</v>
      </c>
      <c r="I254" s="20">
        <f t="shared" si="26"/>
        <v>0</v>
      </c>
      <c r="J254" s="20">
        <f t="shared" si="23"/>
        <v>0</v>
      </c>
      <c r="K254" s="20">
        <f t="shared" si="23"/>
        <v>0</v>
      </c>
      <c r="L254" s="20">
        <f t="shared" si="23"/>
        <v>0</v>
      </c>
    </row>
    <row r="255" spans="4:12" x14ac:dyDescent="0.35">
      <c r="D255" s="20" t="str">
        <f t="shared" si="27"/>
        <v/>
      </c>
      <c r="E255" s="21" t="str">
        <f t="shared" si="28"/>
        <v/>
      </c>
      <c r="F255" s="20" t="str">
        <f t="shared" si="29"/>
        <v/>
      </c>
      <c r="G255" s="20">
        <f t="shared" si="24"/>
        <v>0</v>
      </c>
      <c r="H255" s="20">
        <f t="shared" si="25"/>
        <v>0</v>
      </c>
      <c r="I255" s="20">
        <f t="shared" si="26"/>
        <v>0</v>
      </c>
      <c r="J255" s="20">
        <f t="shared" si="23"/>
        <v>0</v>
      </c>
      <c r="K255" s="20">
        <f t="shared" si="23"/>
        <v>0</v>
      </c>
      <c r="L255" s="20">
        <f t="shared" si="23"/>
        <v>0</v>
      </c>
    </row>
    <row r="256" spans="4:12" x14ac:dyDescent="0.35">
      <c r="D256" s="20" t="str">
        <f t="shared" si="27"/>
        <v/>
      </c>
      <c r="E256" s="21" t="str">
        <f t="shared" si="28"/>
        <v/>
      </c>
      <c r="F256" s="20" t="str">
        <f t="shared" si="29"/>
        <v/>
      </c>
      <c r="G256" s="20">
        <f t="shared" si="24"/>
        <v>0</v>
      </c>
      <c r="H256" s="20">
        <f t="shared" si="25"/>
        <v>0</v>
      </c>
      <c r="I256" s="20">
        <f t="shared" si="26"/>
        <v>0</v>
      </c>
      <c r="J256" s="20">
        <f t="shared" si="23"/>
        <v>0</v>
      </c>
      <c r="K256" s="20">
        <f t="shared" si="23"/>
        <v>0</v>
      </c>
      <c r="L256" s="20">
        <f t="shared" si="23"/>
        <v>0</v>
      </c>
    </row>
    <row r="257" spans="4:12" x14ac:dyDescent="0.35">
      <c r="D257" s="20" t="str">
        <f t="shared" si="27"/>
        <v/>
      </c>
      <c r="E257" s="21" t="str">
        <f t="shared" si="28"/>
        <v/>
      </c>
      <c r="F257" s="20" t="str">
        <f t="shared" si="29"/>
        <v/>
      </c>
      <c r="G257" s="20">
        <f t="shared" si="24"/>
        <v>0</v>
      </c>
      <c r="H257" s="20">
        <f t="shared" si="25"/>
        <v>0</v>
      </c>
      <c r="I257" s="20">
        <f t="shared" si="26"/>
        <v>0</v>
      </c>
      <c r="J257" s="20">
        <f t="shared" si="23"/>
        <v>0</v>
      </c>
      <c r="K257" s="20">
        <f t="shared" si="23"/>
        <v>0</v>
      </c>
      <c r="L257" s="20">
        <f t="shared" si="23"/>
        <v>0</v>
      </c>
    </row>
    <row r="258" spans="4:12" x14ac:dyDescent="0.35">
      <c r="D258" s="20" t="str">
        <f t="shared" si="27"/>
        <v/>
      </c>
      <c r="E258" s="21" t="str">
        <f t="shared" si="28"/>
        <v/>
      </c>
      <c r="F258" s="20" t="str">
        <f t="shared" si="29"/>
        <v/>
      </c>
      <c r="G258" s="20">
        <f t="shared" si="24"/>
        <v>0</v>
      </c>
      <c r="H258" s="20">
        <f t="shared" si="25"/>
        <v>0</v>
      </c>
      <c r="I258" s="20">
        <f t="shared" si="26"/>
        <v>0</v>
      </c>
      <c r="J258" s="20">
        <f t="shared" si="23"/>
        <v>0</v>
      </c>
      <c r="K258" s="20">
        <f t="shared" si="23"/>
        <v>0</v>
      </c>
      <c r="L258" s="20">
        <f t="shared" si="23"/>
        <v>0</v>
      </c>
    </row>
    <row r="259" spans="4:12" x14ac:dyDescent="0.35">
      <c r="D259" s="20" t="str">
        <f t="shared" si="27"/>
        <v/>
      </c>
      <c r="E259" s="21" t="str">
        <f t="shared" si="28"/>
        <v/>
      </c>
      <c r="F259" s="20" t="str">
        <f t="shared" si="29"/>
        <v/>
      </c>
      <c r="G259" s="20">
        <f t="shared" si="24"/>
        <v>0</v>
      </c>
      <c r="H259" s="20">
        <f t="shared" si="25"/>
        <v>0</v>
      </c>
      <c r="I259" s="20">
        <f t="shared" si="26"/>
        <v>0</v>
      </c>
      <c r="J259" s="20">
        <f t="shared" ref="J259:L322" si="30">ABS(G259)</f>
        <v>0</v>
      </c>
      <c r="K259" s="20">
        <f t="shared" si="30"/>
        <v>0</v>
      </c>
      <c r="L259" s="20">
        <f t="shared" si="30"/>
        <v>0</v>
      </c>
    </row>
    <row r="260" spans="4:12" x14ac:dyDescent="0.35">
      <c r="D260" s="20" t="str">
        <f t="shared" si="27"/>
        <v/>
      </c>
      <c r="E260" s="21" t="str">
        <f t="shared" si="28"/>
        <v/>
      </c>
      <c r="F260" s="20" t="str">
        <f t="shared" si="29"/>
        <v/>
      </c>
      <c r="G260" s="20">
        <f t="shared" ref="G260:G323" si="31">IF(D260=$B$5+1,F260,0)</f>
        <v>0</v>
      </c>
      <c r="H260" s="20">
        <f t="shared" ref="H260:H323" si="32">IF(D259&lt;$B$5,F260*MOD(D259,2),0)</f>
        <v>0</v>
      </c>
      <c r="I260" s="20">
        <f t="shared" ref="I260:I323" si="33">IF(D259&lt;$B$5,F260*MOD(D260,2),0)</f>
        <v>0</v>
      </c>
      <c r="J260" s="20">
        <f t="shared" si="30"/>
        <v>0</v>
      </c>
      <c r="K260" s="20">
        <f t="shared" si="30"/>
        <v>0</v>
      </c>
      <c r="L260" s="20">
        <f t="shared" si="30"/>
        <v>0</v>
      </c>
    </row>
    <row r="261" spans="4:12" x14ac:dyDescent="0.35">
      <c r="D261" s="20" t="str">
        <f t="shared" si="27"/>
        <v/>
      </c>
      <c r="E261" s="21" t="str">
        <f t="shared" si="28"/>
        <v/>
      </c>
      <c r="F261" s="20" t="str">
        <f t="shared" si="29"/>
        <v/>
      </c>
      <c r="G261" s="20">
        <f t="shared" si="31"/>
        <v>0</v>
      </c>
      <c r="H261" s="20">
        <f t="shared" si="32"/>
        <v>0</v>
      </c>
      <c r="I261" s="20">
        <f t="shared" si="33"/>
        <v>0</v>
      </c>
      <c r="J261" s="20">
        <f t="shared" si="30"/>
        <v>0</v>
      </c>
      <c r="K261" s="20">
        <f t="shared" si="30"/>
        <v>0</v>
      </c>
      <c r="L261" s="20">
        <f t="shared" si="30"/>
        <v>0</v>
      </c>
    </row>
    <row r="262" spans="4:12" x14ac:dyDescent="0.35">
      <c r="D262" s="20" t="str">
        <f t="shared" si="27"/>
        <v/>
      </c>
      <c r="E262" s="21" t="str">
        <f t="shared" si="28"/>
        <v/>
      </c>
      <c r="F262" s="20" t="str">
        <f t="shared" si="29"/>
        <v/>
      </c>
      <c r="G262" s="20">
        <f t="shared" si="31"/>
        <v>0</v>
      </c>
      <c r="H262" s="20">
        <f t="shared" si="32"/>
        <v>0</v>
      </c>
      <c r="I262" s="20">
        <f t="shared" si="33"/>
        <v>0</v>
      </c>
      <c r="J262" s="20">
        <f t="shared" si="30"/>
        <v>0</v>
      </c>
      <c r="K262" s="20">
        <f t="shared" si="30"/>
        <v>0</v>
      </c>
      <c r="L262" s="20">
        <f t="shared" si="30"/>
        <v>0</v>
      </c>
    </row>
    <row r="263" spans="4:12" x14ac:dyDescent="0.35">
      <c r="D263" s="20" t="str">
        <f t="shared" si="27"/>
        <v/>
      </c>
      <c r="E263" s="21" t="str">
        <f t="shared" si="28"/>
        <v/>
      </c>
      <c r="F263" s="20" t="str">
        <f t="shared" si="29"/>
        <v/>
      </c>
      <c r="G263" s="20">
        <f t="shared" si="31"/>
        <v>0</v>
      </c>
      <c r="H263" s="20">
        <f t="shared" si="32"/>
        <v>0</v>
      </c>
      <c r="I263" s="20">
        <f t="shared" si="33"/>
        <v>0</v>
      </c>
      <c r="J263" s="20">
        <f t="shared" si="30"/>
        <v>0</v>
      </c>
      <c r="K263" s="20">
        <f t="shared" si="30"/>
        <v>0</v>
      </c>
      <c r="L263" s="20">
        <f t="shared" si="30"/>
        <v>0</v>
      </c>
    </row>
    <row r="264" spans="4:12" x14ac:dyDescent="0.35">
      <c r="D264" s="20" t="str">
        <f t="shared" si="27"/>
        <v/>
      </c>
      <c r="E264" s="21" t="str">
        <f t="shared" si="28"/>
        <v/>
      </c>
      <c r="F264" s="20" t="str">
        <f t="shared" si="29"/>
        <v/>
      </c>
      <c r="G264" s="20">
        <f t="shared" si="31"/>
        <v>0</v>
      </c>
      <c r="H264" s="20">
        <f t="shared" si="32"/>
        <v>0</v>
      </c>
      <c r="I264" s="20">
        <f t="shared" si="33"/>
        <v>0</v>
      </c>
      <c r="J264" s="20">
        <f t="shared" si="30"/>
        <v>0</v>
      </c>
      <c r="K264" s="20">
        <f t="shared" si="30"/>
        <v>0</v>
      </c>
      <c r="L264" s="20">
        <f t="shared" si="30"/>
        <v>0</v>
      </c>
    </row>
    <row r="265" spans="4:12" x14ac:dyDescent="0.35">
      <c r="D265" s="20" t="str">
        <f t="shared" si="27"/>
        <v/>
      </c>
      <c r="E265" s="21" t="str">
        <f t="shared" si="28"/>
        <v/>
      </c>
      <c r="F265" s="20" t="str">
        <f t="shared" si="29"/>
        <v/>
      </c>
      <c r="G265" s="20">
        <f t="shared" si="31"/>
        <v>0</v>
      </c>
      <c r="H265" s="20">
        <f t="shared" si="32"/>
        <v>0</v>
      </c>
      <c r="I265" s="20">
        <f t="shared" si="33"/>
        <v>0</v>
      </c>
      <c r="J265" s="20">
        <f t="shared" si="30"/>
        <v>0</v>
      </c>
      <c r="K265" s="20">
        <f t="shared" si="30"/>
        <v>0</v>
      </c>
      <c r="L265" s="20">
        <f t="shared" si="30"/>
        <v>0</v>
      </c>
    </row>
    <row r="266" spans="4:12" x14ac:dyDescent="0.35">
      <c r="D266" s="20" t="str">
        <f t="shared" si="27"/>
        <v/>
      </c>
      <c r="E266" s="21" t="str">
        <f t="shared" si="28"/>
        <v/>
      </c>
      <c r="F266" s="20" t="str">
        <f t="shared" si="29"/>
        <v/>
      </c>
      <c r="G266" s="20">
        <f t="shared" si="31"/>
        <v>0</v>
      </c>
      <c r="H266" s="20">
        <f t="shared" si="32"/>
        <v>0</v>
      </c>
      <c r="I266" s="20">
        <f t="shared" si="33"/>
        <v>0</v>
      </c>
      <c r="J266" s="20">
        <f t="shared" si="30"/>
        <v>0</v>
      </c>
      <c r="K266" s="20">
        <f t="shared" si="30"/>
        <v>0</v>
      </c>
      <c r="L266" s="20">
        <f t="shared" si="30"/>
        <v>0</v>
      </c>
    </row>
    <row r="267" spans="4:12" x14ac:dyDescent="0.35">
      <c r="D267" s="20" t="str">
        <f t="shared" si="27"/>
        <v/>
      </c>
      <c r="E267" s="21" t="str">
        <f t="shared" si="28"/>
        <v/>
      </c>
      <c r="F267" s="20" t="str">
        <f t="shared" si="29"/>
        <v/>
      </c>
      <c r="G267" s="20">
        <f t="shared" si="31"/>
        <v>0</v>
      </c>
      <c r="H267" s="20">
        <f t="shared" si="32"/>
        <v>0</v>
      </c>
      <c r="I267" s="20">
        <f t="shared" si="33"/>
        <v>0</v>
      </c>
      <c r="J267" s="20">
        <f t="shared" si="30"/>
        <v>0</v>
      </c>
      <c r="K267" s="20">
        <f t="shared" si="30"/>
        <v>0</v>
      </c>
      <c r="L267" s="20">
        <f t="shared" si="30"/>
        <v>0</v>
      </c>
    </row>
    <row r="268" spans="4:12" x14ac:dyDescent="0.35">
      <c r="D268" s="20" t="str">
        <f t="shared" si="27"/>
        <v/>
      </c>
      <c r="E268" s="21" t="str">
        <f t="shared" si="28"/>
        <v/>
      </c>
      <c r="F268" s="20" t="str">
        <f t="shared" si="29"/>
        <v/>
      </c>
      <c r="G268" s="20">
        <f t="shared" si="31"/>
        <v>0</v>
      </c>
      <c r="H268" s="20">
        <f t="shared" si="32"/>
        <v>0</v>
      </c>
      <c r="I268" s="20">
        <f t="shared" si="33"/>
        <v>0</v>
      </c>
      <c r="J268" s="20">
        <f t="shared" si="30"/>
        <v>0</v>
      </c>
      <c r="K268" s="20">
        <f t="shared" si="30"/>
        <v>0</v>
      </c>
      <c r="L268" s="20">
        <f t="shared" si="30"/>
        <v>0</v>
      </c>
    </row>
    <row r="269" spans="4:12" x14ac:dyDescent="0.35">
      <c r="D269" s="20" t="str">
        <f t="shared" si="27"/>
        <v/>
      </c>
      <c r="E269" s="21" t="str">
        <f t="shared" si="28"/>
        <v/>
      </c>
      <c r="F269" s="20" t="str">
        <f t="shared" si="29"/>
        <v/>
      </c>
      <c r="G269" s="20">
        <f t="shared" si="31"/>
        <v>0</v>
      </c>
      <c r="H269" s="20">
        <f t="shared" si="32"/>
        <v>0</v>
      </c>
      <c r="I269" s="20">
        <f t="shared" si="33"/>
        <v>0</v>
      </c>
      <c r="J269" s="20">
        <f t="shared" si="30"/>
        <v>0</v>
      </c>
      <c r="K269" s="20">
        <f t="shared" si="30"/>
        <v>0</v>
      </c>
      <c r="L269" s="20">
        <f t="shared" si="30"/>
        <v>0</v>
      </c>
    </row>
    <row r="270" spans="4:12" x14ac:dyDescent="0.35">
      <c r="D270" s="20" t="str">
        <f t="shared" si="27"/>
        <v/>
      </c>
      <c r="E270" s="21" t="str">
        <f t="shared" si="28"/>
        <v/>
      </c>
      <c r="F270" s="20" t="str">
        <f t="shared" si="29"/>
        <v/>
      </c>
      <c r="G270" s="20">
        <f t="shared" si="31"/>
        <v>0</v>
      </c>
      <c r="H270" s="20">
        <f t="shared" si="32"/>
        <v>0</v>
      </c>
      <c r="I270" s="20">
        <f t="shared" si="33"/>
        <v>0</v>
      </c>
      <c r="J270" s="20">
        <f t="shared" si="30"/>
        <v>0</v>
      </c>
      <c r="K270" s="20">
        <f t="shared" si="30"/>
        <v>0</v>
      </c>
      <c r="L270" s="20">
        <f t="shared" si="30"/>
        <v>0</v>
      </c>
    </row>
    <row r="271" spans="4:12" x14ac:dyDescent="0.35">
      <c r="D271" s="20" t="str">
        <f t="shared" si="27"/>
        <v/>
      </c>
      <c r="E271" s="21" t="str">
        <f t="shared" si="28"/>
        <v/>
      </c>
      <c r="F271" s="20" t="str">
        <f t="shared" si="29"/>
        <v/>
      </c>
      <c r="G271" s="20">
        <f t="shared" si="31"/>
        <v>0</v>
      </c>
      <c r="H271" s="20">
        <f t="shared" si="32"/>
        <v>0</v>
      </c>
      <c r="I271" s="20">
        <f t="shared" si="33"/>
        <v>0</v>
      </c>
      <c r="J271" s="20">
        <f t="shared" si="30"/>
        <v>0</v>
      </c>
      <c r="K271" s="20">
        <f t="shared" si="30"/>
        <v>0</v>
      </c>
      <c r="L271" s="20">
        <f t="shared" si="30"/>
        <v>0</v>
      </c>
    </row>
    <row r="272" spans="4:12" x14ac:dyDescent="0.35">
      <c r="D272" s="20" t="str">
        <f t="shared" si="27"/>
        <v/>
      </c>
      <c r="E272" s="21" t="str">
        <f t="shared" si="28"/>
        <v/>
      </c>
      <c r="F272" s="20" t="str">
        <f t="shared" si="29"/>
        <v/>
      </c>
      <c r="G272" s="20">
        <f t="shared" si="31"/>
        <v>0</v>
      </c>
      <c r="H272" s="20">
        <f t="shared" si="32"/>
        <v>0</v>
      </c>
      <c r="I272" s="20">
        <f t="shared" si="33"/>
        <v>0</v>
      </c>
      <c r="J272" s="20">
        <f t="shared" si="30"/>
        <v>0</v>
      </c>
      <c r="K272" s="20">
        <f t="shared" si="30"/>
        <v>0</v>
      </c>
      <c r="L272" s="20">
        <f t="shared" si="30"/>
        <v>0</v>
      </c>
    </row>
    <row r="273" spans="4:12" x14ac:dyDescent="0.35">
      <c r="D273" s="20" t="str">
        <f t="shared" si="27"/>
        <v/>
      </c>
      <c r="E273" s="21" t="str">
        <f t="shared" si="28"/>
        <v/>
      </c>
      <c r="F273" s="20" t="str">
        <f t="shared" si="29"/>
        <v/>
      </c>
      <c r="G273" s="20">
        <f t="shared" si="31"/>
        <v>0</v>
      </c>
      <c r="H273" s="20">
        <f t="shared" si="32"/>
        <v>0</v>
      </c>
      <c r="I273" s="20">
        <f t="shared" si="33"/>
        <v>0</v>
      </c>
      <c r="J273" s="20">
        <f t="shared" si="30"/>
        <v>0</v>
      </c>
      <c r="K273" s="20">
        <f t="shared" si="30"/>
        <v>0</v>
      </c>
      <c r="L273" s="20">
        <f t="shared" si="30"/>
        <v>0</v>
      </c>
    </row>
    <row r="274" spans="4:12" x14ac:dyDescent="0.35">
      <c r="D274" s="20" t="str">
        <f t="shared" si="27"/>
        <v/>
      </c>
      <c r="E274" s="21" t="str">
        <f t="shared" si="28"/>
        <v/>
      </c>
      <c r="F274" s="20" t="str">
        <f t="shared" si="29"/>
        <v/>
      </c>
      <c r="G274" s="20">
        <f t="shared" si="31"/>
        <v>0</v>
      </c>
      <c r="H274" s="20">
        <f t="shared" si="32"/>
        <v>0</v>
      </c>
      <c r="I274" s="20">
        <f t="shared" si="33"/>
        <v>0</v>
      </c>
      <c r="J274" s="20">
        <f t="shared" si="30"/>
        <v>0</v>
      </c>
      <c r="K274" s="20">
        <f t="shared" si="30"/>
        <v>0</v>
      </c>
      <c r="L274" s="20">
        <f t="shared" si="30"/>
        <v>0</v>
      </c>
    </row>
    <row r="275" spans="4:12" x14ac:dyDescent="0.35">
      <c r="D275" s="20" t="str">
        <f t="shared" si="27"/>
        <v/>
      </c>
      <c r="E275" s="21" t="str">
        <f t="shared" si="28"/>
        <v/>
      </c>
      <c r="F275" s="20" t="str">
        <f t="shared" si="29"/>
        <v/>
      </c>
      <c r="G275" s="20">
        <f t="shared" si="31"/>
        <v>0</v>
      </c>
      <c r="H275" s="20">
        <f t="shared" si="32"/>
        <v>0</v>
      </c>
      <c r="I275" s="20">
        <f t="shared" si="33"/>
        <v>0</v>
      </c>
      <c r="J275" s="20">
        <f t="shared" si="30"/>
        <v>0</v>
      </c>
      <c r="K275" s="20">
        <f t="shared" si="30"/>
        <v>0</v>
      </c>
      <c r="L275" s="20">
        <f t="shared" si="30"/>
        <v>0</v>
      </c>
    </row>
    <row r="276" spans="4:12" x14ac:dyDescent="0.35">
      <c r="D276" s="20" t="str">
        <f t="shared" si="27"/>
        <v/>
      </c>
      <c r="E276" s="21" t="str">
        <f t="shared" si="28"/>
        <v/>
      </c>
      <c r="F276" s="20" t="str">
        <f t="shared" si="29"/>
        <v/>
      </c>
      <c r="G276" s="20">
        <f t="shared" si="31"/>
        <v>0</v>
      </c>
      <c r="H276" s="20">
        <f t="shared" si="32"/>
        <v>0</v>
      </c>
      <c r="I276" s="20">
        <f t="shared" si="33"/>
        <v>0</v>
      </c>
      <c r="J276" s="20">
        <f t="shared" si="30"/>
        <v>0</v>
      </c>
      <c r="K276" s="20">
        <f t="shared" si="30"/>
        <v>0</v>
      </c>
      <c r="L276" s="20">
        <f t="shared" si="30"/>
        <v>0</v>
      </c>
    </row>
    <row r="277" spans="4:12" x14ac:dyDescent="0.35">
      <c r="D277" s="20" t="str">
        <f t="shared" si="27"/>
        <v/>
      </c>
      <c r="E277" s="21" t="str">
        <f t="shared" si="28"/>
        <v/>
      </c>
      <c r="F277" s="20" t="str">
        <f t="shared" si="29"/>
        <v/>
      </c>
      <c r="G277" s="20">
        <f t="shared" si="31"/>
        <v>0</v>
      </c>
      <c r="H277" s="20">
        <f t="shared" si="32"/>
        <v>0</v>
      </c>
      <c r="I277" s="20">
        <f t="shared" si="33"/>
        <v>0</v>
      </c>
      <c r="J277" s="20">
        <f t="shared" si="30"/>
        <v>0</v>
      </c>
      <c r="K277" s="20">
        <f t="shared" si="30"/>
        <v>0</v>
      </c>
      <c r="L277" s="20">
        <f t="shared" si="30"/>
        <v>0</v>
      </c>
    </row>
    <row r="278" spans="4:12" x14ac:dyDescent="0.35">
      <c r="D278" s="20" t="str">
        <f t="shared" si="27"/>
        <v/>
      </c>
      <c r="E278" s="21" t="str">
        <f t="shared" si="28"/>
        <v/>
      </c>
      <c r="F278" s="20" t="str">
        <f t="shared" si="29"/>
        <v/>
      </c>
      <c r="G278" s="20">
        <f t="shared" si="31"/>
        <v>0</v>
      </c>
      <c r="H278" s="20">
        <f t="shared" si="32"/>
        <v>0</v>
      </c>
      <c r="I278" s="20">
        <f t="shared" si="33"/>
        <v>0</v>
      </c>
      <c r="J278" s="20">
        <f t="shared" si="30"/>
        <v>0</v>
      </c>
      <c r="K278" s="20">
        <f t="shared" si="30"/>
        <v>0</v>
      </c>
      <c r="L278" s="20">
        <f t="shared" si="30"/>
        <v>0</v>
      </c>
    </row>
    <row r="279" spans="4:12" x14ac:dyDescent="0.35">
      <c r="D279" s="20" t="str">
        <f t="shared" ref="D279:D342" si="34">IF(D278&lt;=$B$5,D278+1,"")</f>
        <v/>
      </c>
      <c r="E279" s="21" t="str">
        <f t="shared" ref="E279:E342" si="35">IF(D278&lt;=$B$5,E278+$B$6,"")</f>
        <v/>
      </c>
      <c r="F279" s="20" t="str">
        <f t="shared" ref="F279:F342" si="36">IF(D278&lt;=$B$5,(20*COS((5/2)*E279^2+1))/(E279^2+2),"")</f>
        <v/>
      </c>
      <c r="G279" s="20">
        <f t="shared" si="31"/>
        <v>0</v>
      </c>
      <c r="H279" s="20">
        <f t="shared" si="32"/>
        <v>0</v>
      </c>
      <c r="I279" s="20">
        <f t="shared" si="33"/>
        <v>0</v>
      </c>
      <c r="J279" s="20">
        <f t="shared" si="30"/>
        <v>0</v>
      </c>
      <c r="K279" s="20">
        <f t="shared" si="30"/>
        <v>0</v>
      </c>
      <c r="L279" s="20">
        <f t="shared" si="30"/>
        <v>0</v>
      </c>
    </row>
    <row r="280" spans="4:12" x14ac:dyDescent="0.35">
      <c r="D280" s="20" t="str">
        <f t="shared" si="34"/>
        <v/>
      </c>
      <c r="E280" s="21" t="str">
        <f t="shared" si="35"/>
        <v/>
      </c>
      <c r="F280" s="20" t="str">
        <f t="shared" si="36"/>
        <v/>
      </c>
      <c r="G280" s="20">
        <f t="shared" si="31"/>
        <v>0</v>
      </c>
      <c r="H280" s="20">
        <f t="shared" si="32"/>
        <v>0</v>
      </c>
      <c r="I280" s="20">
        <f t="shared" si="33"/>
        <v>0</v>
      </c>
      <c r="J280" s="20">
        <f t="shared" si="30"/>
        <v>0</v>
      </c>
      <c r="K280" s="20">
        <f t="shared" si="30"/>
        <v>0</v>
      </c>
      <c r="L280" s="20">
        <f t="shared" si="30"/>
        <v>0</v>
      </c>
    </row>
    <row r="281" spans="4:12" x14ac:dyDescent="0.35">
      <c r="D281" s="20" t="str">
        <f t="shared" si="34"/>
        <v/>
      </c>
      <c r="E281" s="21" t="str">
        <f t="shared" si="35"/>
        <v/>
      </c>
      <c r="F281" s="20" t="str">
        <f t="shared" si="36"/>
        <v/>
      </c>
      <c r="G281" s="20">
        <f t="shared" si="31"/>
        <v>0</v>
      </c>
      <c r="H281" s="20">
        <f t="shared" si="32"/>
        <v>0</v>
      </c>
      <c r="I281" s="20">
        <f t="shared" si="33"/>
        <v>0</v>
      </c>
      <c r="J281" s="20">
        <f t="shared" si="30"/>
        <v>0</v>
      </c>
      <c r="K281" s="20">
        <f t="shared" si="30"/>
        <v>0</v>
      </c>
      <c r="L281" s="20">
        <f t="shared" si="30"/>
        <v>0</v>
      </c>
    </row>
    <row r="282" spans="4:12" x14ac:dyDescent="0.35">
      <c r="D282" s="20" t="str">
        <f t="shared" si="34"/>
        <v/>
      </c>
      <c r="E282" s="21" t="str">
        <f t="shared" si="35"/>
        <v/>
      </c>
      <c r="F282" s="20" t="str">
        <f t="shared" si="36"/>
        <v/>
      </c>
      <c r="G282" s="20">
        <f t="shared" si="31"/>
        <v>0</v>
      </c>
      <c r="H282" s="20">
        <f t="shared" si="32"/>
        <v>0</v>
      </c>
      <c r="I282" s="20">
        <f t="shared" si="33"/>
        <v>0</v>
      </c>
      <c r="J282" s="20">
        <f t="shared" si="30"/>
        <v>0</v>
      </c>
      <c r="K282" s="20">
        <f t="shared" si="30"/>
        <v>0</v>
      </c>
      <c r="L282" s="20">
        <f t="shared" si="30"/>
        <v>0</v>
      </c>
    </row>
    <row r="283" spans="4:12" x14ac:dyDescent="0.35">
      <c r="D283" s="20" t="str">
        <f t="shared" si="34"/>
        <v/>
      </c>
      <c r="E283" s="21" t="str">
        <f t="shared" si="35"/>
        <v/>
      </c>
      <c r="F283" s="20" t="str">
        <f t="shared" si="36"/>
        <v/>
      </c>
      <c r="G283" s="20">
        <f t="shared" si="31"/>
        <v>0</v>
      </c>
      <c r="H283" s="20">
        <f t="shared" si="32"/>
        <v>0</v>
      </c>
      <c r="I283" s="20">
        <f t="shared" si="33"/>
        <v>0</v>
      </c>
      <c r="J283" s="20">
        <f t="shared" si="30"/>
        <v>0</v>
      </c>
      <c r="K283" s="20">
        <f t="shared" si="30"/>
        <v>0</v>
      </c>
      <c r="L283" s="20">
        <f t="shared" si="30"/>
        <v>0</v>
      </c>
    </row>
    <row r="284" spans="4:12" x14ac:dyDescent="0.35">
      <c r="D284" s="20" t="str">
        <f t="shared" si="34"/>
        <v/>
      </c>
      <c r="E284" s="21" t="str">
        <f t="shared" si="35"/>
        <v/>
      </c>
      <c r="F284" s="20" t="str">
        <f t="shared" si="36"/>
        <v/>
      </c>
      <c r="G284" s="20">
        <f t="shared" si="31"/>
        <v>0</v>
      </c>
      <c r="H284" s="20">
        <f t="shared" si="32"/>
        <v>0</v>
      </c>
      <c r="I284" s="20">
        <f t="shared" si="33"/>
        <v>0</v>
      </c>
      <c r="J284" s="20">
        <f t="shared" si="30"/>
        <v>0</v>
      </c>
      <c r="K284" s="20">
        <f t="shared" si="30"/>
        <v>0</v>
      </c>
      <c r="L284" s="20">
        <f t="shared" si="30"/>
        <v>0</v>
      </c>
    </row>
    <row r="285" spans="4:12" x14ac:dyDescent="0.35">
      <c r="D285" s="20" t="str">
        <f t="shared" si="34"/>
        <v/>
      </c>
      <c r="E285" s="21" t="str">
        <f t="shared" si="35"/>
        <v/>
      </c>
      <c r="F285" s="20" t="str">
        <f t="shared" si="36"/>
        <v/>
      </c>
      <c r="G285" s="20">
        <f t="shared" si="31"/>
        <v>0</v>
      </c>
      <c r="H285" s="20">
        <f t="shared" si="32"/>
        <v>0</v>
      </c>
      <c r="I285" s="20">
        <f t="shared" si="33"/>
        <v>0</v>
      </c>
      <c r="J285" s="20">
        <f t="shared" si="30"/>
        <v>0</v>
      </c>
      <c r="K285" s="20">
        <f t="shared" si="30"/>
        <v>0</v>
      </c>
      <c r="L285" s="20">
        <f t="shared" si="30"/>
        <v>0</v>
      </c>
    </row>
    <row r="286" spans="4:12" x14ac:dyDescent="0.35">
      <c r="D286" s="20" t="str">
        <f t="shared" si="34"/>
        <v/>
      </c>
      <c r="E286" s="21" t="str">
        <f t="shared" si="35"/>
        <v/>
      </c>
      <c r="F286" s="20" t="str">
        <f t="shared" si="36"/>
        <v/>
      </c>
      <c r="G286" s="20">
        <f t="shared" si="31"/>
        <v>0</v>
      </c>
      <c r="H286" s="20">
        <f t="shared" si="32"/>
        <v>0</v>
      </c>
      <c r="I286" s="20">
        <f t="shared" si="33"/>
        <v>0</v>
      </c>
      <c r="J286" s="20">
        <f t="shared" si="30"/>
        <v>0</v>
      </c>
      <c r="K286" s="20">
        <f t="shared" si="30"/>
        <v>0</v>
      </c>
      <c r="L286" s="20">
        <f t="shared" si="30"/>
        <v>0</v>
      </c>
    </row>
    <row r="287" spans="4:12" x14ac:dyDescent="0.35">
      <c r="D287" s="20" t="str">
        <f t="shared" si="34"/>
        <v/>
      </c>
      <c r="E287" s="21" t="str">
        <f t="shared" si="35"/>
        <v/>
      </c>
      <c r="F287" s="20" t="str">
        <f t="shared" si="36"/>
        <v/>
      </c>
      <c r="G287" s="20">
        <f t="shared" si="31"/>
        <v>0</v>
      </c>
      <c r="H287" s="20">
        <f t="shared" si="32"/>
        <v>0</v>
      </c>
      <c r="I287" s="20">
        <f t="shared" si="33"/>
        <v>0</v>
      </c>
      <c r="J287" s="20">
        <f t="shared" si="30"/>
        <v>0</v>
      </c>
      <c r="K287" s="20">
        <f t="shared" si="30"/>
        <v>0</v>
      </c>
      <c r="L287" s="20">
        <f t="shared" si="30"/>
        <v>0</v>
      </c>
    </row>
    <row r="288" spans="4:12" x14ac:dyDescent="0.35">
      <c r="D288" s="20" t="str">
        <f t="shared" si="34"/>
        <v/>
      </c>
      <c r="E288" s="21" t="str">
        <f t="shared" si="35"/>
        <v/>
      </c>
      <c r="F288" s="20" t="str">
        <f t="shared" si="36"/>
        <v/>
      </c>
      <c r="G288" s="20">
        <f t="shared" si="31"/>
        <v>0</v>
      </c>
      <c r="H288" s="20">
        <f t="shared" si="32"/>
        <v>0</v>
      </c>
      <c r="I288" s="20">
        <f t="shared" si="33"/>
        <v>0</v>
      </c>
      <c r="J288" s="20">
        <f t="shared" si="30"/>
        <v>0</v>
      </c>
      <c r="K288" s="20">
        <f t="shared" si="30"/>
        <v>0</v>
      </c>
      <c r="L288" s="20">
        <f t="shared" si="30"/>
        <v>0</v>
      </c>
    </row>
    <row r="289" spans="4:12" x14ac:dyDescent="0.35">
      <c r="D289" s="20" t="str">
        <f t="shared" si="34"/>
        <v/>
      </c>
      <c r="E289" s="21" t="str">
        <f t="shared" si="35"/>
        <v/>
      </c>
      <c r="F289" s="20" t="str">
        <f t="shared" si="36"/>
        <v/>
      </c>
      <c r="G289" s="20">
        <f t="shared" si="31"/>
        <v>0</v>
      </c>
      <c r="H289" s="20">
        <f t="shared" si="32"/>
        <v>0</v>
      </c>
      <c r="I289" s="20">
        <f t="shared" si="33"/>
        <v>0</v>
      </c>
      <c r="J289" s="20">
        <f t="shared" si="30"/>
        <v>0</v>
      </c>
      <c r="K289" s="20">
        <f t="shared" si="30"/>
        <v>0</v>
      </c>
      <c r="L289" s="20">
        <f t="shared" si="30"/>
        <v>0</v>
      </c>
    </row>
    <row r="290" spans="4:12" x14ac:dyDescent="0.35">
      <c r="D290" s="20" t="str">
        <f t="shared" si="34"/>
        <v/>
      </c>
      <c r="E290" s="21" t="str">
        <f t="shared" si="35"/>
        <v/>
      </c>
      <c r="F290" s="20" t="str">
        <f t="shared" si="36"/>
        <v/>
      </c>
      <c r="G290" s="20">
        <f t="shared" si="31"/>
        <v>0</v>
      </c>
      <c r="H290" s="20">
        <f t="shared" si="32"/>
        <v>0</v>
      </c>
      <c r="I290" s="20">
        <f t="shared" si="33"/>
        <v>0</v>
      </c>
      <c r="J290" s="20">
        <f t="shared" si="30"/>
        <v>0</v>
      </c>
      <c r="K290" s="20">
        <f t="shared" si="30"/>
        <v>0</v>
      </c>
      <c r="L290" s="20">
        <f t="shared" si="30"/>
        <v>0</v>
      </c>
    </row>
    <row r="291" spans="4:12" x14ac:dyDescent="0.35">
      <c r="D291" s="20" t="str">
        <f t="shared" si="34"/>
        <v/>
      </c>
      <c r="E291" s="21" t="str">
        <f t="shared" si="35"/>
        <v/>
      </c>
      <c r="F291" s="20" t="str">
        <f t="shared" si="36"/>
        <v/>
      </c>
      <c r="G291" s="20">
        <f t="shared" si="31"/>
        <v>0</v>
      </c>
      <c r="H291" s="20">
        <f t="shared" si="32"/>
        <v>0</v>
      </c>
      <c r="I291" s="20">
        <f t="shared" si="33"/>
        <v>0</v>
      </c>
      <c r="J291" s="20">
        <f t="shared" si="30"/>
        <v>0</v>
      </c>
      <c r="K291" s="20">
        <f t="shared" si="30"/>
        <v>0</v>
      </c>
      <c r="L291" s="20">
        <f t="shared" si="30"/>
        <v>0</v>
      </c>
    </row>
    <row r="292" spans="4:12" x14ac:dyDescent="0.35">
      <c r="D292" s="20" t="str">
        <f t="shared" si="34"/>
        <v/>
      </c>
      <c r="E292" s="21" t="str">
        <f t="shared" si="35"/>
        <v/>
      </c>
      <c r="F292" s="20" t="str">
        <f t="shared" si="36"/>
        <v/>
      </c>
      <c r="G292" s="20">
        <f t="shared" si="31"/>
        <v>0</v>
      </c>
      <c r="H292" s="20">
        <f t="shared" si="32"/>
        <v>0</v>
      </c>
      <c r="I292" s="20">
        <f t="shared" si="33"/>
        <v>0</v>
      </c>
      <c r="J292" s="20">
        <f t="shared" si="30"/>
        <v>0</v>
      </c>
      <c r="K292" s="20">
        <f t="shared" si="30"/>
        <v>0</v>
      </c>
      <c r="L292" s="20">
        <f t="shared" si="30"/>
        <v>0</v>
      </c>
    </row>
    <row r="293" spans="4:12" x14ac:dyDescent="0.35">
      <c r="D293" s="20" t="str">
        <f t="shared" si="34"/>
        <v/>
      </c>
      <c r="E293" s="21" t="str">
        <f t="shared" si="35"/>
        <v/>
      </c>
      <c r="F293" s="20" t="str">
        <f t="shared" si="36"/>
        <v/>
      </c>
      <c r="G293" s="20">
        <f t="shared" si="31"/>
        <v>0</v>
      </c>
      <c r="H293" s="20">
        <f t="shared" si="32"/>
        <v>0</v>
      </c>
      <c r="I293" s="20">
        <f t="shared" si="33"/>
        <v>0</v>
      </c>
      <c r="J293" s="20">
        <f t="shared" si="30"/>
        <v>0</v>
      </c>
      <c r="K293" s="20">
        <f t="shared" si="30"/>
        <v>0</v>
      </c>
      <c r="L293" s="20">
        <f t="shared" si="30"/>
        <v>0</v>
      </c>
    </row>
    <row r="294" spans="4:12" x14ac:dyDescent="0.35">
      <c r="D294" s="20" t="str">
        <f t="shared" si="34"/>
        <v/>
      </c>
      <c r="E294" s="21" t="str">
        <f t="shared" si="35"/>
        <v/>
      </c>
      <c r="F294" s="20" t="str">
        <f t="shared" si="36"/>
        <v/>
      </c>
      <c r="G294" s="20">
        <f t="shared" si="31"/>
        <v>0</v>
      </c>
      <c r="H294" s="20">
        <f t="shared" si="32"/>
        <v>0</v>
      </c>
      <c r="I294" s="20">
        <f t="shared" si="33"/>
        <v>0</v>
      </c>
      <c r="J294" s="20">
        <f t="shared" si="30"/>
        <v>0</v>
      </c>
      <c r="K294" s="20">
        <f t="shared" si="30"/>
        <v>0</v>
      </c>
      <c r="L294" s="20">
        <f t="shared" si="30"/>
        <v>0</v>
      </c>
    </row>
    <row r="295" spans="4:12" x14ac:dyDescent="0.35">
      <c r="D295" s="20" t="str">
        <f t="shared" si="34"/>
        <v/>
      </c>
      <c r="E295" s="21" t="str">
        <f t="shared" si="35"/>
        <v/>
      </c>
      <c r="F295" s="20" t="str">
        <f t="shared" si="36"/>
        <v/>
      </c>
      <c r="G295" s="20">
        <f t="shared" si="31"/>
        <v>0</v>
      </c>
      <c r="H295" s="20">
        <f t="shared" si="32"/>
        <v>0</v>
      </c>
      <c r="I295" s="20">
        <f t="shared" si="33"/>
        <v>0</v>
      </c>
      <c r="J295" s="20">
        <f t="shared" si="30"/>
        <v>0</v>
      </c>
      <c r="K295" s="20">
        <f t="shared" si="30"/>
        <v>0</v>
      </c>
      <c r="L295" s="20">
        <f t="shared" si="30"/>
        <v>0</v>
      </c>
    </row>
    <row r="296" spans="4:12" x14ac:dyDescent="0.35">
      <c r="D296" s="20" t="str">
        <f t="shared" si="34"/>
        <v/>
      </c>
      <c r="E296" s="21" t="str">
        <f t="shared" si="35"/>
        <v/>
      </c>
      <c r="F296" s="20" t="str">
        <f t="shared" si="36"/>
        <v/>
      </c>
      <c r="G296" s="20">
        <f t="shared" si="31"/>
        <v>0</v>
      </c>
      <c r="H296" s="20">
        <f t="shared" si="32"/>
        <v>0</v>
      </c>
      <c r="I296" s="20">
        <f t="shared" si="33"/>
        <v>0</v>
      </c>
      <c r="J296" s="20">
        <f t="shared" si="30"/>
        <v>0</v>
      </c>
      <c r="K296" s="20">
        <f t="shared" si="30"/>
        <v>0</v>
      </c>
      <c r="L296" s="20">
        <f t="shared" si="30"/>
        <v>0</v>
      </c>
    </row>
    <row r="297" spans="4:12" x14ac:dyDescent="0.35">
      <c r="D297" s="20" t="str">
        <f t="shared" si="34"/>
        <v/>
      </c>
      <c r="E297" s="21" t="str">
        <f t="shared" si="35"/>
        <v/>
      </c>
      <c r="F297" s="20" t="str">
        <f t="shared" si="36"/>
        <v/>
      </c>
      <c r="G297" s="20">
        <f t="shared" si="31"/>
        <v>0</v>
      </c>
      <c r="H297" s="20">
        <f t="shared" si="32"/>
        <v>0</v>
      </c>
      <c r="I297" s="20">
        <f t="shared" si="33"/>
        <v>0</v>
      </c>
      <c r="J297" s="20">
        <f t="shared" si="30"/>
        <v>0</v>
      </c>
      <c r="K297" s="20">
        <f t="shared" si="30"/>
        <v>0</v>
      </c>
      <c r="L297" s="20">
        <f t="shared" si="30"/>
        <v>0</v>
      </c>
    </row>
    <row r="298" spans="4:12" x14ac:dyDescent="0.35">
      <c r="D298" s="20" t="str">
        <f t="shared" si="34"/>
        <v/>
      </c>
      <c r="E298" s="21" t="str">
        <f t="shared" si="35"/>
        <v/>
      </c>
      <c r="F298" s="20" t="str">
        <f t="shared" si="36"/>
        <v/>
      </c>
      <c r="G298" s="20">
        <f t="shared" si="31"/>
        <v>0</v>
      </c>
      <c r="H298" s="20">
        <f t="shared" si="32"/>
        <v>0</v>
      </c>
      <c r="I298" s="20">
        <f t="shared" si="33"/>
        <v>0</v>
      </c>
      <c r="J298" s="20">
        <f t="shared" si="30"/>
        <v>0</v>
      </c>
      <c r="K298" s="20">
        <f t="shared" si="30"/>
        <v>0</v>
      </c>
      <c r="L298" s="20">
        <f t="shared" si="30"/>
        <v>0</v>
      </c>
    </row>
    <row r="299" spans="4:12" x14ac:dyDescent="0.35">
      <c r="D299" s="20" t="str">
        <f t="shared" si="34"/>
        <v/>
      </c>
      <c r="E299" s="21" t="str">
        <f t="shared" si="35"/>
        <v/>
      </c>
      <c r="F299" s="20" t="str">
        <f t="shared" si="36"/>
        <v/>
      </c>
      <c r="G299" s="20">
        <f t="shared" si="31"/>
        <v>0</v>
      </c>
      <c r="H299" s="20">
        <f t="shared" si="32"/>
        <v>0</v>
      </c>
      <c r="I299" s="20">
        <f t="shared" si="33"/>
        <v>0</v>
      </c>
      <c r="J299" s="20">
        <f t="shared" si="30"/>
        <v>0</v>
      </c>
      <c r="K299" s="20">
        <f t="shared" si="30"/>
        <v>0</v>
      </c>
      <c r="L299" s="20">
        <f t="shared" si="30"/>
        <v>0</v>
      </c>
    </row>
    <row r="300" spans="4:12" x14ac:dyDescent="0.35">
      <c r="D300" s="20" t="str">
        <f t="shared" si="34"/>
        <v/>
      </c>
      <c r="E300" s="21" t="str">
        <f t="shared" si="35"/>
        <v/>
      </c>
      <c r="F300" s="20" t="str">
        <f t="shared" si="36"/>
        <v/>
      </c>
      <c r="G300" s="20">
        <f t="shared" si="31"/>
        <v>0</v>
      </c>
      <c r="H300" s="20">
        <f t="shared" si="32"/>
        <v>0</v>
      </c>
      <c r="I300" s="20">
        <f t="shared" si="33"/>
        <v>0</v>
      </c>
      <c r="J300" s="20">
        <f t="shared" si="30"/>
        <v>0</v>
      </c>
      <c r="K300" s="20">
        <f t="shared" si="30"/>
        <v>0</v>
      </c>
      <c r="L300" s="20">
        <f t="shared" si="30"/>
        <v>0</v>
      </c>
    </row>
    <row r="301" spans="4:12" x14ac:dyDescent="0.35">
      <c r="D301" s="20" t="str">
        <f t="shared" si="34"/>
        <v/>
      </c>
      <c r="E301" s="21" t="str">
        <f t="shared" si="35"/>
        <v/>
      </c>
      <c r="F301" s="20" t="str">
        <f t="shared" si="36"/>
        <v/>
      </c>
      <c r="G301" s="20">
        <f t="shared" si="31"/>
        <v>0</v>
      </c>
      <c r="H301" s="20">
        <f t="shared" si="32"/>
        <v>0</v>
      </c>
      <c r="I301" s="20">
        <f t="shared" si="33"/>
        <v>0</v>
      </c>
      <c r="J301" s="20">
        <f t="shared" si="30"/>
        <v>0</v>
      </c>
      <c r="K301" s="20">
        <f t="shared" si="30"/>
        <v>0</v>
      </c>
      <c r="L301" s="20">
        <f t="shared" si="30"/>
        <v>0</v>
      </c>
    </row>
    <row r="302" spans="4:12" x14ac:dyDescent="0.35">
      <c r="D302" s="20" t="str">
        <f t="shared" si="34"/>
        <v/>
      </c>
      <c r="E302" s="21" t="str">
        <f t="shared" si="35"/>
        <v/>
      </c>
      <c r="F302" s="20" t="str">
        <f t="shared" si="36"/>
        <v/>
      </c>
      <c r="G302" s="20">
        <f t="shared" si="31"/>
        <v>0</v>
      </c>
      <c r="H302" s="20">
        <f t="shared" si="32"/>
        <v>0</v>
      </c>
      <c r="I302" s="20">
        <f t="shared" si="33"/>
        <v>0</v>
      </c>
      <c r="J302" s="20">
        <f t="shared" si="30"/>
        <v>0</v>
      </c>
      <c r="K302" s="20">
        <f t="shared" si="30"/>
        <v>0</v>
      </c>
      <c r="L302" s="20">
        <f t="shared" si="30"/>
        <v>0</v>
      </c>
    </row>
    <row r="303" spans="4:12" x14ac:dyDescent="0.35">
      <c r="D303" s="20" t="str">
        <f t="shared" si="34"/>
        <v/>
      </c>
      <c r="E303" s="21" t="str">
        <f t="shared" si="35"/>
        <v/>
      </c>
      <c r="F303" s="20" t="str">
        <f t="shared" si="36"/>
        <v/>
      </c>
      <c r="G303" s="20">
        <f t="shared" si="31"/>
        <v>0</v>
      </c>
      <c r="H303" s="20">
        <f t="shared" si="32"/>
        <v>0</v>
      </c>
      <c r="I303" s="20">
        <f t="shared" si="33"/>
        <v>0</v>
      </c>
      <c r="J303" s="20">
        <f t="shared" si="30"/>
        <v>0</v>
      </c>
      <c r="K303" s="20">
        <f t="shared" si="30"/>
        <v>0</v>
      </c>
      <c r="L303" s="20">
        <f t="shared" si="30"/>
        <v>0</v>
      </c>
    </row>
    <row r="304" spans="4:12" x14ac:dyDescent="0.35">
      <c r="D304" s="20" t="str">
        <f t="shared" si="34"/>
        <v/>
      </c>
      <c r="E304" s="21" t="str">
        <f t="shared" si="35"/>
        <v/>
      </c>
      <c r="F304" s="20" t="str">
        <f t="shared" si="36"/>
        <v/>
      </c>
      <c r="G304" s="20">
        <f t="shared" si="31"/>
        <v>0</v>
      </c>
      <c r="H304" s="20">
        <f t="shared" si="32"/>
        <v>0</v>
      </c>
      <c r="I304" s="20">
        <f t="shared" si="33"/>
        <v>0</v>
      </c>
      <c r="J304" s="20">
        <f t="shared" si="30"/>
        <v>0</v>
      </c>
      <c r="K304" s="20">
        <f t="shared" si="30"/>
        <v>0</v>
      </c>
      <c r="L304" s="20">
        <f t="shared" si="30"/>
        <v>0</v>
      </c>
    </row>
    <row r="305" spans="4:12" x14ac:dyDescent="0.35">
      <c r="D305" s="20" t="str">
        <f t="shared" si="34"/>
        <v/>
      </c>
      <c r="E305" s="21" t="str">
        <f t="shared" si="35"/>
        <v/>
      </c>
      <c r="F305" s="20" t="str">
        <f t="shared" si="36"/>
        <v/>
      </c>
      <c r="G305" s="20">
        <f t="shared" si="31"/>
        <v>0</v>
      </c>
      <c r="H305" s="20">
        <f t="shared" si="32"/>
        <v>0</v>
      </c>
      <c r="I305" s="20">
        <f t="shared" si="33"/>
        <v>0</v>
      </c>
      <c r="J305" s="20">
        <f t="shared" si="30"/>
        <v>0</v>
      </c>
      <c r="K305" s="20">
        <f t="shared" si="30"/>
        <v>0</v>
      </c>
      <c r="L305" s="20">
        <f t="shared" si="30"/>
        <v>0</v>
      </c>
    </row>
    <row r="306" spans="4:12" x14ac:dyDescent="0.35">
      <c r="D306" s="20" t="str">
        <f t="shared" si="34"/>
        <v/>
      </c>
      <c r="E306" s="21" t="str">
        <f t="shared" si="35"/>
        <v/>
      </c>
      <c r="F306" s="20" t="str">
        <f t="shared" si="36"/>
        <v/>
      </c>
      <c r="G306" s="20">
        <f t="shared" si="31"/>
        <v>0</v>
      </c>
      <c r="H306" s="20">
        <f t="shared" si="32"/>
        <v>0</v>
      </c>
      <c r="I306" s="20">
        <f t="shared" si="33"/>
        <v>0</v>
      </c>
      <c r="J306" s="20">
        <f t="shared" si="30"/>
        <v>0</v>
      </c>
      <c r="K306" s="20">
        <f t="shared" si="30"/>
        <v>0</v>
      </c>
      <c r="L306" s="20">
        <f t="shared" si="30"/>
        <v>0</v>
      </c>
    </row>
    <row r="307" spans="4:12" x14ac:dyDescent="0.35">
      <c r="D307" s="20" t="str">
        <f t="shared" si="34"/>
        <v/>
      </c>
      <c r="E307" s="21" t="str">
        <f t="shared" si="35"/>
        <v/>
      </c>
      <c r="F307" s="20" t="str">
        <f t="shared" si="36"/>
        <v/>
      </c>
      <c r="G307" s="20">
        <f t="shared" si="31"/>
        <v>0</v>
      </c>
      <c r="H307" s="20">
        <f t="shared" si="32"/>
        <v>0</v>
      </c>
      <c r="I307" s="20">
        <f t="shared" si="33"/>
        <v>0</v>
      </c>
      <c r="J307" s="20">
        <f t="shared" si="30"/>
        <v>0</v>
      </c>
      <c r="K307" s="20">
        <f t="shared" si="30"/>
        <v>0</v>
      </c>
      <c r="L307" s="20">
        <f t="shared" si="30"/>
        <v>0</v>
      </c>
    </row>
    <row r="308" spans="4:12" x14ac:dyDescent="0.35">
      <c r="D308" s="20" t="str">
        <f t="shared" si="34"/>
        <v/>
      </c>
      <c r="E308" s="21" t="str">
        <f t="shared" si="35"/>
        <v/>
      </c>
      <c r="F308" s="20" t="str">
        <f t="shared" si="36"/>
        <v/>
      </c>
      <c r="G308" s="20">
        <f t="shared" si="31"/>
        <v>0</v>
      </c>
      <c r="H308" s="20">
        <f t="shared" si="32"/>
        <v>0</v>
      </c>
      <c r="I308" s="20">
        <f t="shared" si="33"/>
        <v>0</v>
      </c>
      <c r="J308" s="20">
        <f t="shared" si="30"/>
        <v>0</v>
      </c>
      <c r="K308" s="20">
        <f t="shared" si="30"/>
        <v>0</v>
      </c>
      <c r="L308" s="20">
        <f t="shared" si="30"/>
        <v>0</v>
      </c>
    </row>
    <row r="309" spans="4:12" x14ac:dyDescent="0.35">
      <c r="D309" s="20" t="str">
        <f t="shared" si="34"/>
        <v/>
      </c>
      <c r="E309" s="21" t="str">
        <f t="shared" si="35"/>
        <v/>
      </c>
      <c r="F309" s="20" t="str">
        <f t="shared" si="36"/>
        <v/>
      </c>
      <c r="G309" s="20">
        <f t="shared" si="31"/>
        <v>0</v>
      </c>
      <c r="H309" s="20">
        <f t="shared" si="32"/>
        <v>0</v>
      </c>
      <c r="I309" s="20">
        <f t="shared" si="33"/>
        <v>0</v>
      </c>
      <c r="J309" s="20">
        <f t="shared" si="30"/>
        <v>0</v>
      </c>
      <c r="K309" s="20">
        <f t="shared" si="30"/>
        <v>0</v>
      </c>
      <c r="L309" s="20">
        <f t="shared" si="30"/>
        <v>0</v>
      </c>
    </row>
    <row r="310" spans="4:12" x14ac:dyDescent="0.35">
      <c r="D310" s="20" t="str">
        <f t="shared" si="34"/>
        <v/>
      </c>
      <c r="E310" s="21" t="str">
        <f t="shared" si="35"/>
        <v/>
      </c>
      <c r="F310" s="20" t="str">
        <f t="shared" si="36"/>
        <v/>
      </c>
      <c r="G310" s="20">
        <f t="shared" si="31"/>
        <v>0</v>
      </c>
      <c r="H310" s="20">
        <f t="shared" si="32"/>
        <v>0</v>
      </c>
      <c r="I310" s="20">
        <f t="shared" si="33"/>
        <v>0</v>
      </c>
      <c r="J310" s="20">
        <f t="shared" si="30"/>
        <v>0</v>
      </c>
      <c r="K310" s="20">
        <f t="shared" si="30"/>
        <v>0</v>
      </c>
      <c r="L310" s="20">
        <f t="shared" si="30"/>
        <v>0</v>
      </c>
    </row>
    <row r="311" spans="4:12" x14ac:dyDescent="0.35">
      <c r="D311" s="20" t="str">
        <f t="shared" si="34"/>
        <v/>
      </c>
      <c r="E311" s="21" t="str">
        <f t="shared" si="35"/>
        <v/>
      </c>
      <c r="F311" s="20" t="str">
        <f t="shared" si="36"/>
        <v/>
      </c>
      <c r="G311" s="20">
        <f t="shared" si="31"/>
        <v>0</v>
      </c>
      <c r="H311" s="20">
        <f t="shared" si="32"/>
        <v>0</v>
      </c>
      <c r="I311" s="20">
        <f t="shared" si="33"/>
        <v>0</v>
      </c>
      <c r="J311" s="20">
        <f t="shared" si="30"/>
        <v>0</v>
      </c>
      <c r="K311" s="20">
        <f t="shared" si="30"/>
        <v>0</v>
      </c>
      <c r="L311" s="20">
        <f t="shared" si="30"/>
        <v>0</v>
      </c>
    </row>
    <row r="312" spans="4:12" x14ac:dyDescent="0.35">
      <c r="D312" s="20" t="str">
        <f t="shared" si="34"/>
        <v/>
      </c>
      <c r="E312" s="21" t="str">
        <f t="shared" si="35"/>
        <v/>
      </c>
      <c r="F312" s="20" t="str">
        <f t="shared" si="36"/>
        <v/>
      </c>
      <c r="G312" s="20">
        <f t="shared" si="31"/>
        <v>0</v>
      </c>
      <c r="H312" s="20">
        <f t="shared" si="32"/>
        <v>0</v>
      </c>
      <c r="I312" s="20">
        <f t="shared" si="33"/>
        <v>0</v>
      </c>
      <c r="J312" s="20">
        <f t="shared" si="30"/>
        <v>0</v>
      </c>
      <c r="K312" s="20">
        <f t="shared" si="30"/>
        <v>0</v>
      </c>
      <c r="L312" s="20">
        <f t="shared" si="30"/>
        <v>0</v>
      </c>
    </row>
    <row r="313" spans="4:12" x14ac:dyDescent="0.35">
      <c r="D313" s="20" t="str">
        <f t="shared" si="34"/>
        <v/>
      </c>
      <c r="E313" s="21" t="str">
        <f t="shared" si="35"/>
        <v/>
      </c>
      <c r="F313" s="20" t="str">
        <f t="shared" si="36"/>
        <v/>
      </c>
      <c r="G313" s="20">
        <f t="shared" si="31"/>
        <v>0</v>
      </c>
      <c r="H313" s="20">
        <f t="shared" si="32"/>
        <v>0</v>
      </c>
      <c r="I313" s="20">
        <f t="shared" si="33"/>
        <v>0</v>
      </c>
      <c r="J313" s="20">
        <f t="shared" si="30"/>
        <v>0</v>
      </c>
      <c r="K313" s="20">
        <f t="shared" si="30"/>
        <v>0</v>
      </c>
      <c r="L313" s="20">
        <f t="shared" si="30"/>
        <v>0</v>
      </c>
    </row>
    <row r="314" spans="4:12" x14ac:dyDescent="0.35">
      <c r="D314" s="20" t="str">
        <f t="shared" si="34"/>
        <v/>
      </c>
      <c r="E314" s="21" t="str">
        <f t="shared" si="35"/>
        <v/>
      </c>
      <c r="F314" s="20" t="str">
        <f t="shared" si="36"/>
        <v/>
      </c>
      <c r="G314" s="20">
        <f t="shared" si="31"/>
        <v>0</v>
      </c>
      <c r="H314" s="20">
        <f t="shared" si="32"/>
        <v>0</v>
      </c>
      <c r="I314" s="20">
        <f t="shared" si="33"/>
        <v>0</v>
      </c>
      <c r="J314" s="20">
        <f t="shared" si="30"/>
        <v>0</v>
      </c>
      <c r="K314" s="20">
        <f t="shared" si="30"/>
        <v>0</v>
      </c>
      <c r="L314" s="20">
        <f t="shared" si="30"/>
        <v>0</v>
      </c>
    </row>
    <row r="315" spans="4:12" x14ac:dyDescent="0.35">
      <c r="D315" s="20" t="str">
        <f t="shared" si="34"/>
        <v/>
      </c>
      <c r="E315" s="21" t="str">
        <f t="shared" si="35"/>
        <v/>
      </c>
      <c r="F315" s="20" t="str">
        <f t="shared" si="36"/>
        <v/>
      </c>
      <c r="G315" s="20">
        <f t="shared" si="31"/>
        <v>0</v>
      </c>
      <c r="H315" s="20">
        <f t="shared" si="32"/>
        <v>0</v>
      </c>
      <c r="I315" s="20">
        <f t="shared" si="33"/>
        <v>0</v>
      </c>
      <c r="J315" s="20">
        <f t="shared" si="30"/>
        <v>0</v>
      </c>
      <c r="K315" s="20">
        <f t="shared" si="30"/>
        <v>0</v>
      </c>
      <c r="L315" s="20">
        <f t="shared" si="30"/>
        <v>0</v>
      </c>
    </row>
    <row r="316" spans="4:12" x14ac:dyDescent="0.35">
      <c r="D316" s="20" t="str">
        <f t="shared" si="34"/>
        <v/>
      </c>
      <c r="E316" s="21" t="str">
        <f t="shared" si="35"/>
        <v/>
      </c>
      <c r="F316" s="20" t="str">
        <f t="shared" si="36"/>
        <v/>
      </c>
      <c r="G316" s="20">
        <f t="shared" si="31"/>
        <v>0</v>
      </c>
      <c r="H316" s="20">
        <f t="shared" si="32"/>
        <v>0</v>
      </c>
      <c r="I316" s="20">
        <f t="shared" si="33"/>
        <v>0</v>
      </c>
      <c r="J316" s="20">
        <f t="shared" si="30"/>
        <v>0</v>
      </c>
      <c r="K316" s="20">
        <f t="shared" si="30"/>
        <v>0</v>
      </c>
      <c r="L316" s="20">
        <f t="shared" si="30"/>
        <v>0</v>
      </c>
    </row>
    <row r="317" spans="4:12" x14ac:dyDescent="0.35">
      <c r="D317" s="20" t="str">
        <f t="shared" si="34"/>
        <v/>
      </c>
      <c r="E317" s="21" t="str">
        <f t="shared" si="35"/>
        <v/>
      </c>
      <c r="F317" s="20" t="str">
        <f t="shared" si="36"/>
        <v/>
      </c>
      <c r="G317" s="20">
        <f t="shared" si="31"/>
        <v>0</v>
      </c>
      <c r="H317" s="20">
        <f t="shared" si="32"/>
        <v>0</v>
      </c>
      <c r="I317" s="20">
        <f t="shared" si="33"/>
        <v>0</v>
      </c>
      <c r="J317" s="20">
        <f t="shared" si="30"/>
        <v>0</v>
      </c>
      <c r="K317" s="20">
        <f t="shared" si="30"/>
        <v>0</v>
      </c>
      <c r="L317" s="20">
        <f t="shared" si="30"/>
        <v>0</v>
      </c>
    </row>
    <row r="318" spans="4:12" x14ac:dyDescent="0.35">
      <c r="D318" s="20" t="str">
        <f t="shared" si="34"/>
        <v/>
      </c>
      <c r="E318" s="21" t="str">
        <f t="shared" si="35"/>
        <v/>
      </c>
      <c r="F318" s="20" t="str">
        <f t="shared" si="36"/>
        <v/>
      </c>
      <c r="G318" s="20">
        <f t="shared" si="31"/>
        <v>0</v>
      </c>
      <c r="H318" s="20">
        <f t="shared" si="32"/>
        <v>0</v>
      </c>
      <c r="I318" s="20">
        <f t="shared" si="33"/>
        <v>0</v>
      </c>
      <c r="J318" s="20">
        <f t="shared" si="30"/>
        <v>0</v>
      </c>
      <c r="K318" s="20">
        <f t="shared" si="30"/>
        <v>0</v>
      </c>
      <c r="L318" s="20">
        <f t="shared" si="30"/>
        <v>0</v>
      </c>
    </row>
    <row r="319" spans="4:12" x14ac:dyDescent="0.35">
      <c r="D319" s="20" t="str">
        <f t="shared" si="34"/>
        <v/>
      </c>
      <c r="E319" s="21" t="str">
        <f t="shared" si="35"/>
        <v/>
      </c>
      <c r="F319" s="20" t="str">
        <f t="shared" si="36"/>
        <v/>
      </c>
      <c r="G319" s="20">
        <f t="shared" si="31"/>
        <v>0</v>
      </c>
      <c r="H319" s="20">
        <f t="shared" si="32"/>
        <v>0</v>
      </c>
      <c r="I319" s="20">
        <f t="shared" si="33"/>
        <v>0</v>
      </c>
      <c r="J319" s="20">
        <f t="shared" si="30"/>
        <v>0</v>
      </c>
      <c r="K319" s="20">
        <f t="shared" si="30"/>
        <v>0</v>
      </c>
      <c r="L319" s="20">
        <f t="shared" si="30"/>
        <v>0</v>
      </c>
    </row>
    <row r="320" spans="4:12" x14ac:dyDescent="0.35">
      <c r="D320" s="20" t="str">
        <f t="shared" si="34"/>
        <v/>
      </c>
      <c r="E320" s="21" t="str">
        <f t="shared" si="35"/>
        <v/>
      </c>
      <c r="F320" s="20" t="str">
        <f t="shared" si="36"/>
        <v/>
      </c>
      <c r="G320" s="20">
        <f t="shared" si="31"/>
        <v>0</v>
      </c>
      <c r="H320" s="20">
        <f t="shared" si="32"/>
        <v>0</v>
      </c>
      <c r="I320" s="20">
        <f t="shared" si="33"/>
        <v>0</v>
      </c>
      <c r="J320" s="20">
        <f t="shared" si="30"/>
        <v>0</v>
      </c>
      <c r="K320" s="20">
        <f t="shared" si="30"/>
        <v>0</v>
      </c>
      <c r="L320" s="20">
        <f t="shared" si="30"/>
        <v>0</v>
      </c>
    </row>
    <row r="321" spans="4:12" x14ac:dyDescent="0.35">
      <c r="D321" s="20" t="str">
        <f t="shared" si="34"/>
        <v/>
      </c>
      <c r="E321" s="21" t="str">
        <f t="shared" si="35"/>
        <v/>
      </c>
      <c r="F321" s="20" t="str">
        <f t="shared" si="36"/>
        <v/>
      </c>
      <c r="G321" s="20">
        <f t="shared" si="31"/>
        <v>0</v>
      </c>
      <c r="H321" s="20">
        <f t="shared" si="32"/>
        <v>0</v>
      </c>
      <c r="I321" s="20">
        <f t="shared" si="33"/>
        <v>0</v>
      </c>
      <c r="J321" s="20">
        <f t="shared" si="30"/>
        <v>0</v>
      </c>
      <c r="K321" s="20">
        <f t="shared" si="30"/>
        <v>0</v>
      </c>
      <c r="L321" s="20">
        <f t="shared" si="30"/>
        <v>0</v>
      </c>
    </row>
    <row r="322" spans="4:12" x14ac:dyDescent="0.35">
      <c r="D322" s="20" t="str">
        <f t="shared" si="34"/>
        <v/>
      </c>
      <c r="E322" s="21" t="str">
        <f t="shared" si="35"/>
        <v/>
      </c>
      <c r="F322" s="20" t="str">
        <f t="shared" si="36"/>
        <v/>
      </c>
      <c r="G322" s="20">
        <f t="shared" si="31"/>
        <v>0</v>
      </c>
      <c r="H322" s="20">
        <f t="shared" si="32"/>
        <v>0</v>
      </c>
      <c r="I322" s="20">
        <f t="shared" si="33"/>
        <v>0</v>
      </c>
      <c r="J322" s="20">
        <f t="shared" si="30"/>
        <v>0</v>
      </c>
      <c r="K322" s="20">
        <f t="shared" si="30"/>
        <v>0</v>
      </c>
      <c r="L322" s="20">
        <f t="shared" si="30"/>
        <v>0</v>
      </c>
    </row>
    <row r="323" spans="4:12" x14ac:dyDescent="0.35">
      <c r="D323" s="20" t="str">
        <f t="shared" si="34"/>
        <v/>
      </c>
      <c r="E323" s="21" t="str">
        <f t="shared" si="35"/>
        <v/>
      </c>
      <c r="F323" s="20" t="str">
        <f t="shared" si="36"/>
        <v/>
      </c>
      <c r="G323" s="20">
        <f t="shared" si="31"/>
        <v>0</v>
      </c>
      <c r="H323" s="20">
        <f t="shared" si="32"/>
        <v>0</v>
      </c>
      <c r="I323" s="20">
        <f t="shared" si="33"/>
        <v>0</v>
      </c>
      <c r="J323" s="20">
        <f t="shared" ref="J323:L386" si="37">ABS(G323)</f>
        <v>0</v>
      </c>
      <c r="K323" s="20">
        <f t="shared" si="37"/>
        <v>0</v>
      </c>
      <c r="L323" s="20">
        <f t="shared" si="37"/>
        <v>0</v>
      </c>
    </row>
    <row r="324" spans="4:12" x14ac:dyDescent="0.35">
      <c r="D324" s="20" t="str">
        <f t="shared" si="34"/>
        <v/>
      </c>
      <c r="E324" s="21" t="str">
        <f t="shared" si="35"/>
        <v/>
      </c>
      <c r="F324" s="20" t="str">
        <f t="shared" si="36"/>
        <v/>
      </c>
      <c r="G324" s="20">
        <f t="shared" ref="G324:G387" si="38">IF(D324=$B$5+1,F324,0)</f>
        <v>0</v>
      </c>
      <c r="H324" s="20">
        <f t="shared" ref="H324:H387" si="39">IF(D323&lt;$B$5,F324*MOD(D323,2),0)</f>
        <v>0</v>
      </c>
      <c r="I324" s="20">
        <f t="shared" ref="I324:I387" si="40">IF(D323&lt;$B$5,F324*MOD(D324,2),0)</f>
        <v>0</v>
      </c>
      <c r="J324" s="20">
        <f t="shared" si="37"/>
        <v>0</v>
      </c>
      <c r="K324" s="20">
        <f t="shared" si="37"/>
        <v>0</v>
      </c>
      <c r="L324" s="20">
        <f t="shared" si="37"/>
        <v>0</v>
      </c>
    </row>
    <row r="325" spans="4:12" x14ac:dyDescent="0.35">
      <c r="D325" s="20" t="str">
        <f t="shared" si="34"/>
        <v/>
      </c>
      <c r="E325" s="21" t="str">
        <f t="shared" si="35"/>
        <v/>
      </c>
      <c r="F325" s="20" t="str">
        <f t="shared" si="36"/>
        <v/>
      </c>
      <c r="G325" s="20">
        <f t="shared" si="38"/>
        <v>0</v>
      </c>
      <c r="H325" s="20">
        <f t="shared" si="39"/>
        <v>0</v>
      </c>
      <c r="I325" s="20">
        <f t="shared" si="40"/>
        <v>0</v>
      </c>
      <c r="J325" s="20">
        <f t="shared" si="37"/>
        <v>0</v>
      </c>
      <c r="K325" s="20">
        <f t="shared" si="37"/>
        <v>0</v>
      </c>
      <c r="L325" s="20">
        <f t="shared" si="37"/>
        <v>0</v>
      </c>
    </row>
    <row r="326" spans="4:12" x14ac:dyDescent="0.35">
      <c r="D326" s="20" t="str">
        <f t="shared" si="34"/>
        <v/>
      </c>
      <c r="E326" s="21" t="str">
        <f t="shared" si="35"/>
        <v/>
      </c>
      <c r="F326" s="20" t="str">
        <f t="shared" si="36"/>
        <v/>
      </c>
      <c r="G326" s="20">
        <f t="shared" si="38"/>
        <v>0</v>
      </c>
      <c r="H326" s="20">
        <f t="shared" si="39"/>
        <v>0</v>
      </c>
      <c r="I326" s="20">
        <f t="shared" si="40"/>
        <v>0</v>
      </c>
      <c r="J326" s="20">
        <f t="shared" si="37"/>
        <v>0</v>
      </c>
      <c r="K326" s="20">
        <f t="shared" si="37"/>
        <v>0</v>
      </c>
      <c r="L326" s="20">
        <f t="shared" si="37"/>
        <v>0</v>
      </c>
    </row>
    <row r="327" spans="4:12" x14ac:dyDescent="0.35">
      <c r="D327" s="20" t="str">
        <f t="shared" si="34"/>
        <v/>
      </c>
      <c r="E327" s="21" t="str">
        <f t="shared" si="35"/>
        <v/>
      </c>
      <c r="F327" s="20" t="str">
        <f t="shared" si="36"/>
        <v/>
      </c>
      <c r="G327" s="20">
        <f t="shared" si="38"/>
        <v>0</v>
      </c>
      <c r="H327" s="20">
        <f t="shared" si="39"/>
        <v>0</v>
      </c>
      <c r="I327" s="20">
        <f t="shared" si="40"/>
        <v>0</v>
      </c>
      <c r="J327" s="20">
        <f t="shared" si="37"/>
        <v>0</v>
      </c>
      <c r="K327" s="20">
        <f t="shared" si="37"/>
        <v>0</v>
      </c>
      <c r="L327" s="20">
        <f t="shared" si="37"/>
        <v>0</v>
      </c>
    </row>
    <row r="328" spans="4:12" x14ac:dyDescent="0.35">
      <c r="D328" s="20" t="str">
        <f t="shared" si="34"/>
        <v/>
      </c>
      <c r="E328" s="21" t="str">
        <f t="shared" si="35"/>
        <v/>
      </c>
      <c r="F328" s="20" t="str">
        <f t="shared" si="36"/>
        <v/>
      </c>
      <c r="G328" s="20">
        <f t="shared" si="38"/>
        <v>0</v>
      </c>
      <c r="H328" s="20">
        <f t="shared" si="39"/>
        <v>0</v>
      </c>
      <c r="I328" s="20">
        <f t="shared" si="40"/>
        <v>0</v>
      </c>
      <c r="J328" s="20">
        <f t="shared" si="37"/>
        <v>0</v>
      </c>
      <c r="K328" s="20">
        <f t="shared" si="37"/>
        <v>0</v>
      </c>
      <c r="L328" s="20">
        <f t="shared" si="37"/>
        <v>0</v>
      </c>
    </row>
    <row r="329" spans="4:12" x14ac:dyDescent="0.35">
      <c r="D329" s="20" t="str">
        <f t="shared" si="34"/>
        <v/>
      </c>
      <c r="E329" s="21" t="str">
        <f t="shared" si="35"/>
        <v/>
      </c>
      <c r="F329" s="20" t="str">
        <f t="shared" si="36"/>
        <v/>
      </c>
      <c r="G329" s="20">
        <f t="shared" si="38"/>
        <v>0</v>
      </c>
      <c r="H329" s="20">
        <f t="shared" si="39"/>
        <v>0</v>
      </c>
      <c r="I329" s="20">
        <f t="shared" si="40"/>
        <v>0</v>
      </c>
      <c r="J329" s="20">
        <f t="shared" si="37"/>
        <v>0</v>
      </c>
      <c r="K329" s="20">
        <f t="shared" si="37"/>
        <v>0</v>
      </c>
      <c r="L329" s="20">
        <f t="shared" si="37"/>
        <v>0</v>
      </c>
    </row>
    <row r="330" spans="4:12" x14ac:dyDescent="0.35">
      <c r="D330" s="20" t="str">
        <f t="shared" si="34"/>
        <v/>
      </c>
      <c r="E330" s="21" t="str">
        <f t="shared" si="35"/>
        <v/>
      </c>
      <c r="F330" s="20" t="str">
        <f t="shared" si="36"/>
        <v/>
      </c>
      <c r="G330" s="20">
        <f t="shared" si="38"/>
        <v>0</v>
      </c>
      <c r="H330" s="20">
        <f t="shared" si="39"/>
        <v>0</v>
      </c>
      <c r="I330" s="20">
        <f t="shared" si="40"/>
        <v>0</v>
      </c>
      <c r="J330" s="20">
        <f t="shared" si="37"/>
        <v>0</v>
      </c>
      <c r="K330" s="20">
        <f t="shared" si="37"/>
        <v>0</v>
      </c>
      <c r="L330" s="20">
        <f t="shared" si="37"/>
        <v>0</v>
      </c>
    </row>
    <row r="331" spans="4:12" x14ac:dyDescent="0.35">
      <c r="D331" s="20" t="str">
        <f t="shared" si="34"/>
        <v/>
      </c>
      <c r="E331" s="21" t="str">
        <f t="shared" si="35"/>
        <v/>
      </c>
      <c r="F331" s="20" t="str">
        <f t="shared" si="36"/>
        <v/>
      </c>
      <c r="G331" s="20">
        <f t="shared" si="38"/>
        <v>0</v>
      </c>
      <c r="H331" s="20">
        <f t="shared" si="39"/>
        <v>0</v>
      </c>
      <c r="I331" s="20">
        <f t="shared" si="40"/>
        <v>0</v>
      </c>
      <c r="J331" s="20">
        <f t="shared" si="37"/>
        <v>0</v>
      </c>
      <c r="K331" s="20">
        <f t="shared" si="37"/>
        <v>0</v>
      </c>
      <c r="L331" s="20">
        <f t="shared" si="37"/>
        <v>0</v>
      </c>
    </row>
    <row r="332" spans="4:12" x14ac:dyDescent="0.35">
      <c r="D332" s="20" t="str">
        <f t="shared" si="34"/>
        <v/>
      </c>
      <c r="E332" s="21" t="str">
        <f t="shared" si="35"/>
        <v/>
      </c>
      <c r="F332" s="20" t="str">
        <f t="shared" si="36"/>
        <v/>
      </c>
      <c r="G332" s="20">
        <f t="shared" si="38"/>
        <v>0</v>
      </c>
      <c r="H332" s="20">
        <f t="shared" si="39"/>
        <v>0</v>
      </c>
      <c r="I332" s="20">
        <f t="shared" si="40"/>
        <v>0</v>
      </c>
      <c r="J332" s="20">
        <f t="shared" si="37"/>
        <v>0</v>
      </c>
      <c r="K332" s="20">
        <f t="shared" si="37"/>
        <v>0</v>
      </c>
      <c r="L332" s="20">
        <f t="shared" si="37"/>
        <v>0</v>
      </c>
    </row>
    <row r="333" spans="4:12" x14ac:dyDescent="0.35">
      <c r="D333" s="20" t="str">
        <f t="shared" si="34"/>
        <v/>
      </c>
      <c r="E333" s="21" t="str">
        <f t="shared" si="35"/>
        <v/>
      </c>
      <c r="F333" s="20" t="str">
        <f t="shared" si="36"/>
        <v/>
      </c>
      <c r="G333" s="20">
        <f t="shared" si="38"/>
        <v>0</v>
      </c>
      <c r="H333" s="20">
        <f t="shared" si="39"/>
        <v>0</v>
      </c>
      <c r="I333" s="20">
        <f t="shared" si="40"/>
        <v>0</v>
      </c>
      <c r="J333" s="20">
        <f t="shared" si="37"/>
        <v>0</v>
      </c>
      <c r="K333" s="20">
        <f t="shared" si="37"/>
        <v>0</v>
      </c>
      <c r="L333" s="20">
        <f t="shared" si="37"/>
        <v>0</v>
      </c>
    </row>
    <row r="334" spans="4:12" x14ac:dyDescent="0.35">
      <c r="D334" s="20" t="str">
        <f t="shared" si="34"/>
        <v/>
      </c>
      <c r="E334" s="21" t="str">
        <f t="shared" si="35"/>
        <v/>
      </c>
      <c r="F334" s="20" t="str">
        <f t="shared" si="36"/>
        <v/>
      </c>
      <c r="G334" s="20">
        <f t="shared" si="38"/>
        <v>0</v>
      </c>
      <c r="H334" s="20">
        <f t="shared" si="39"/>
        <v>0</v>
      </c>
      <c r="I334" s="20">
        <f t="shared" si="40"/>
        <v>0</v>
      </c>
      <c r="J334" s="20">
        <f t="shared" si="37"/>
        <v>0</v>
      </c>
      <c r="K334" s="20">
        <f t="shared" si="37"/>
        <v>0</v>
      </c>
      <c r="L334" s="20">
        <f t="shared" si="37"/>
        <v>0</v>
      </c>
    </row>
    <row r="335" spans="4:12" x14ac:dyDescent="0.35">
      <c r="D335" s="20" t="str">
        <f t="shared" si="34"/>
        <v/>
      </c>
      <c r="E335" s="21" t="str">
        <f t="shared" si="35"/>
        <v/>
      </c>
      <c r="F335" s="20" t="str">
        <f t="shared" si="36"/>
        <v/>
      </c>
      <c r="G335" s="20">
        <f t="shared" si="38"/>
        <v>0</v>
      </c>
      <c r="H335" s="20">
        <f t="shared" si="39"/>
        <v>0</v>
      </c>
      <c r="I335" s="20">
        <f t="shared" si="40"/>
        <v>0</v>
      </c>
      <c r="J335" s="20">
        <f t="shared" si="37"/>
        <v>0</v>
      </c>
      <c r="K335" s="20">
        <f t="shared" si="37"/>
        <v>0</v>
      </c>
      <c r="L335" s="20">
        <f t="shared" si="37"/>
        <v>0</v>
      </c>
    </row>
    <row r="336" spans="4:12" x14ac:dyDescent="0.35">
      <c r="D336" s="20" t="str">
        <f t="shared" si="34"/>
        <v/>
      </c>
      <c r="E336" s="21" t="str">
        <f t="shared" si="35"/>
        <v/>
      </c>
      <c r="F336" s="20" t="str">
        <f t="shared" si="36"/>
        <v/>
      </c>
      <c r="G336" s="20">
        <f t="shared" si="38"/>
        <v>0</v>
      </c>
      <c r="H336" s="20">
        <f t="shared" si="39"/>
        <v>0</v>
      </c>
      <c r="I336" s="20">
        <f t="shared" si="40"/>
        <v>0</v>
      </c>
      <c r="J336" s="20">
        <f t="shared" si="37"/>
        <v>0</v>
      </c>
      <c r="K336" s="20">
        <f t="shared" si="37"/>
        <v>0</v>
      </c>
      <c r="L336" s="20">
        <f t="shared" si="37"/>
        <v>0</v>
      </c>
    </row>
    <row r="337" spans="4:12" x14ac:dyDescent="0.35">
      <c r="D337" s="20" t="str">
        <f t="shared" si="34"/>
        <v/>
      </c>
      <c r="E337" s="21" t="str">
        <f t="shared" si="35"/>
        <v/>
      </c>
      <c r="F337" s="20" t="str">
        <f t="shared" si="36"/>
        <v/>
      </c>
      <c r="G337" s="20">
        <f t="shared" si="38"/>
        <v>0</v>
      </c>
      <c r="H337" s="20">
        <f t="shared" si="39"/>
        <v>0</v>
      </c>
      <c r="I337" s="20">
        <f t="shared" si="40"/>
        <v>0</v>
      </c>
      <c r="J337" s="20">
        <f t="shared" si="37"/>
        <v>0</v>
      </c>
      <c r="K337" s="20">
        <f t="shared" si="37"/>
        <v>0</v>
      </c>
      <c r="L337" s="20">
        <f t="shared" si="37"/>
        <v>0</v>
      </c>
    </row>
    <row r="338" spans="4:12" x14ac:dyDescent="0.35">
      <c r="D338" s="20" t="str">
        <f t="shared" si="34"/>
        <v/>
      </c>
      <c r="E338" s="21" t="str">
        <f t="shared" si="35"/>
        <v/>
      </c>
      <c r="F338" s="20" t="str">
        <f t="shared" si="36"/>
        <v/>
      </c>
      <c r="G338" s="20">
        <f t="shared" si="38"/>
        <v>0</v>
      </c>
      <c r="H338" s="20">
        <f t="shared" si="39"/>
        <v>0</v>
      </c>
      <c r="I338" s="20">
        <f t="shared" si="40"/>
        <v>0</v>
      </c>
      <c r="J338" s="20">
        <f t="shared" si="37"/>
        <v>0</v>
      </c>
      <c r="K338" s="20">
        <f t="shared" si="37"/>
        <v>0</v>
      </c>
      <c r="L338" s="20">
        <f t="shared" si="37"/>
        <v>0</v>
      </c>
    </row>
    <row r="339" spans="4:12" x14ac:dyDescent="0.35">
      <c r="D339" s="20" t="str">
        <f t="shared" si="34"/>
        <v/>
      </c>
      <c r="E339" s="21" t="str">
        <f t="shared" si="35"/>
        <v/>
      </c>
      <c r="F339" s="20" t="str">
        <f t="shared" si="36"/>
        <v/>
      </c>
      <c r="G339" s="20">
        <f t="shared" si="38"/>
        <v>0</v>
      </c>
      <c r="H339" s="20">
        <f t="shared" si="39"/>
        <v>0</v>
      </c>
      <c r="I339" s="20">
        <f t="shared" si="40"/>
        <v>0</v>
      </c>
      <c r="J339" s="20">
        <f t="shared" si="37"/>
        <v>0</v>
      </c>
      <c r="K339" s="20">
        <f t="shared" si="37"/>
        <v>0</v>
      </c>
      <c r="L339" s="20">
        <f t="shared" si="37"/>
        <v>0</v>
      </c>
    </row>
    <row r="340" spans="4:12" x14ac:dyDescent="0.35">
      <c r="D340" s="20" t="str">
        <f t="shared" si="34"/>
        <v/>
      </c>
      <c r="E340" s="21" t="str">
        <f t="shared" si="35"/>
        <v/>
      </c>
      <c r="F340" s="20" t="str">
        <f t="shared" si="36"/>
        <v/>
      </c>
      <c r="G340" s="20">
        <f t="shared" si="38"/>
        <v>0</v>
      </c>
      <c r="H340" s="20">
        <f t="shared" si="39"/>
        <v>0</v>
      </c>
      <c r="I340" s="20">
        <f t="shared" si="40"/>
        <v>0</v>
      </c>
      <c r="J340" s="20">
        <f t="shared" si="37"/>
        <v>0</v>
      </c>
      <c r="K340" s="20">
        <f t="shared" si="37"/>
        <v>0</v>
      </c>
      <c r="L340" s="20">
        <f t="shared" si="37"/>
        <v>0</v>
      </c>
    </row>
    <row r="341" spans="4:12" x14ac:dyDescent="0.35">
      <c r="D341" s="20" t="str">
        <f t="shared" si="34"/>
        <v/>
      </c>
      <c r="E341" s="21" t="str">
        <f t="shared" si="35"/>
        <v/>
      </c>
      <c r="F341" s="20" t="str">
        <f t="shared" si="36"/>
        <v/>
      </c>
      <c r="G341" s="20">
        <f t="shared" si="38"/>
        <v>0</v>
      </c>
      <c r="H341" s="20">
        <f t="shared" si="39"/>
        <v>0</v>
      </c>
      <c r="I341" s="20">
        <f t="shared" si="40"/>
        <v>0</v>
      </c>
      <c r="J341" s="20">
        <f t="shared" si="37"/>
        <v>0</v>
      </c>
      <c r="K341" s="20">
        <f t="shared" si="37"/>
        <v>0</v>
      </c>
      <c r="L341" s="20">
        <f t="shared" si="37"/>
        <v>0</v>
      </c>
    </row>
    <row r="342" spans="4:12" x14ac:dyDescent="0.35">
      <c r="D342" s="20" t="str">
        <f t="shared" si="34"/>
        <v/>
      </c>
      <c r="E342" s="21" t="str">
        <f t="shared" si="35"/>
        <v/>
      </c>
      <c r="F342" s="20" t="str">
        <f t="shared" si="36"/>
        <v/>
      </c>
      <c r="G342" s="20">
        <f t="shared" si="38"/>
        <v>0</v>
      </c>
      <c r="H342" s="20">
        <f t="shared" si="39"/>
        <v>0</v>
      </c>
      <c r="I342" s="20">
        <f t="shared" si="40"/>
        <v>0</v>
      </c>
      <c r="J342" s="20">
        <f t="shared" si="37"/>
        <v>0</v>
      </c>
      <c r="K342" s="20">
        <f t="shared" si="37"/>
        <v>0</v>
      </c>
      <c r="L342" s="20">
        <f t="shared" si="37"/>
        <v>0</v>
      </c>
    </row>
    <row r="343" spans="4:12" x14ac:dyDescent="0.35">
      <c r="D343" s="20" t="str">
        <f t="shared" ref="D343:D406" si="41">IF(D342&lt;=$B$5,D342+1,"")</f>
        <v/>
      </c>
      <c r="E343" s="21" t="str">
        <f t="shared" ref="E343:E406" si="42">IF(D342&lt;=$B$5,E342+$B$6,"")</f>
        <v/>
      </c>
      <c r="F343" s="20" t="str">
        <f t="shared" ref="F343:F406" si="43">IF(D342&lt;=$B$5,(20*COS((5/2)*E343^2+1))/(E343^2+2),"")</f>
        <v/>
      </c>
      <c r="G343" s="20">
        <f t="shared" si="38"/>
        <v>0</v>
      </c>
      <c r="H343" s="20">
        <f t="shared" si="39"/>
        <v>0</v>
      </c>
      <c r="I343" s="20">
        <f t="shared" si="40"/>
        <v>0</v>
      </c>
      <c r="J343" s="20">
        <f t="shared" si="37"/>
        <v>0</v>
      </c>
      <c r="K343" s="20">
        <f t="shared" si="37"/>
        <v>0</v>
      </c>
      <c r="L343" s="20">
        <f t="shared" si="37"/>
        <v>0</v>
      </c>
    </row>
    <row r="344" spans="4:12" x14ac:dyDescent="0.35">
      <c r="D344" s="20" t="str">
        <f t="shared" si="41"/>
        <v/>
      </c>
      <c r="E344" s="21" t="str">
        <f t="shared" si="42"/>
        <v/>
      </c>
      <c r="F344" s="20" t="str">
        <f t="shared" si="43"/>
        <v/>
      </c>
      <c r="G344" s="20">
        <f t="shared" si="38"/>
        <v>0</v>
      </c>
      <c r="H344" s="20">
        <f t="shared" si="39"/>
        <v>0</v>
      </c>
      <c r="I344" s="20">
        <f t="shared" si="40"/>
        <v>0</v>
      </c>
      <c r="J344" s="20">
        <f t="shared" si="37"/>
        <v>0</v>
      </c>
      <c r="K344" s="20">
        <f t="shared" si="37"/>
        <v>0</v>
      </c>
      <c r="L344" s="20">
        <f t="shared" si="37"/>
        <v>0</v>
      </c>
    </row>
    <row r="345" spans="4:12" x14ac:dyDescent="0.35">
      <c r="D345" s="20" t="str">
        <f t="shared" si="41"/>
        <v/>
      </c>
      <c r="E345" s="21" t="str">
        <f t="shared" si="42"/>
        <v/>
      </c>
      <c r="F345" s="20" t="str">
        <f t="shared" si="43"/>
        <v/>
      </c>
      <c r="G345" s="20">
        <f t="shared" si="38"/>
        <v>0</v>
      </c>
      <c r="H345" s="20">
        <f t="shared" si="39"/>
        <v>0</v>
      </c>
      <c r="I345" s="20">
        <f t="shared" si="40"/>
        <v>0</v>
      </c>
      <c r="J345" s="20">
        <f t="shared" si="37"/>
        <v>0</v>
      </c>
      <c r="K345" s="20">
        <f t="shared" si="37"/>
        <v>0</v>
      </c>
      <c r="L345" s="20">
        <f t="shared" si="37"/>
        <v>0</v>
      </c>
    </row>
    <row r="346" spans="4:12" x14ac:dyDescent="0.35">
      <c r="D346" s="20" t="str">
        <f t="shared" si="41"/>
        <v/>
      </c>
      <c r="E346" s="21" t="str">
        <f t="shared" si="42"/>
        <v/>
      </c>
      <c r="F346" s="20" t="str">
        <f t="shared" si="43"/>
        <v/>
      </c>
      <c r="G346" s="20">
        <f t="shared" si="38"/>
        <v>0</v>
      </c>
      <c r="H346" s="20">
        <f t="shared" si="39"/>
        <v>0</v>
      </c>
      <c r="I346" s="20">
        <f t="shared" si="40"/>
        <v>0</v>
      </c>
      <c r="J346" s="20">
        <f t="shared" si="37"/>
        <v>0</v>
      </c>
      <c r="K346" s="20">
        <f t="shared" si="37"/>
        <v>0</v>
      </c>
      <c r="L346" s="20">
        <f t="shared" si="37"/>
        <v>0</v>
      </c>
    </row>
    <row r="347" spans="4:12" x14ac:dyDescent="0.35">
      <c r="D347" s="20" t="str">
        <f t="shared" si="41"/>
        <v/>
      </c>
      <c r="E347" s="21" t="str">
        <f t="shared" si="42"/>
        <v/>
      </c>
      <c r="F347" s="20" t="str">
        <f t="shared" si="43"/>
        <v/>
      </c>
      <c r="G347" s="20">
        <f t="shared" si="38"/>
        <v>0</v>
      </c>
      <c r="H347" s="20">
        <f t="shared" si="39"/>
        <v>0</v>
      </c>
      <c r="I347" s="20">
        <f t="shared" si="40"/>
        <v>0</v>
      </c>
      <c r="J347" s="20">
        <f t="shared" si="37"/>
        <v>0</v>
      </c>
      <c r="K347" s="20">
        <f t="shared" si="37"/>
        <v>0</v>
      </c>
      <c r="L347" s="20">
        <f t="shared" si="37"/>
        <v>0</v>
      </c>
    </row>
    <row r="348" spans="4:12" x14ac:dyDescent="0.35">
      <c r="D348" s="20" t="str">
        <f t="shared" si="41"/>
        <v/>
      </c>
      <c r="E348" s="21" t="str">
        <f t="shared" si="42"/>
        <v/>
      </c>
      <c r="F348" s="20" t="str">
        <f t="shared" si="43"/>
        <v/>
      </c>
      <c r="G348" s="20">
        <f t="shared" si="38"/>
        <v>0</v>
      </c>
      <c r="H348" s="20">
        <f t="shared" si="39"/>
        <v>0</v>
      </c>
      <c r="I348" s="20">
        <f t="shared" si="40"/>
        <v>0</v>
      </c>
      <c r="J348" s="20">
        <f t="shared" si="37"/>
        <v>0</v>
      </c>
      <c r="K348" s="20">
        <f t="shared" si="37"/>
        <v>0</v>
      </c>
      <c r="L348" s="20">
        <f t="shared" si="37"/>
        <v>0</v>
      </c>
    </row>
    <row r="349" spans="4:12" x14ac:dyDescent="0.35">
      <c r="D349" s="20" t="str">
        <f t="shared" si="41"/>
        <v/>
      </c>
      <c r="E349" s="21" t="str">
        <f t="shared" si="42"/>
        <v/>
      </c>
      <c r="F349" s="20" t="str">
        <f t="shared" si="43"/>
        <v/>
      </c>
      <c r="G349" s="20">
        <f t="shared" si="38"/>
        <v>0</v>
      </c>
      <c r="H349" s="20">
        <f t="shared" si="39"/>
        <v>0</v>
      </c>
      <c r="I349" s="20">
        <f t="shared" si="40"/>
        <v>0</v>
      </c>
      <c r="J349" s="20">
        <f t="shared" si="37"/>
        <v>0</v>
      </c>
      <c r="K349" s="20">
        <f t="shared" si="37"/>
        <v>0</v>
      </c>
      <c r="L349" s="20">
        <f t="shared" si="37"/>
        <v>0</v>
      </c>
    </row>
    <row r="350" spans="4:12" x14ac:dyDescent="0.35">
      <c r="D350" s="20" t="str">
        <f t="shared" si="41"/>
        <v/>
      </c>
      <c r="E350" s="21" t="str">
        <f t="shared" si="42"/>
        <v/>
      </c>
      <c r="F350" s="20" t="str">
        <f t="shared" si="43"/>
        <v/>
      </c>
      <c r="G350" s="20">
        <f t="shared" si="38"/>
        <v>0</v>
      </c>
      <c r="H350" s="20">
        <f t="shared" si="39"/>
        <v>0</v>
      </c>
      <c r="I350" s="20">
        <f t="shared" si="40"/>
        <v>0</v>
      </c>
      <c r="J350" s="20">
        <f t="shared" si="37"/>
        <v>0</v>
      </c>
      <c r="K350" s="20">
        <f t="shared" si="37"/>
        <v>0</v>
      </c>
      <c r="L350" s="20">
        <f t="shared" si="37"/>
        <v>0</v>
      </c>
    </row>
    <row r="351" spans="4:12" x14ac:dyDescent="0.35">
      <c r="D351" s="20" t="str">
        <f t="shared" si="41"/>
        <v/>
      </c>
      <c r="E351" s="21" t="str">
        <f t="shared" si="42"/>
        <v/>
      </c>
      <c r="F351" s="20" t="str">
        <f t="shared" si="43"/>
        <v/>
      </c>
      <c r="G351" s="20">
        <f t="shared" si="38"/>
        <v>0</v>
      </c>
      <c r="H351" s="20">
        <f t="shared" si="39"/>
        <v>0</v>
      </c>
      <c r="I351" s="20">
        <f t="shared" si="40"/>
        <v>0</v>
      </c>
      <c r="J351" s="20">
        <f t="shared" si="37"/>
        <v>0</v>
      </c>
      <c r="K351" s="20">
        <f t="shared" si="37"/>
        <v>0</v>
      </c>
      <c r="L351" s="20">
        <f t="shared" si="37"/>
        <v>0</v>
      </c>
    </row>
    <row r="352" spans="4:12" x14ac:dyDescent="0.35">
      <c r="D352" s="20" t="str">
        <f t="shared" si="41"/>
        <v/>
      </c>
      <c r="E352" s="21" t="str">
        <f t="shared" si="42"/>
        <v/>
      </c>
      <c r="F352" s="20" t="str">
        <f t="shared" si="43"/>
        <v/>
      </c>
      <c r="G352" s="20">
        <f t="shared" si="38"/>
        <v>0</v>
      </c>
      <c r="H352" s="20">
        <f t="shared" si="39"/>
        <v>0</v>
      </c>
      <c r="I352" s="20">
        <f t="shared" si="40"/>
        <v>0</v>
      </c>
      <c r="J352" s="20">
        <f t="shared" si="37"/>
        <v>0</v>
      </c>
      <c r="K352" s="20">
        <f t="shared" si="37"/>
        <v>0</v>
      </c>
      <c r="L352" s="20">
        <f t="shared" si="37"/>
        <v>0</v>
      </c>
    </row>
    <row r="353" spans="4:12" x14ac:dyDescent="0.35">
      <c r="D353" s="20" t="str">
        <f t="shared" si="41"/>
        <v/>
      </c>
      <c r="E353" s="21" t="str">
        <f t="shared" si="42"/>
        <v/>
      </c>
      <c r="F353" s="20" t="str">
        <f t="shared" si="43"/>
        <v/>
      </c>
      <c r="G353" s="20">
        <f t="shared" si="38"/>
        <v>0</v>
      </c>
      <c r="H353" s="20">
        <f t="shared" si="39"/>
        <v>0</v>
      </c>
      <c r="I353" s="20">
        <f t="shared" si="40"/>
        <v>0</v>
      </c>
      <c r="J353" s="20">
        <f t="shared" si="37"/>
        <v>0</v>
      </c>
      <c r="K353" s="20">
        <f t="shared" si="37"/>
        <v>0</v>
      </c>
      <c r="L353" s="20">
        <f t="shared" si="37"/>
        <v>0</v>
      </c>
    </row>
    <row r="354" spans="4:12" x14ac:dyDescent="0.35">
      <c r="D354" s="20" t="str">
        <f t="shared" si="41"/>
        <v/>
      </c>
      <c r="E354" s="21" t="str">
        <f t="shared" si="42"/>
        <v/>
      </c>
      <c r="F354" s="20" t="str">
        <f t="shared" si="43"/>
        <v/>
      </c>
      <c r="G354" s="20">
        <f t="shared" si="38"/>
        <v>0</v>
      </c>
      <c r="H354" s="20">
        <f t="shared" si="39"/>
        <v>0</v>
      </c>
      <c r="I354" s="20">
        <f t="shared" si="40"/>
        <v>0</v>
      </c>
      <c r="J354" s="20">
        <f t="shared" si="37"/>
        <v>0</v>
      </c>
      <c r="K354" s="20">
        <f t="shared" si="37"/>
        <v>0</v>
      </c>
      <c r="L354" s="20">
        <f t="shared" si="37"/>
        <v>0</v>
      </c>
    </row>
    <row r="355" spans="4:12" x14ac:dyDescent="0.35">
      <c r="D355" s="20" t="str">
        <f t="shared" si="41"/>
        <v/>
      </c>
      <c r="E355" s="21" t="str">
        <f t="shared" si="42"/>
        <v/>
      </c>
      <c r="F355" s="20" t="str">
        <f t="shared" si="43"/>
        <v/>
      </c>
      <c r="G355" s="20">
        <f t="shared" si="38"/>
        <v>0</v>
      </c>
      <c r="H355" s="20">
        <f t="shared" si="39"/>
        <v>0</v>
      </c>
      <c r="I355" s="20">
        <f t="shared" si="40"/>
        <v>0</v>
      </c>
      <c r="J355" s="20">
        <f t="shared" si="37"/>
        <v>0</v>
      </c>
      <c r="K355" s="20">
        <f t="shared" si="37"/>
        <v>0</v>
      </c>
      <c r="L355" s="20">
        <f t="shared" si="37"/>
        <v>0</v>
      </c>
    </row>
    <row r="356" spans="4:12" x14ac:dyDescent="0.35">
      <c r="D356" s="20" t="str">
        <f t="shared" si="41"/>
        <v/>
      </c>
      <c r="E356" s="21" t="str">
        <f t="shared" si="42"/>
        <v/>
      </c>
      <c r="F356" s="20" t="str">
        <f t="shared" si="43"/>
        <v/>
      </c>
      <c r="G356" s="20">
        <f t="shared" si="38"/>
        <v>0</v>
      </c>
      <c r="H356" s="20">
        <f t="shared" si="39"/>
        <v>0</v>
      </c>
      <c r="I356" s="20">
        <f t="shared" si="40"/>
        <v>0</v>
      </c>
      <c r="J356" s="20">
        <f t="shared" si="37"/>
        <v>0</v>
      </c>
      <c r="K356" s="20">
        <f t="shared" si="37"/>
        <v>0</v>
      </c>
      <c r="L356" s="20">
        <f t="shared" si="37"/>
        <v>0</v>
      </c>
    </row>
    <row r="357" spans="4:12" x14ac:dyDescent="0.35">
      <c r="D357" s="20" t="str">
        <f t="shared" si="41"/>
        <v/>
      </c>
      <c r="E357" s="21" t="str">
        <f t="shared" si="42"/>
        <v/>
      </c>
      <c r="F357" s="20" t="str">
        <f t="shared" si="43"/>
        <v/>
      </c>
      <c r="G357" s="20">
        <f t="shared" si="38"/>
        <v>0</v>
      </c>
      <c r="H357" s="20">
        <f t="shared" si="39"/>
        <v>0</v>
      </c>
      <c r="I357" s="20">
        <f t="shared" si="40"/>
        <v>0</v>
      </c>
      <c r="J357" s="20">
        <f t="shared" si="37"/>
        <v>0</v>
      </c>
      <c r="K357" s="20">
        <f t="shared" si="37"/>
        <v>0</v>
      </c>
      <c r="L357" s="20">
        <f t="shared" si="37"/>
        <v>0</v>
      </c>
    </row>
    <row r="358" spans="4:12" x14ac:dyDescent="0.35">
      <c r="D358" s="20" t="str">
        <f t="shared" si="41"/>
        <v/>
      </c>
      <c r="E358" s="21" t="str">
        <f t="shared" si="42"/>
        <v/>
      </c>
      <c r="F358" s="20" t="str">
        <f t="shared" si="43"/>
        <v/>
      </c>
      <c r="G358" s="20">
        <f t="shared" si="38"/>
        <v>0</v>
      </c>
      <c r="H358" s="20">
        <f t="shared" si="39"/>
        <v>0</v>
      </c>
      <c r="I358" s="20">
        <f t="shared" si="40"/>
        <v>0</v>
      </c>
      <c r="J358" s="20">
        <f t="shared" si="37"/>
        <v>0</v>
      </c>
      <c r="K358" s="20">
        <f t="shared" si="37"/>
        <v>0</v>
      </c>
      <c r="L358" s="20">
        <f t="shared" si="37"/>
        <v>0</v>
      </c>
    </row>
    <row r="359" spans="4:12" x14ac:dyDescent="0.35">
      <c r="D359" s="20" t="str">
        <f t="shared" si="41"/>
        <v/>
      </c>
      <c r="E359" s="21" t="str">
        <f t="shared" si="42"/>
        <v/>
      </c>
      <c r="F359" s="20" t="str">
        <f t="shared" si="43"/>
        <v/>
      </c>
      <c r="G359" s="20">
        <f t="shared" si="38"/>
        <v>0</v>
      </c>
      <c r="H359" s="20">
        <f t="shared" si="39"/>
        <v>0</v>
      </c>
      <c r="I359" s="20">
        <f t="shared" si="40"/>
        <v>0</v>
      </c>
      <c r="J359" s="20">
        <f t="shared" si="37"/>
        <v>0</v>
      </c>
      <c r="K359" s="20">
        <f t="shared" si="37"/>
        <v>0</v>
      </c>
      <c r="L359" s="20">
        <f t="shared" si="37"/>
        <v>0</v>
      </c>
    </row>
    <row r="360" spans="4:12" x14ac:dyDescent="0.35">
      <c r="D360" s="20" t="str">
        <f t="shared" si="41"/>
        <v/>
      </c>
      <c r="E360" s="21" t="str">
        <f t="shared" si="42"/>
        <v/>
      </c>
      <c r="F360" s="20" t="str">
        <f t="shared" si="43"/>
        <v/>
      </c>
      <c r="G360" s="20">
        <f t="shared" si="38"/>
        <v>0</v>
      </c>
      <c r="H360" s="20">
        <f t="shared" si="39"/>
        <v>0</v>
      </c>
      <c r="I360" s="20">
        <f t="shared" si="40"/>
        <v>0</v>
      </c>
      <c r="J360" s="20">
        <f t="shared" si="37"/>
        <v>0</v>
      </c>
      <c r="K360" s="20">
        <f t="shared" si="37"/>
        <v>0</v>
      </c>
      <c r="L360" s="20">
        <f t="shared" si="37"/>
        <v>0</v>
      </c>
    </row>
    <row r="361" spans="4:12" x14ac:dyDescent="0.35">
      <c r="D361" s="20" t="str">
        <f t="shared" si="41"/>
        <v/>
      </c>
      <c r="E361" s="21" t="str">
        <f t="shared" si="42"/>
        <v/>
      </c>
      <c r="F361" s="20" t="str">
        <f t="shared" si="43"/>
        <v/>
      </c>
      <c r="G361" s="20">
        <f t="shared" si="38"/>
        <v>0</v>
      </c>
      <c r="H361" s="20">
        <f t="shared" si="39"/>
        <v>0</v>
      </c>
      <c r="I361" s="20">
        <f t="shared" si="40"/>
        <v>0</v>
      </c>
      <c r="J361" s="20">
        <f t="shared" si="37"/>
        <v>0</v>
      </c>
      <c r="K361" s="20">
        <f t="shared" si="37"/>
        <v>0</v>
      </c>
      <c r="L361" s="20">
        <f t="shared" si="37"/>
        <v>0</v>
      </c>
    </row>
    <row r="362" spans="4:12" x14ac:dyDescent="0.35">
      <c r="D362" s="20" t="str">
        <f t="shared" si="41"/>
        <v/>
      </c>
      <c r="E362" s="21" t="str">
        <f t="shared" si="42"/>
        <v/>
      </c>
      <c r="F362" s="20" t="str">
        <f t="shared" si="43"/>
        <v/>
      </c>
      <c r="G362" s="20">
        <f t="shared" si="38"/>
        <v>0</v>
      </c>
      <c r="H362" s="20">
        <f t="shared" si="39"/>
        <v>0</v>
      </c>
      <c r="I362" s="20">
        <f t="shared" si="40"/>
        <v>0</v>
      </c>
      <c r="J362" s="20">
        <f t="shared" si="37"/>
        <v>0</v>
      </c>
      <c r="K362" s="20">
        <f t="shared" si="37"/>
        <v>0</v>
      </c>
      <c r="L362" s="20">
        <f t="shared" si="37"/>
        <v>0</v>
      </c>
    </row>
    <row r="363" spans="4:12" x14ac:dyDescent="0.35">
      <c r="D363" s="20" t="str">
        <f t="shared" si="41"/>
        <v/>
      </c>
      <c r="E363" s="21" t="str">
        <f t="shared" si="42"/>
        <v/>
      </c>
      <c r="F363" s="20" t="str">
        <f t="shared" si="43"/>
        <v/>
      </c>
      <c r="G363" s="20">
        <f t="shared" si="38"/>
        <v>0</v>
      </c>
      <c r="H363" s="20">
        <f t="shared" si="39"/>
        <v>0</v>
      </c>
      <c r="I363" s="20">
        <f t="shared" si="40"/>
        <v>0</v>
      </c>
      <c r="J363" s="20">
        <f t="shared" si="37"/>
        <v>0</v>
      </c>
      <c r="K363" s="20">
        <f t="shared" si="37"/>
        <v>0</v>
      </c>
      <c r="L363" s="20">
        <f t="shared" si="37"/>
        <v>0</v>
      </c>
    </row>
    <row r="364" spans="4:12" x14ac:dyDescent="0.35">
      <c r="D364" s="20" t="str">
        <f t="shared" si="41"/>
        <v/>
      </c>
      <c r="E364" s="21" t="str">
        <f t="shared" si="42"/>
        <v/>
      </c>
      <c r="F364" s="20" t="str">
        <f t="shared" si="43"/>
        <v/>
      </c>
      <c r="G364" s="20">
        <f t="shared" si="38"/>
        <v>0</v>
      </c>
      <c r="H364" s="20">
        <f t="shared" si="39"/>
        <v>0</v>
      </c>
      <c r="I364" s="20">
        <f t="shared" si="40"/>
        <v>0</v>
      </c>
      <c r="J364" s="20">
        <f t="shared" si="37"/>
        <v>0</v>
      </c>
      <c r="K364" s="20">
        <f t="shared" si="37"/>
        <v>0</v>
      </c>
      <c r="L364" s="20">
        <f t="shared" si="37"/>
        <v>0</v>
      </c>
    </row>
    <row r="365" spans="4:12" x14ac:dyDescent="0.35">
      <c r="D365" s="20" t="str">
        <f t="shared" si="41"/>
        <v/>
      </c>
      <c r="E365" s="21" t="str">
        <f t="shared" si="42"/>
        <v/>
      </c>
      <c r="F365" s="20" t="str">
        <f t="shared" si="43"/>
        <v/>
      </c>
      <c r="G365" s="20">
        <f t="shared" si="38"/>
        <v>0</v>
      </c>
      <c r="H365" s="20">
        <f t="shared" si="39"/>
        <v>0</v>
      </c>
      <c r="I365" s="20">
        <f t="shared" si="40"/>
        <v>0</v>
      </c>
      <c r="J365" s="20">
        <f t="shared" si="37"/>
        <v>0</v>
      </c>
      <c r="K365" s="20">
        <f t="shared" si="37"/>
        <v>0</v>
      </c>
      <c r="L365" s="20">
        <f t="shared" si="37"/>
        <v>0</v>
      </c>
    </row>
    <row r="366" spans="4:12" x14ac:dyDescent="0.35">
      <c r="D366" s="20" t="str">
        <f t="shared" si="41"/>
        <v/>
      </c>
      <c r="E366" s="21" t="str">
        <f t="shared" si="42"/>
        <v/>
      </c>
      <c r="F366" s="20" t="str">
        <f t="shared" si="43"/>
        <v/>
      </c>
      <c r="G366" s="20">
        <f t="shared" si="38"/>
        <v>0</v>
      </c>
      <c r="H366" s="20">
        <f t="shared" si="39"/>
        <v>0</v>
      </c>
      <c r="I366" s="20">
        <f t="shared" si="40"/>
        <v>0</v>
      </c>
      <c r="J366" s="20">
        <f t="shared" si="37"/>
        <v>0</v>
      </c>
      <c r="K366" s="20">
        <f t="shared" si="37"/>
        <v>0</v>
      </c>
      <c r="L366" s="20">
        <f t="shared" si="37"/>
        <v>0</v>
      </c>
    </row>
    <row r="367" spans="4:12" x14ac:dyDescent="0.35">
      <c r="D367" s="20" t="str">
        <f t="shared" si="41"/>
        <v/>
      </c>
      <c r="E367" s="21" t="str">
        <f t="shared" si="42"/>
        <v/>
      </c>
      <c r="F367" s="20" t="str">
        <f t="shared" si="43"/>
        <v/>
      </c>
      <c r="G367" s="20">
        <f t="shared" si="38"/>
        <v>0</v>
      </c>
      <c r="H367" s="20">
        <f t="shared" si="39"/>
        <v>0</v>
      </c>
      <c r="I367" s="20">
        <f t="shared" si="40"/>
        <v>0</v>
      </c>
      <c r="J367" s="20">
        <f t="shared" si="37"/>
        <v>0</v>
      </c>
      <c r="K367" s="20">
        <f t="shared" si="37"/>
        <v>0</v>
      </c>
      <c r="L367" s="20">
        <f t="shared" si="37"/>
        <v>0</v>
      </c>
    </row>
    <row r="368" spans="4:12" x14ac:dyDescent="0.35">
      <c r="D368" s="20" t="str">
        <f t="shared" si="41"/>
        <v/>
      </c>
      <c r="E368" s="21" t="str">
        <f t="shared" si="42"/>
        <v/>
      </c>
      <c r="F368" s="20" t="str">
        <f t="shared" si="43"/>
        <v/>
      </c>
      <c r="G368" s="20">
        <f t="shared" si="38"/>
        <v>0</v>
      </c>
      <c r="H368" s="20">
        <f t="shared" si="39"/>
        <v>0</v>
      </c>
      <c r="I368" s="20">
        <f t="shared" si="40"/>
        <v>0</v>
      </c>
      <c r="J368" s="20">
        <f t="shared" si="37"/>
        <v>0</v>
      </c>
      <c r="K368" s="20">
        <f t="shared" si="37"/>
        <v>0</v>
      </c>
      <c r="L368" s="20">
        <f t="shared" si="37"/>
        <v>0</v>
      </c>
    </row>
    <row r="369" spans="4:12" x14ac:dyDescent="0.35">
      <c r="D369" s="20" t="str">
        <f t="shared" si="41"/>
        <v/>
      </c>
      <c r="E369" s="21" t="str">
        <f t="shared" si="42"/>
        <v/>
      </c>
      <c r="F369" s="20" t="str">
        <f t="shared" si="43"/>
        <v/>
      </c>
      <c r="G369" s="20">
        <f t="shared" si="38"/>
        <v>0</v>
      </c>
      <c r="H369" s="20">
        <f t="shared" si="39"/>
        <v>0</v>
      </c>
      <c r="I369" s="20">
        <f t="shared" si="40"/>
        <v>0</v>
      </c>
      <c r="J369" s="20">
        <f t="shared" si="37"/>
        <v>0</v>
      </c>
      <c r="K369" s="20">
        <f t="shared" si="37"/>
        <v>0</v>
      </c>
      <c r="L369" s="20">
        <f t="shared" si="37"/>
        <v>0</v>
      </c>
    </row>
    <row r="370" spans="4:12" x14ac:dyDescent="0.35">
      <c r="D370" s="20" t="str">
        <f t="shared" si="41"/>
        <v/>
      </c>
      <c r="E370" s="21" t="str">
        <f t="shared" si="42"/>
        <v/>
      </c>
      <c r="F370" s="20" t="str">
        <f t="shared" si="43"/>
        <v/>
      </c>
      <c r="G370" s="20">
        <f t="shared" si="38"/>
        <v>0</v>
      </c>
      <c r="H370" s="20">
        <f t="shared" si="39"/>
        <v>0</v>
      </c>
      <c r="I370" s="20">
        <f t="shared" si="40"/>
        <v>0</v>
      </c>
      <c r="J370" s="20">
        <f t="shared" si="37"/>
        <v>0</v>
      </c>
      <c r="K370" s="20">
        <f t="shared" si="37"/>
        <v>0</v>
      </c>
      <c r="L370" s="20">
        <f t="shared" si="37"/>
        <v>0</v>
      </c>
    </row>
    <row r="371" spans="4:12" x14ac:dyDescent="0.35">
      <c r="D371" s="20" t="str">
        <f t="shared" si="41"/>
        <v/>
      </c>
      <c r="E371" s="21" t="str">
        <f t="shared" si="42"/>
        <v/>
      </c>
      <c r="F371" s="20" t="str">
        <f t="shared" si="43"/>
        <v/>
      </c>
      <c r="G371" s="20">
        <f t="shared" si="38"/>
        <v>0</v>
      </c>
      <c r="H371" s="20">
        <f t="shared" si="39"/>
        <v>0</v>
      </c>
      <c r="I371" s="20">
        <f t="shared" si="40"/>
        <v>0</v>
      </c>
      <c r="J371" s="20">
        <f t="shared" si="37"/>
        <v>0</v>
      </c>
      <c r="K371" s="20">
        <f t="shared" si="37"/>
        <v>0</v>
      </c>
      <c r="L371" s="20">
        <f t="shared" si="37"/>
        <v>0</v>
      </c>
    </row>
    <row r="372" spans="4:12" x14ac:dyDescent="0.35">
      <c r="D372" s="20" t="str">
        <f t="shared" si="41"/>
        <v/>
      </c>
      <c r="E372" s="21" t="str">
        <f t="shared" si="42"/>
        <v/>
      </c>
      <c r="F372" s="20" t="str">
        <f t="shared" si="43"/>
        <v/>
      </c>
      <c r="G372" s="20">
        <f t="shared" si="38"/>
        <v>0</v>
      </c>
      <c r="H372" s="20">
        <f t="shared" si="39"/>
        <v>0</v>
      </c>
      <c r="I372" s="20">
        <f t="shared" si="40"/>
        <v>0</v>
      </c>
      <c r="J372" s="20">
        <f t="shared" si="37"/>
        <v>0</v>
      </c>
      <c r="K372" s="20">
        <f t="shared" si="37"/>
        <v>0</v>
      </c>
      <c r="L372" s="20">
        <f t="shared" si="37"/>
        <v>0</v>
      </c>
    </row>
    <row r="373" spans="4:12" x14ac:dyDescent="0.35">
      <c r="D373" s="20" t="str">
        <f t="shared" si="41"/>
        <v/>
      </c>
      <c r="E373" s="21" t="str">
        <f t="shared" si="42"/>
        <v/>
      </c>
      <c r="F373" s="20" t="str">
        <f t="shared" si="43"/>
        <v/>
      </c>
      <c r="G373" s="20">
        <f t="shared" si="38"/>
        <v>0</v>
      </c>
      <c r="H373" s="20">
        <f t="shared" si="39"/>
        <v>0</v>
      </c>
      <c r="I373" s="20">
        <f t="shared" si="40"/>
        <v>0</v>
      </c>
      <c r="J373" s="20">
        <f t="shared" si="37"/>
        <v>0</v>
      </c>
      <c r="K373" s="20">
        <f t="shared" si="37"/>
        <v>0</v>
      </c>
      <c r="L373" s="20">
        <f t="shared" si="37"/>
        <v>0</v>
      </c>
    </row>
    <row r="374" spans="4:12" x14ac:dyDescent="0.35">
      <c r="D374" s="20" t="str">
        <f t="shared" si="41"/>
        <v/>
      </c>
      <c r="E374" s="21" t="str">
        <f t="shared" si="42"/>
        <v/>
      </c>
      <c r="F374" s="20" t="str">
        <f t="shared" si="43"/>
        <v/>
      </c>
      <c r="G374" s="20">
        <f t="shared" si="38"/>
        <v>0</v>
      </c>
      <c r="H374" s="20">
        <f t="shared" si="39"/>
        <v>0</v>
      </c>
      <c r="I374" s="20">
        <f t="shared" si="40"/>
        <v>0</v>
      </c>
      <c r="J374" s="20">
        <f t="shared" si="37"/>
        <v>0</v>
      </c>
      <c r="K374" s="20">
        <f t="shared" si="37"/>
        <v>0</v>
      </c>
      <c r="L374" s="20">
        <f t="shared" si="37"/>
        <v>0</v>
      </c>
    </row>
    <row r="375" spans="4:12" x14ac:dyDescent="0.35">
      <c r="D375" s="20" t="str">
        <f t="shared" si="41"/>
        <v/>
      </c>
      <c r="E375" s="21" t="str">
        <f t="shared" si="42"/>
        <v/>
      </c>
      <c r="F375" s="20" t="str">
        <f t="shared" si="43"/>
        <v/>
      </c>
      <c r="G375" s="20">
        <f t="shared" si="38"/>
        <v>0</v>
      </c>
      <c r="H375" s="20">
        <f t="shared" si="39"/>
        <v>0</v>
      </c>
      <c r="I375" s="20">
        <f t="shared" si="40"/>
        <v>0</v>
      </c>
      <c r="J375" s="20">
        <f t="shared" si="37"/>
        <v>0</v>
      </c>
      <c r="K375" s="20">
        <f t="shared" si="37"/>
        <v>0</v>
      </c>
      <c r="L375" s="20">
        <f t="shared" si="37"/>
        <v>0</v>
      </c>
    </row>
    <row r="376" spans="4:12" x14ac:dyDescent="0.35">
      <c r="D376" s="20" t="str">
        <f t="shared" si="41"/>
        <v/>
      </c>
      <c r="E376" s="21" t="str">
        <f t="shared" si="42"/>
        <v/>
      </c>
      <c r="F376" s="20" t="str">
        <f t="shared" si="43"/>
        <v/>
      </c>
      <c r="G376" s="20">
        <f t="shared" si="38"/>
        <v>0</v>
      </c>
      <c r="H376" s="20">
        <f t="shared" si="39"/>
        <v>0</v>
      </c>
      <c r="I376" s="20">
        <f t="shared" si="40"/>
        <v>0</v>
      </c>
      <c r="J376" s="20">
        <f t="shared" si="37"/>
        <v>0</v>
      </c>
      <c r="K376" s="20">
        <f t="shared" si="37"/>
        <v>0</v>
      </c>
      <c r="L376" s="20">
        <f t="shared" si="37"/>
        <v>0</v>
      </c>
    </row>
    <row r="377" spans="4:12" x14ac:dyDescent="0.35">
      <c r="D377" s="20" t="str">
        <f t="shared" si="41"/>
        <v/>
      </c>
      <c r="E377" s="21" t="str">
        <f t="shared" si="42"/>
        <v/>
      </c>
      <c r="F377" s="20" t="str">
        <f t="shared" si="43"/>
        <v/>
      </c>
      <c r="G377" s="20">
        <f t="shared" si="38"/>
        <v>0</v>
      </c>
      <c r="H377" s="20">
        <f t="shared" si="39"/>
        <v>0</v>
      </c>
      <c r="I377" s="20">
        <f t="shared" si="40"/>
        <v>0</v>
      </c>
      <c r="J377" s="20">
        <f t="shared" si="37"/>
        <v>0</v>
      </c>
      <c r="K377" s="20">
        <f t="shared" si="37"/>
        <v>0</v>
      </c>
      <c r="L377" s="20">
        <f t="shared" si="37"/>
        <v>0</v>
      </c>
    </row>
    <row r="378" spans="4:12" x14ac:dyDescent="0.35">
      <c r="D378" s="20" t="str">
        <f t="shared" si="41"/>
        <v/>
      </c>
      <c r="E378" s="21" t="str">
        <f t="shared" si="42"/>
        <v/>
      </c>
      <c r="F378" s="20" t="str">
        <f t="shared" si="43"/>
        <v/>
      </c>
      <c r="G378" s="20">
        <f t="shared" si="38"/>
        <v>0</v>
      </c>
      <c r="H378" s="20">
        <f t="shared" si="39"/>
        <v>0</v>
      </c>
      <c r="I378" s="20">
        <f t="shared" si="40"/>
        <v>0</v>
      </c>
      <c r="J378" s="20">
        <f t="shared" si="37"/>
        <v>0</v>
      </c>
      <c r="K378" s="20">
        <f t="shared" si="37"/>
        <v>0</v>
      </c>
      <c r="L378" s="20">
        <f t="shared" si="37"/>
        <v>0</v>
      </c>
    </row>
    <row r="379" spans="4:12" x14ac:dyDescent="0.35">
      <c r="D379" s="20" t="str">
        <f t="shared" si="41"/>
        <v/>
      </c>
      <c r="E379" s="21" t="str">
        <f t="shared" si="42"/>
        <v/>
      </c>
      <c r="F379" s="20" t="str">
        <f t="shared" si="43"/>
        <v/>
      </c>
      <c r="G379" s="20">
        <f t="shared" si="38"/>
        <v>0</v>
      </c>
      <c r="H379" s="20">
        <f t="shared" si="39"/>
        <v>0</v>
      </c>
      <c r="I379" s="20">
        <f t="shared" si="40"/>
        <v>0</v>
      </c>
      <c r="J379" s="20">
        <f t="shared" si="37"/>
        <v>0</v>
      </c>
      <c r="K379" s="20">
        <f t="shared" si="37"/>
        <v>0</v>
      </c>
      <c r="L379" s="20">
        <f t="shared" si="37"/>
        <v>0</v>
      </c>
    </row>
    <row r="380" spans="4:12" x14ac:dyDescent="0.35">
      <c r="D380" s="20" t="str">
        <f t="shared" si="41"/>
        <v/>
      </c>
      <c r="E380" s="21" t="str">
        <f t="shared" si="42"/>
        <v/>
      </c>
      <c r="F380" s="20" t="str">
        <f t="shared" si="43"/>
        <v/>
      </c>
      <c r="G380" s="20">
        <f t="shared" si="38"/>
        <v>0</v>
      </c>
      <c r="H380" s="20">
        <f t="shared" si="39"/>
        <v>0</v>
      </c>
      <c r="I380" s="20">
        <f t="shared" si="40"/>
        <v>0</v>
      </c>
      <c r="J380" s="20">
        <f t="shared" si="37"/>
        <v>0</v>
      </c>
      <c r="K380" s="20">
        <f t="shared" si="37"/>
        <v>0</v>
      </c>
      <c r="L380" s="20">
        <f t="shared" si="37"/>
        <v>0</v>
      </c>
    </row>
    <row r="381" spans="4:12" x14ac:dyDescent="0.35">
      <c r="D381" s="20" t="str">
        <f t="shared" si="41"/>
        <v/>
      </c>
      <c r="E381" s="21" t="str">
        <f t="shared" si="42"/>
        <v/>
      </c>
      <c r="F381" s="20" t="str">
        <f t="shared" si="43"/>
        <v/>
      </c>
      <c r="G381" s="20">
        <f t="shared" si="38"/>
        <v>0</v>
      </c>
      <c r="H381" s="20">
        <f t="shared" si="39"/>
        <v>0</v>
      </c>
      <c r="I381" s="20">
        <f t="shared" si="40"/>
        <v>0</v>
      </c>
      <c r="J381" s="20">
        <f t="shared" si="37"/>
        <v>0</v>
      </c>
      <c r="K381" s="20">
        <f t="shared" si="37"/>
        <v>0</v>
      </c>
      <c r="L381" s="20">
        <f t="shared" si="37"/>
        <v>0</v>
      </c>
    </row>
    <row r="382" spans="4:12" x14ac:dyDescent="0.35">
      <c r="D382" s="20" t="str">
        <f t="shared" si="41"/>
        <v/>
      </c>
      <c r="E382" s="21" t="str">
        <f t="shared" si="42"/>
        <v/>
      </c>
      <c r="F382" s="20" t="str">
        <f t="shared" si="43"/>
        <v/>
      </c>
      <c r="G382" s="20">
        <f t="shared" si="38"/>
        <v>0</v>
      </c>
      <c r="H382" s="20">
        <f t="shared" si="39"/>
        <v>0</v>
      </c>
      <c r="I382" s="20">
        <f t="shared" si="40"/>
        <v>0</v>
      </c>
      <c r="J382" s="20">
        <f t="shared" si="37"/>
        <v>0</v>
      </c>
      <c r="K382" s="20">
        <f t="shared" si="37"/>
        <v>0</v>
      </c>
      <c r="L382" s="20">
        <f t="shared" si="37"/>
        <v>0</v>
      </c>
    </row>
    <row r="383" spans="4:12" x14ac:dyDescent="0.35">
      <c r="D383" s="20" t="str">
        <f t="shared" si="41"/>
        <v/>
      </c>
      <c r="E383" s="21" t="str">
        <f t="shared" si="42"/>
        <v/>
      </c>
      <c r="F383" s="20" t="str">
        <f t="shared" si="43"/>
        <v/>
      </c>
      <c r="G383" s="20">
        <f t="shared" si="38"/>
        <v>0</v>
      </c>
      <c r="H383" s="20">
        <f t="shared" si="39"/>
        <v>0</v>
      </c>
      <c r="I383" s="20">
        <f t="shared" si="40"/>
        <v>0</v>
      </c>
      <c r="J383" s="20">
        <f t="shared" si="37"/>
        <v>0</v>
      </c>
      <c r="K383" s="20">
        <f t="shared" si="37"/>
        <v>0</v>
      </c>
      <c r="L383" s="20">
        <f t="shared" si="37"/>
        <v>0</v>
      </c>
    </row>
    <row r="384" spans="4:12" x14ac:dyDescent="0.35">
      <c r="D384" s="20" t="str">
        <f t="shared" si="41"/>
        <v/>
      </c>
      <c r="E384" s="21" t="str">
        <f t="shared" si="42"/>
        <v/>
      </c>
      <c r="F384" s="20" t="str">
        <f t="shared" si="43"/>
        <v/>
      </c>
      <c r="G384" s="20">
        <f t="shared" si="38"/>
        <v>0</v>
      </c>
      <c r="H384" s="20">
        <f t="shared" si="39"/>
        <v>0</v>
      </c>
      <c r="I384" s="20">
        <f t="shared" si="40"/>
        <v>0</v>
      </c>
      <c r="J384" s="20">
        <f t="shared" si="37"/>
        <v>0</v>
      </c>
      <c r="K384" s="20">
        <f t="shared" si="37"/>
        <v>0</v>
      </c>
      <c r="L384" s="20">
        <f t="shared" si="37"/>
        <v>0</v>
      </c>
    </row>
    <row r="385" spans="4:12" x14ac:dyDescent="0.35">
      <c r="D385" s="20" t="str">
        <f t="shared" si="41"/>
        <v/>
      </c>
      <c r="E385" s="21" t="str">
        <f t="shared" si="42"/>
        <v/>
      </c>
      <c r="F385" s="20" t="str">
        <f t="shared" si="43"/>
        <v/>
      </c>
      <c r="G385" s="20">
        <f t="shared" si="38"/>
        <v>0</v>
      </c>
      <c r="H385" s="20">
        <f t="shared" si="39"/>
        <v>0</v>
      </c>
      <c r="I385" s="20">
        <f t="shared" si="40"/>
        <v>0</v>
      </c>
      <c r="J385" s="20">
        <f t="shared" si="37"/>
        <v>0</v>
      </c>
      <c r="K385" s="20">
        <f t="shared" si="37"/>
        <v>0</v>
      </c>
      <c r="L385" s="20">
        <f t="shared" si="37"/>
        <v>0</v>
      </c>
    </row>
    <row r="386" spans="4:12" x14ac:dyDescent="0.35">
      <c r="D386" s="20" t="str">
        <f t="shared" si="41"/>
        <v/>
      </c>
      <c r="E386" s="21" t="str">
        <f t="shared" si="42"/>
        <v/>
      </c>
      <c r="F386" s="20" t="str">
        <f t="shared" si="43"/>
        <v/>
      </c>
      <c r="G386" s="20">
        <f t="shared" si="38"/>
        <v>0</v>
      </c>
      <c r="H386" s="20">
        <f t="shared" si="39"/>
        <v>0</v>
      </c>
      <c r="I386" s="20">
        <f t="shared" si="40"/>
        <v>0</v>
      </c>
      <c r="J386" s="20">
        <f t="shared" si="37"/>
        <v>0</v>
      </c>
      <c r="K386" s="20">
        <f t="shared" si="37"/>
        <v>0</v>
      </c>
      <c r="L386" s="20">
        <f t="shared" si="37"/>
        <v>0</v>
      </c>
    </row>
    <row r="387" spans="4:12" x14ac:dyDescent="0.35">
      <c r="D387" s="20" t="str">
        <f t="shared" si="41"/>
        <v/>
      </c>
      <c r="E387" s="21" t="str">
        <f t="shared" si="42"/>
        <v/>
      </c>
      <c r="F387" s="20" t="str">
        <f t="shared" si="43"/>
        <v/>
      </c>
      <c r="G387" s="20">
        <f t="shared" si="38"/>
        <v>0</v>
      </c>
      <c r="H387" s="20">
        <f t="shared" si="39"/>
        <v>0</v>
      </c>
      <c r="I387" s="20">
        <f t="shared" si="40"/>
        <v>0</v>
      </c>
      <c r="J387" s="20">
        <f t="shared" ref="J387:L450" si="44">ABS(G387)</f>
        <v>0</v>
      </c>
      <c r="K387" s="20">
        <f t="shared" si="44"/>
        <v>0</v>
      </c>
      <c r="L387" s="20">
        <f t="shared" si="44"/>
        <v>0</v>
      </c>
    </row>
    <row r="388" spans="4:12" x14ac:dyDescent="0.35">
      <c r="D388" s="20" t="str">
        <f t="shared" si="41"/>
        <v/>
      </c>
      <c r="E388" s="21" t="str">
        <f t="shared" si="42"/>
        <v/>
      </c>
      <c r="F388" s="20" t="str">
        <f t="shared" si="43"/>
        <v/>
      </c>
      <c r="G388" s="20">
        <f t="shared" ref="G388:G451" si="45">IF(D388=$B$5+1,F388,0)</f>
        <v>0</v>
      </c>
      <c r="H388" s="20">
        <f t="shared" ref="H388:H451" si="46">IF(D387&lt;$B$5,F388*MOD(D387,2),0)</f>
        <v>0</v>
      </c>
      <c r="I388" s="20">
        <f t="shared" ref="I388:I451" si="47">IF(D387&lt;$B$5,F388*MOD(D388,2),0)</f>
        <v>0</v>
      </c>
      <c r="J388" s="20">
        <f t="shared" si="44"/>
        <v>0</v>
      </c>
      <c r="K388" s="20">
        <f t="shared" si="44"/>
        <v>0</v>
      </c>
      <c r="L388" s="20">
        <f t="shared" si="44"/>
        <v>0</v>
      </c>
    </row>
    <row r="389" spans="4:12" x14ac:dyDescent="0.35">
      <c r="D389" s="20" t="str">
        <f t="shared" si="41"/>
        <v/>
      </c>
      <c r="E389" s="21" t="str">
        <f t="shared" si="42"/>
        <v/>
      </c>
      <c r="F389" s="20" t="str">
        <f t="shared" si="43"/>
        <v/>
      </c>
      <c r="G389" s="20">
        <f t="shared" si="45"/>
        <v>0</v>
      </c>
      <c r="H389" s="20">
        <f t="shared" si="46"/>
        <v>0</v>
      </c>
      <c r="I389" s="20">
        <f t="shared" si="47"/>
        <v>0</v>
      </c>
      <c r="J389" s="20">
        <f t="shared" si="44"/>
        <v>0</v>
      </c>
      <c r="K389" s="20">
        <f t="shared" si="44"/>
        <v>0</v>
      </c>
      <c r="L389" s="20">
        <f t="shared" si="44"/>
        <v>0</v>
      </c>
    </row>
    <row r="390" spans="4:12" x14ac:dyDescent="0.35">
      <c r="D390" s="20" t="str">
        <f t="shared" si="41"/>
        <v/>
      </c>
      <c r="E390" s="21" t="str">
        <f t="shared" si="42"/>
        <v/>
      </c>
      <c r="F390" s="20" t="str">
        <f t="shared" si="43"/>
        <v/>
      </c>
      <c r="G390" s="20">
        <f t="shared" si="45"/>
        <v>0</v>
      </c>
      <c r="H390" s="20">
        <f t="shared" si="46"/>
        <v>0</v>
      </c>
      <c r="I390" s="20">
        <f t="shared" si="47"/>
        <v>0</v>
      </c>
      <c r="J390" s="20">
        <f t="shared" si="44"/>
        <v>0</v>
      </c>
      <c r="K390" s="20">
        <f t="shared" si="44"/>
        <v>0</v>
      </c>
      <c r="L390" s="20">
        <f t="shared" si="44"/>
        <v>0</v>
      </c>
    </row>
    <row r="391" spans="4:12" x14ac:dyDescent="0.35">
      <c r="D391" s="20" t="str">
        <f t="shared" si="41"/>
        <v/>
      </c>
      <c r="E391" s="21" t="str">
        <f t="shared" si="42"/>
        <v/>
      </c>
      <c r="F391" s="20" t="str">
        <f t="shared" si="43"/>
        <v/>
      </c>
      <c r="G391" s="20">
        <f t="shared" si="45"/>
        <v>0</v>
      </c>
      <c r="H391" s="20">
        <f t="shared" si="46"/>
        <v>0</v>
      </c>
      <c r="I391" s="20">
        <f t="shared" si="47"/>
        <v>0</v>
      </c>
      <c r="J391" s="20">
        <f t="shared" si="44"/>
        <v>0</v>
      </c>
      <c r="K391" s="20">
        <f t="shared" si="44"/>
        <v>0</v>
      </c>
      <c r="L391" s="20">
        <f t="shared" si="44"/>
        <v>0</v>
      </c>
    </row>
    <row r="392" spans="4:12" x14ac:dyDescent="0.35">
      <c r="D392" s="20" t="str">
        <f t="shared" si="41"/>
        <v/>
      </c>
      <c r="E392" s="21" t="str">
        <f t="shared" si="42"/>
        <v/>
      </c>
      <c r="F392" s="20" t="str">
        <f t="shared" si="43"/>
        <v/>
      </c>
      <c r="G392" s="20">
        <f t="shared" si="45"/>
        <v>0</v>
      </c>
      <c r="H392" s="20">
        <f t="shared" si="46"/>
        <v>0</v>
      </c>
      <c r="I392" s="20">
        <f t="shared" si="47"/>
        <v>0</v>
      </c>
      <c r="J392" s="20">
        <f t="shared" si="44"/>
        <v>0</v>
      </c>
      <c r="K392" s="20">
        <f t="shared" si="44"/>
        <v>0</v>
      </c>
      <c r="L392" s="20">
        <f t="shared" si="44"/>
        <v>0</v>
      </c>
    </row>
    <row r="393" spans="4:12" x14ac:dyDescent="0.35">
      <c r="D393" s="20" t="str">
        <f t="shared" si="41"/>
        <v/>
      </c>
      <c r="E393" s="21" t="str">
        <f t="shared" si="42"/>
        <v/>
      </c>
      <c r="F393" s="20" t="str">
        <f t="shared" si="43"/>
        <v/>
      </c>
      <c r="G393" s="20">
        <f t="shared" si="45"/>
        <v>0</v>
      </c>
      <c r="H393" s="20">
        <f t="shared" si="46"/>
        <v>0</v>
      </c>
      <c r="I393" s="20">
        <f t="shared" si="47"/>
        <v>0</v>
      </c>
      <c r="J393" s="20">
        <f t="shared" si="44"/>
        <v>0</v>
      </c>
      <c r="K393" s="20">
        <f t="shared" si="44"/>
        <v>0</v>
      </c>
      <c r="L393" s="20">
        <f t="shared" si="44"/>
        <v>0</v>
      </c>
    </row>
    <row r="394" spans="4:12" x14ac:dyDescent="0.35">
      <c r="D394" s="20" t="str">
        <f t="shared" si="41"/>
        <v/>
      </c>
      <c r="E394" s="21" t="str">
        <f t="shared" si="42"/>
        <v/>
      </c>
      <c r="F394" s="20" t="str">
        <f t="shared" si="43"/>
        <v/>
      </c>
      <c r="G394" s="20">
        <f t="shared" si="45"/>
        <v>0</v>
      </c>
      <c r="H394" s="20">
        <f t="shared" si="46"/>
        <v>0</v>
      </c>
      <c r="I394" s="20">
        <f t="shared" si="47"/>
        <v>0</v>
      </c>
      <c r="J394" s="20">
        <f t="shared" si="44"/>
        <v>0</v>
      </c>
      <c r="K394" s="20">
        <f t="shared" si="44"/>
        <v>0</v>
      </c>
      <c r="L394" s="20">
        <f t="shared" si="44"/>
        <v>0</v>
      </c>
    </row>
    <row r="395" spans="4:12" x14ac:dyDescent="0.35">
      <c r="D395" s="20" t="str">
        <f t="shared" si="41"/>
        <v/>
      </c>
      <c r="E395" s="21" t="str">
        <f t="shared" si="42"/>
        <v/>
      </c>
      <c r="F395" s="20" t="str">
        <f t="shared" si="43"/>
        <v/>
      </c>
      <c r="G395" s="20">
        <f t="shared" si="45"/>
        <v>0</v>
      </c>
      <c r="H395" s="20">
        <f t="shared" si="46"/>
        <v>0</v>
      </c>
      <c r="I395" s="20">
        <f t="shared" si="47"/>
        <v>0</v>
      </c>
      <c r="J395" s="20">
        <f t="shared" si="44"/>
        <v>0</v>
      </c>
      <c r="K395" s="20">
        <f t="shared" si="44"/>
        <v>0</v>
      </c>
      <c r="L395" s="20">
        <f t="shared" si="44"/>
        <v>0</v>
      </c>
    </row>
    <row r="396" spans="4:12" x14ac:dyDescent="0.35">
      <c r="D396" s="20" t="str">
        <f t="shared" si="41"/>
        <v/>
      </c>
      <c r="E396" s="21" t="str">
        <f t="shared" si="42"/>
        <v/>
      </c>
      <c r="F396" s="20" t="str">
        <f t="shared" si="43"/>
        <v/>
      </c>
      <c r="G396" s="20">
        <f t="shared" si="45"/>
        <v>0</v>
      </c>
      <c r="H396" s="20">
        <f t="shared" si="46"/>
        <v>0</v>
      </c>
      <c r="I396" s="20">
        <f t="shared" si="47"/>
        <v>0</v>
      </c>
      <c r="J396" s="20">
        <f t="shared" si="44"/>
        <v>0</v>
      </c>
      <c r="K396" s="20">
        <f t="shared" si="44"/>
        <v>0</v>
      </c>
      <c r="L396" s="20">
        <f t="shared" si="44"/>
        <v>0</v>
      </c>
    </row>
    <row r="397" spans="4:12" x14ac:dyDescent="0.35">
      <c r="D397" s="20" t="str">
        <f t="shared" si="41"/>
        <v/>
      </c>
      <c r="E397" s="21" t="str">
        <f t="shared" si="42"/>
        <v/>
      </c>
      <c r="F397" s="20" t="str">
        <f t="shared" si="43"/>
        <v/>
      </c>
      <c r="G397" s="20">
        <f t="shared" si="45"/>
        <v>0</v>
      </c>
      <c r="H397" s="20">
        <f t="shared" si="46"/>
        <v>0</v>
      </c>
      <c r="I397" s="20">
        <f t="shared" si="47"/>
        <v>0</v>
      </c>
      <c r="J397" s="20">
        <f t="shared" si="44"/>
        <v>0</v>
      </c>
      <c r="K397" s="20">
        <f t="shared" si="44"/>
        <v>0</v>
      </c>
      <c r="L397" s="20">
        <f t="shared" si="44"/>
        <v>0</v>
      </c>
    </row>
    <row r="398" spans="4:12" x14ac:dyDescent="0.35">
      <c r="D398" s="20" t="str">
        <f t="shared" si="41"/>
        <v/>
      </c>
      <c r="E398" s="21" t="str">
        <f t="shared" si="42"/>
        <v/>
      </c>
      <c r="F398" s="20" t="str">
        <f t="shared" si="43"/>
        <v/>
      </c>
      <c r="G398" s="20">
        <f t="shared" si="45"/>
        <v>0</v>
      </c>
      <c r="H398" s="20">
        <f t="shared" si="46"/>
        <v>0</v>
      </c>
      <c r="I398" s="20">
        <f t="shared" si="47"/>
        <v>0</v>
      </c>
      <c r="J398" s="20">
        <f t="shared" si="44"/>
        <v>0</v>
      </c>
      <c r="K398" s="20">
        <f t="shared" si="44"/>
        <v>0</v>
      </c>
      <c r="L398" s="20">
        <f t="shared" si="44"/>
        <v>0</v>
      </c>
    </row>
    <row r="399" spans="4:12" x14ac:dyDescent="0.35">
      <c r="D399" s="20" t="str">
        <f t="shared" si="41"/>
        <v/>
      </c>
      <c r="E399" s="21" t="str">
        <f t="shared" si="42"/>
        <v/>
      </c>
      <c r="F399" s="20" t="str">
        <f t="shared" si="43"/>
        <v/>
      </c>
      <c r="G399" s="20">
        <f t="shared" si="45"/>
        <v>0</v>
      </c>
      <c r="H399" s="20">
        <f t="shared" si="46"/>
        <v>0</v>
      </c>
      <c r="I399" s="20">
        <f t="shared" si="47"/>
        <v>0</v>
      </c>
      <c r="J399" s="20">
        <f t="shared" si="44"/>
        <v>0</v>
      </c>
      <c r="K399" s="20">
        <f t="shared" si="44"/>
        <v>0</v>
      </c>
      <c r="L399" s="20">
        <f t="shared" si="44"/>
        <v>0</v>
      </c>
    </row>
    <row r="400" spans="4:12" x14ac:dyDescent="0.35">
      <c r="D400" s="20" t="str">
        <f t="shared" si="41"/>
        <v/>
      </c>
      <c r="E400" s="21" t="str">
        <f t="shared" si="42"/>
        <v/>
      </c>
      <c r="F400" s="20" t="str">
        <f t="shared" si="43"/>
        <v/>
      </c>
      <c r="G400" s="20">
        <f t="shared" si="45"/>
        <v>0</v>
      </c>
      <c r="H400" s="20">
        <f t="shared" si="46"/>
        <v>0</v>
      </c>
      <c r="I400" s="20">
        <f t="shared" si="47"/>
        <v>0</v>
      </c>
      <c r="J400" s="20">
        <f t="shared" si="44"/>
        <v>0</v>
      </c>
      <c r="K400" s="20">
        <f t="shared" si="44"/>
        <v>0</v>
      </c>
      <c r="L400" s="20">
        <f t="shared" si="44"/>
        <v>0</v>
      </c>
    </row>
    <row r="401" spans="4:12" x14ac:dyDescent="0.35">
      <c r="D401" s="20" t="str">
        <f t="shared" si="41"/>
        <v/>
      </c>
      <c r="E401" s="21" t="str">
        <f t="shared" si="42"/>
        <v/>
      </c>
      <c r="F401" s="20" t="str">
        <f t="shared" si="43"/>
        <v/>
      </c>
      <c r="G401" s="20">
        <f t="shared" si="45"/>
        <v>0</v>
      </c>
      <c r="H401" s="20">
        <f t="shared" si="46"/>
        <v>0</v>
      </c>
      <c r="I401" s="20">
        <f t="shared" si="47"/>
        <v>0</v>
      </c>
      <c r="J401" s="20">
        <f t="shared" si="44"/>
        <v>0</v>
      </c>
      <c r="K401" s="20">
        <f t="shared" si="44"/>
        <v>0</v>
      </c>
      <c r="L401" s="20">
        <f t="shared" si="44"/>
        <v>0</v>
      </c>
    </row>
    <row r="402" spans="4:12" x14ac:dyDescent="0.35">
      <c r="D402" s="20" t="str">
        <f t="shared" si="41"/>
        <v/>
      </c>
      <c r="E402" s="21" t="str">
        <f t="shared" si="42"/>
        <v/>
      </c>
      <c r="F402" s="20" t="str">
        <f t="shared" si="43"/>
        <v/>
      </c>
      <c r="G402" s="20">
        <f t="shared" si="45"/>
        <v>0</v>
      </c>
      <c r="H402" s="20">
        <f t="shared" si="46"/>
        <v>0</v>
      </c>
      <c r="I402" s="20">
        <f t="shared" si="47"/>
        <v>0</v>
      </c>
      <c r="J402" s="20">
        <f t="shared" si="44"/>
        <v>0</v>
      </c>
      <c r="K402" s="20">
        <f t="shared" si="44"/>
        <v>0</v>
      </c>
      <c r="L402" s="20">
        <f t="shared" si="44"/>
        <v>0</v>
      </c>
    </row>
    <row r="403" spans="4:12" x14ac:dyDescent="0.35">
      <c r="D403" s="20" t="str">
        <f t="shared" si="41"/>
        <v/>
      </c>
      <c r="E403" s="21" t="str">
        <f t="shared" si="42"/>
        <v/>
      </c>
      <c r="F403" s="20" t="str">
        <f t="shared" si="43"/>
        <v/>
      </c>
      <c r="G403" s="20">
        <f t="shared" si="45"/>
        <v>0</v>
      </c>
      <c r="H403" s="20">
        <f t="shared" si="46"/>
        <v>0</v>
      </c>
      <c r="I403" s="20">
        <f t="shared" si="47"/>
        <v>0</v>
      </c>
      <c r="J403" s="20">
        <f t="shared" si="44"/>
        <v>0</v>
      </c>
      <c r="K403" s="20">
        <f t="shared" si="44"/>
        <v>0</v>
      </c>
      <c r="L403" s="20">
        <f t="shared" si="44"/>
        <v>0</v>
      </c>
    </row>
    <row r="404" spans="4:12" x14ac:dyDescent="0.35">
      <c r="D404" s="20" t="str">
        <f t="shared" si="41"/>
        <v/>
      </c>
      <c r="E404" s="21" t="str">
        <f t="shared" si="42"/>
        <v/>
      </c>
      <c r="F404" s="20" t="str">
        <f t="shared" si="43"/>
        <v/>
      </c>
      <c r="G404" s="20">
        <f t="shared" si="45"/>
        <v>0</v>
      </c>
      <c r="H404" s="20">
        <f t="shared" si="46"/>
        <v>0</v>
      </c>
      <c r="I404" s="20">
        <f t="shared" si="47"/>
        <v>0</v>
      </c>
      <c r="J404" s="20">
        <f t="shared" si="44"/>
        <v>0</v>
      </c>
      <c r="K404" s="20">
        <f t="shared" si="44"/>
        <v>0</v>
      </c>
      <c r="L404" s="20">
        <f t="shared" si="44"/>
        <v>0</v>
      </c>
    </row>
    <row r="405" spans="4:12" x14ac:dyDescent="0.35">
      <c r="D405" s="20" t="str">
        <f t="shared" si="41"/>
        <v/>
      </c>
      <c r="E405" s="21" t="str">
        <f t="shared" si="42"/>
        <v/>
      </c>
      <c r="F405" s="20" t="str">
        <f t="shared" si="43"/>
        <v/>
      </c>
      <c r="G405" s="20">
        <f t="shared" si="45"/>
        <v>0</v>
      </c>
      <c r="H405" s="20">
        <f t="shared" si="46"/>
        <v>0</v>
      </c>
      <c r="I405" s="20">
        <f t="shared" si="47"/>
        <v>0</v>
      </c>
      <c r="J405" s="20">
        <f t="shared" si="44"/>
        <v>0</v>
      </c>
      <c r="K405" s="20">
        <f t="shared" si="44"/>
        <v>0</v>
      </c>
      <c r="L405" s="20">
        <f t="shared" si="44"/>
        <v>0</v>
      </c>
    </row>
    <row r="406" spans="4:12" x14ac:dyDescent="0.35">
      <c r="D406" s="20" t="str">
        <f t="shared" si="41"/>
        <v/>
      </c>
      <c r="E406" s="21" t="str">
        <f t="shared" si="42"/>
        <v/>
      </c>
      <c r="F406" s="20" t="str">
        <f t="shared" si="43"/>
        <v/>
      </c>
      <c r="G406" s="20">
        <f t="shared" si="45"/>
        <v>0</v>
      </c>
      <c r="H406" s="20">
        <f t="shared" si="46"/>
        <v>0</v>
      </c>
      <c r="I406" s="20">
        <f t="shared" si="47"/>
        <v>0</v>
      </c>
      <c r="J406" s="20">
        <f t="shared" si="44"/>
        <v>0</v>
      </c>
      <c r="K406" s="20">
        <f t="shared" si="44"/>
        <v>0</v>
      </c>
      <c r="L406" s="20">
        <f t="shared" si="44"/>
        <v>0</v>
      </c>
    </row>
    <row r="407" spans="4:12" x14ac:dyDescent="0.35">
      <c r="D407" s="20" t="str">
        <f t="shared" ref="D407:D470" si="48">IF(D406&lt;=$B$5,D406+1,"")</f>
        <v/>
      </c>
      <c r="E407" s="21" t="str">
        <f t="shared" ref="E407:E470" si="49">IF(D406&lt;=$B$5,E406+$B$6,"")</f>
        <v/>
      </c>
      <c r="F407" s="20" t="str">
        <f t="shared" ref="F407:F470" si="50">IF(D406&lt;=$B$5,(20*COS((5/2)*E407^2+1))/(E407^2+2),"")</f>
        <v/>
      </c>
      <c r="G407" s="20">
        <f t="shared" si="45"/>
        <v>0</v>
      </c>
      <c r="H407" s="20">
        <f t="shared" si="46"/>
        <v>0</v>
      </c>
      <c r="I407" s="20">
        <f t="shared" si="47"/>
        <v>0</v>
      </c>
      <c r="J407" s="20">
        <f t="shared" si="44"/>
        <v>0</v>
      </c>
      <c r="K407" s="20">
        <f t="shared" si="44"/>
        <v>0</v>
      </c>
      <c r="L407" s="20">
        <f t="shared" si="44"/>
        <v>0</v>
      </c>
    </row>
    <row r="408" spans="4:12" x14ac:dyDescent="0.35">
      <c r="D408" s="20" t="str">
        <f t="shared" si="48"/>
        <v/>
      </c>
      <c r="E408" s="21" t="str">
        <f t="shared" si="49"/>
        <v/>
      </c>
      <c r="F408" s="20" t="str">
        <f t="shared" si="50"/>
        <v/>
      </c>
      <c r="G408" s="20">
        <f t="shared" si="45"/>
        <v>0</v>
      </c>
      <c r="H408" s="20">
        <f t="shared" si="46"/>
        <v>0</v>
      </c>
      <c r="I408" s="20">
        <f t="shared" si="47"/>
        <v>0</v>
      </c>
      <c r="J408" s="20">
        <f t="shared" si="44"/>
        <v>0</v>
      </c>
      <c r="K408" s="20">
        <f t="shared" si="44"/>
        <v>0</v>
      </c>
      <c r="L408" s="20">
        <f t="shared" si="44"/>
        <v>0</v>
      </c>
    </row>
    <row r="409" spans="4:12" x14ac:dyDescent="0.35">
      <c r="D409" s="20" t="str">
        <f t="shared" si="48"/>
        <v/>
      </c>
      <c r="E409" s="21" t="str">
        <f t="shared" si="49"/>
        <v/>
      </c>
      <c r="F409" s="20" t="str">
        <f t="shared" si="50"/>
        <v/>
      </c>
      <c r="G409" s="20">
        <f t="shared" si="45"/>
        <v>0</v>
      </c>
      <c r="H409" s="20">
        <f t="shared" si="46"/>
        <v>0</v>
      </c>
      <c r="I409" s="20">
        <f t="shared" si="47"/>
        <v>0</v>
      </c>
      <c r="J409" s="20">
        <f t="shared" si="44"/>
        <v>0</v>
      </c>
      <c r="K409" s="20">
        <f t="shared" si="44"/>
        <v>0</v>
      </c>
      <c r="L409" s="20">
        <f t="shared" si="44"/>
        <v>0</v>
      </c>
    </row>
    <row r="410" spans="4:12" x14ac:dyDescent="0.35">
      <c r="D410" s="20" t="str">
        <f t="shared" si="48"/>
        <v/>
      </c>
      <c r="E410" s="21" t="str">
        <f t="shared" si="49"/>
        <v/>
      </c>
      <c r="F410" s="20" t="str">
        <f t="shared" si="50"/>
        <v/>
      </c>
      <c r="G410" s="20">
        <f t="shared" si="45"/>
        <v>0</v>
      </c>
      <c r="H410" s="20">
        <f t="shared" si="46"/>
        <v>0</v>
      </c>
      <c r="I410" s="20">
        <f t="shared" si="47"/>
        <v>0</v>
      </c>
      <c r="J410" s="20">
        <f t="shared" si="44"/>
        <v>0</v>
      </c>
      <c r="K410" s="20">
        <f t="shared" si="44"/>
        <v>0</v>
      </c>
      <c r="L410" s="20">
        <f t="shared" si="44"/>
        <v>0</v>
      </c>
    </row>
    <row r="411" spans="4:12" x14ac:dyDescent="0.35">
      <c r="D411" s="20" t="str">
        <f t="shared" si="48"/>
        <v/>
      </c>
      <c r="E411" s="21" t="str">
        <f t="shared" si="49"/>
        <v/>
      </c>
      <c r="F411" s="20" t="str">
        <f t="shared" si="50"/>
        <v/>
      </c>
      <c r="G411" s="20">
        <f t="shared" si="45"/>
        <v>0</v>
      </c>
      <c r="H411" s="20">
        <f t="shared" si="46"/>
        <v>0</v>
      </c>
      <c r="I411" s="20">
        <f t="shared" si="47"/>
        <v>0</v>
      </c>
      <c r="J411" s="20">
        <f t="shared" si="44"/>
        <v>0</v>
      </c>
      <c r="K411" s="20">
        <f t="shared" si="44"/>
        <v>0</v>
      </c>
      <c r="L411" s="20">
        <f t="shared" si="44"/>
        <v>0</v>
      </c>
    </row>
    <row r="412" spans="4:12" x14ac:dyDescent="0.35">
      <c r="D412" s="20" t="str">
        <f t="shared" si="48"/>
        <v/>
      </c>
      <c r="E412" s="21" t="str">
        <f t="shared" si="49"/>
        <v/>
      </c>
      <c r="F412" s="20" t="str">
        <f t="shared" si="50"/>
        <v/>
      </c>
      <c r="G412" s="20">
        <f t="shared" si="45"/>
        <v>0</v>
      </c>
      <c r="H412" s="20">
        <f t="shared" si="46"/>
        <v>0</v>
      </c>
      <c r="I412" s="20">
        <f t="shared" si="47"/>
        <v>0</v>
      </c>
      <c r="J412" s="20">
        <f t="shared" si="44"/>
        <v>0</v>
      </c>
      <c r="K412" s="20">
        <f t="shared" si="44"/>
        <v>0</v>
      </c>
      <c r="L412" s="20">
        <f t="shared" si="44"/>
        <v>0</v>
      </c>
    </row>
    <row r="413" spans="4:12" x14ac:dyDescent="0.35">
      <c r="D413" s="20" t="str">
        <f t="shared" si="48"/>
        <v/>
      </c>
      <c r="E413" s="21" t="str">
        <f t="shared" si="49"/>
        <v/>
      </c>
      <c r="F413" s="20" t="str">
        <f t="shared" si="50"/>
        <v/>
      </c>
      <c r="G413" s="20">
        <f t="shared" si="45"/>
        <v>0</v>
      </c>
      <c r="H413" s="20">
        <f t="shared" si="46"/>
        <v>0</v>
      </c>
      <c r="I413" s="20">
        <f t="shared" si="47"/>
        <v>0</v>
      </c>
      <c r="J413" s="20">
        <f t="shared" si="44"/>
        <v>0</v>
      </c>
      <c r="K413" s="20">
        <f t="shared" si="44"/>
        <v>0</v>
      </c>
      <c r="L413" s="20">
        <f t="shared" si="44"/>
        <v>0</v>
      </c>
    </row>
    <row r="414" spans="4:12" x14ac:dyDescent="0.35">
      <c r="D414" s="20" t="str">
        <f t="shared" si="48"/>
        <v/>
      </c>
      <c r="E414" s="21" t="str">
        <f t="shared" si="49"/>
        <v/>
      </c>
      <c r="F414" s="20" t="str">
        <f t="shared" si="50"/>
        <v/>
      </c>
      <c r="G414" s="20">
        <f t="shared" si="45"/>
        <v>0</v>
      </c>
      <c r="H414" s="20">
        <f t="shared" si="46"/>
        <v>0</v>
      </c>
      <c r="I414" s="20">
        <f t="shared" si="47"/>
        <v>0</v>
      </c>
      <c r="J414" s="20">
        <f t="shared" si="44"/>
        <v>0</v>
      </c>
      <c r="K414" s="20">
        <f t="shared" si="44"/>
        <v>0</v>
      </c>
      <c r="L414" s="20">
        <f t="shared" si="44"/>
        <v>0</v>
      </c>
    </row>
    <row r="415" spans="4:12" x14ac:dyDescent="0.35">
      <c r="D415" s="20" t="str">
        <f t="shared" si="48"/>
        <v/>
      </c>
      <c r="E415" s="21" t="str">
        <f t="shared" si="49"/>
        <v/>
      </c>
      <c r="F415" s="20" t="str">
        <f t="shared" si="50"/>
        <v/>
      </c>
      <c r="G415" s="20">
        <f t="shared" si="45"/>
        <v>0</v>
      </c>
      <c r="H415" s="20">
        <f t="shared" si="46"/>
        <v>0</v>
      </c>
      <c r="I415" s="20">
        <f t="shared" si="47"/>
        <v>0</v>
      </c>
      <c r="J415" s="20">
        <f t="shared" si="44"/>
        <v>0</v>
      </c>
      <c r="K415" s="20">
        <f t="shared" si="44"/>
        <v>0</v>
      </c>
      <c r="L415" s="20">
        <f t="shared" si="44"/>
        <v>0</v>
      </c>
    </row>
    <row r="416" spans="4:12" x14ac:dyDescent="0.35">
      <c r="D416" s="20" t="str">
        <f t="shared" si="48"/>
        <v/>
      </c>
      <c r="E416" s="21" t="str">
        <f t="shared" si="49"/>
        <v/>
      </c>
      <c r="F416" s="20" t="str">
        <f t="shared" si="50"/>
        <v/>
      </c>
      <c r="G416" s="20">
        <f t="shared" si="45"/>
        <v>0</v>
      </c>
      <c r="H416" s="20">
        <f t="shared" si="46"/>
        <v>0</v>
      </c>
      <c r="I416" s="20">
        <f t="shared" si="47"/>
        <v>0</v>
      </c>
      <c r="J416" s="20">
        <f t="shared" si="44"/>
        <v>0</v>
      </c>
      <c r="K416" s="20">
        <f t="shared" si="44"/>
        <v>0</v>
      </c>
      <c r="L416" s="20">
        <f t="shared" si="44"/>
        <v>0</v>
      </c>
    </row>
    <row r="417" spans="4:12" x14ac:dyDescent="0.35">
      <c r="D417" s="20" t="str">
        <f t="shared" si="48"/>
        <v/>
      </c>
      <c r="E417" s="21" t="str">
        <f t="shared" si="49"/>
        <v/>
      </c>
      <c r="F417" s="20" t="str">
        <f t="shared" si="50"/>
        <v/>
      </c>
      <c r="G417" s="20">
        <f t="shared" si="45"/>
        <v>0</v>
      </c>
      <c r="H417" s="20">
        <f t="shared" si="46"/>
        <v>0</v>
      </c>
      <c r="I417" s="20">
        <f t="shared" si="47"/>
        <v>0</v>
      </c>
      <c r="J417" s="20">
        <f t="shared" si="44"/>
        <v>0</v>
      </c>
      <c r="K417" s="20">
        <f t="shared" si="44"/>
        <v>0</v>
      </c>
      <c r="L417" s="20">
        <f t="shared" si="44"/>
        <v>0</v>
      </c>
    </row>
    <row r="418" spans="4:12" x14ac:dyDescent="0.35">
      <c r="D418" s="20" t="str">
        <f t="shared" si="48"/>
        <v/>
      </c>
      <c r="E418" s="21" t="str">
        <f t="shared" si="49"/>
        <v/>
      </c>
      <c r="F418" s="20" t="str">
        <f t="shared" si="50"/>
        <v/>
      </c>
      <c r="G418" s="20">
        <f t="shared" si="45"/>
        <v>0</v>
      </c>
      <c r="H418" s="20">
        <f t="shared" si="46"/>
        <v>0</v>
      </c>
      <c r="I418" s="20">
        <f t="shared" si="47"/>
        <v>0</v>
      </c>
      <c r="J418" s="20">
        <f t="shared" si="44"/>
        <v>0</v>
      </c>
      <c r="K418" s="20">
        <f t="shared" si="44"/>
        <v>0</v>
      </c>
      <c r="L418" s="20">
        <f t="shared" si="44"/>
        <v>0</v>
      </c>
    </row>
    <row r="419" spans="4:12" x14ac:dyDescent="0.35">
      <c r="D419" s="20" t="str">
        <f t="shared" si="48"/>
        <v/>
      </c>
      <c r="E419" s="21" t="str">
        <f t="shared" si="49"/>
        <v/>
      </c>
      <c r="F419" s="20" t="str">
        <f t="shared" si="50"/>
        <v/>
      </c>
      <c r="G419" s="20">
        <f t="shared" si="45"/>
        <v>0</v>
      </c>
      <c r="H419" s="20">
        <f t="shared" si="46"/>
        <v>0</v>
      </c>
      <c r="I419" s="20">
        <f t="shared" si="47"/>
        <v>0</v>
      </c>
      <c r="J419" s="20">
        <f t="shared" si="44"/>
        <v>0</v>
      </c>
      <c r="K419" s="20">
        <f t="shared" si="44"/>
        <v>0</v>
      </c>
      <c r="L419" s="20">
        <f t="shared" si="44"/>
        <v>0</v>
      </c>
    </row>
    <row r="420" spans="4:12" x14ac:dyDescent="0.35">
      <c r="D420" s="20" t="str">
        <f t="shared" si="48"/>
        <v/>
      </c>
      <c r="E420" s="21" t="str">
        <f t="shared" si="49"/>
        <v/>
      </c>
      <c r="F420" s="20" t="str">
        <f t="shared" si="50"/>
        <v/>
      </c>
      <c r="G420" s="20">
        <f t="shared" si="45"/>
        <v>0</v>
      </c>
      <c r="H420" s="20">
        <f t="shared" si="46"/>
        <v>0</v>
      </c>
      <c r="I420" s="20">
        <f t="shared" si="47"/>
        <v>0</v>
      </c>
      <c r="J420" s="20">
        <f t="shared" si="44"/>
        <v>0</v>
      </c>
      <c r="K420" s="20">
        <f t="shared" si="44"/>
        <v>0</v>
      </c>
      <c r="L420" s="20">
        <f t="shared" si="44"/>
        <v>0</v>
      </c>
    </row>
    <row r="421" spans="4:12" x14ac:dyDescent="0.35">
      <c r="D421" s="20" t="str">
        <f t="shared" si="48"/>
        <v/>
      </c>
      <c r="E421" s="21" t="str">
        <f t="shared" si="49"/>
        <v/>
      </c>
      <c r="F421" s="20" t="str">
        <f t="shared" si="50"/>
        <v/>
      </c>
      <c r="G421" s="20">
        <f t="shared" si="45"/>
        <v>0</v>
      </c>
      <c r="H421" s="20">
        <f t="shared" si="46"/>
        <v>0</v>
      </c>
      <c r="I421" s="20">
        <f t="shared" si="47"/>
        <v>0</v>
      </c>
      <c r="J421" s="20">
        <f t="shared" si="44"/>
        <v>0</v>
      </c>
      <c r="K421" s="20">
        <f t="shared" si="44"/>
        <v>0</v>
      </c>
      <c r="L421" s="20">
        <f t="shared" si="44"/>
        <v>0</v>
      </c>
    </row>
    <row r="422" spans="4:12" x14ac:dyDescent="0.35">
      <c r="D422" s="20" t="str">
        <f t="shared" si="48"/>
        <v/>
      </c>
      <c r="E422" s="21" t="str">
        <f t="shared" si="49"/>
        <v/>
      </c>
      <c r="F422" s="20" t="str">
        <f t="shared" si="50"/>
        <v/>
      </c>
      <c r="G422" s="20">
        <f t="shared" si="45"/>
        <v>0</v>
      </c>
      <c r="H422" s="20">
        <f t="shared" si="46"/>
        <v>0</v>
      </c>
      <c r="I422" s="20">
        <f t="shared" si="47"/>
        <v>0</v>
      </c>
      <c r="J422" s="20">
        <f t="shared" si="44"/>
        <v>0</v>
      </c>
      <c r="K422" s="20">
        <f t="shared" si="44"/>
        <v>0</v>
      </c>
      <c r="L422" s="20">
        <f t="shared" si="44"/>
        <v>0</v>
      </c>
    </row>
    <row r="423" spans="4:12" x14ac:dyDescent="0.35">
      <c r="D423" s="20" t="str">
        <f t="shared" si="48"/>
        <v/>
      </c>
      <c r="E423" s="21" t="str">
        <f t="shared" si="49"/>
        <v/>
      </c>
      <c r="F423" s="20" t="str">
        <f t="shared" si="50"/>
        <v/>
      </c>
      <c r="G423" s="20">
        <f t="shared" si="45"/>
        <v>0</v>
      </c>
      <c r="H423" s="20">
        <f t="shared" si="46"/>
        <v>0</v>
      </c>
      <c r="I423" s="20">
        <f t="shared" si="47"/>
        <v>0</v>
      </c>
      <c r="J423" s="20">
        <f t="shared" si="44"/>
        <v>0</v>
      </c>
      <c r="K423" s="20">
        <f t="shared" si="44"/>
        <v>0</v>
      </c>
      <c r="L423" s="20">
        <f t="shared" si="44"/>
        <v>0</v>
      </c>
    </row>
    <row r="424" spans="4:12" x14ac:dyDescent="0.35">
      <c r="D424" s="20" t="str">
        <f t="shared" si="48"/>
        <v/>
      </c>
      <c r="E424" s="21" t="str">
        <f t="shared" si="49"/>
        <v/>
      </c>
      <c r="F424" s="20" t="str">
        <f t="shared" si="50"/>
        <v/>
      </c>
      <c r="G424" s="20">
        <f t="shared" si="45"/>
        <v>0</v>
      </c>
      <c r="H424" s="20">
        <f t="shared" si="46"/>
        <v>0</v>
      </c>
      <c r="I424" s="20">
        <f t="shared" si="47"/>
        <v>0</v>
      </c>
      <c r="J424" s="20">
        <f t="shared" si="44"/>
        <v>0</v>
      </c>
      <c r="K424" s="20">
        <f t="shared" si="44"/>
        <v>0</v>
      </c>
      <c r="L424" s="20">
        <f t="shared" si="44"/>
        <v>0</v>
      </c>
    </row>
    <row r="425" spans="4:12" x14ac:dyDescent="0.35">
      <c r="D425" s="20" t="str">
        <f t="shared" si="48"/>
        <v/>
      </c>
      <c r="E425" s="21" t="str">
        <f t="shared" si="49"/>
        <v/>
      </c>
      <c r="F425" s="20" t="str">
        <f t="shared" si="50"/>
        <v/>
      </c>
      <c r="G425" s="20">
        <f t="shared" si="45"/>
        <v>0</v>
      </c>
      <c r="H425" s="20">
        <f t="shared" si="46"/>
        <v>0</v>
      </c>
      <c r="I425" s="20">
        <f t="shared" si="47"/>
        <v>0</v>
      </c>
      <c r="J425" s="20">
        <f t="shared" si="44"/>
        <v>0</v>
      </c>
      <c r="K425" s="20">
        <f t="shared" si="44"/>
        <v>0</v>
      </c>
      <c r="L425" s="20">
        <f t="shared" si="44"/>
        <v>0</v>
      </c>
    </row>
    <row r="426" spans="4:12" x14ac:dyDescent="0.35">
      <c r="D426" s="20" t="str">
        <f t="shared" si="48"/>
        <v/>
      </c>
      <c r="E426" s="21" t="str">
        <f t="shared" si="49"/>
        <v/>
      </c>
      <c r="F426" s="20" t="str">
        <f t="shared" si="50"/>
        <v/>
      </c>
      <c r="G426" s="20">
        <f t="shared" si="45"/>
        <v>0</v>
      </c>
      <c r="H426" s="20">
        <f t="shared" si="46"/>
        <v>0</v>
      </c>
      <c r="I426" s="20">
        <f t="shared" si="47"/>
        <v>0</v>
      </c>
      <c r="J426" s="20">
        <f t="shared" si="44"/>
        <v>0</v>
      </c>
      <c r="K426" s="20">
        <f t="shared" si="44"/>
        <v>0</v>
      </c>
      <c r="L426" s="20">
        <f t="shared" si="44"/>
        <v>0</v>
      </c>
    </row>
    <row r="427" spans="4:12" x14ac:dyDescent="0.35">
      <c r="D427" s="20" t="str">
        <f t="shared" si="48"/>
        <v/>
      </c>
      <c r="E427" s="21" t="str">
        <f t="shared" si="49"/>
        <v/>
      </c>
      <c r="F427" s="20" t="str">
        <f t="shared" si="50"/>
        <v/>
      </c>
      <c r="G427" s="20">
        <f t="shared" si="45"/>
        <v>0</v>
      </c>
      <c r="H427" s="20">
        <f t="shared" si="46"/>
        <v>0</v>
      </c>
      <c r="I427" s="20">
        <f t="shared" si="47"/>
        <v>0</v>
      </c>
      <c r="J427" s="20">
        <f t="shared" si="44"/>
        <v>0</v>
      </c>
      <c r="K427" s="20">
        <f t="shared" si="44"/>
        <v>0</v>
      </c>
      <c r="L427" s="20">
        <f t="shared" si="44"/>
        <v>0</v>
      </c>
    </row>
    <row r="428" spans="4:12" x14ac:dyDescent="0.35">
      <c r="D428" s="20" t="str">
        <f t="shared" si="48"/>
        <v/>
      </c>
      <c r="E428" s="21" t="str">
        <f t="shared" si="49"/>
        <v/>
      </c>
      <c r="F428" s="20" t="str">
        <f t="shared" si="50"/>
        <v/>
      </c>
      <c r="G428" s="20">
        <f t="shared" si="45"/>
        <v>0</v>
      </c>
      <c r="H428" s="20">
        <f t="shared" si="46"/>
        <v>0</v>
      </c>
      <c r="I428" s="20">
        <f t="shared" si="47"/>
        <v>0</v>
      </c>
      <c r="J428" s="20">
        <f t="shared" si="44"/>
        <v>0</v>
      </c>
      <c r="K428" s="20">
        <f t="shared" si="44"/>
        <v>0</v>
      </c>
      <c r="L428" s="20">
        <f t="shared" si="44"/>
        <v>0</v>
      </c>
    </row>
    <row r="429" spans="4:12" x14ac:dyDescent="0.35">
      <c r="D429" s="20" t="str">
        <f t="shared" si="48"/>
        <v/>
      </c>
      <c r="E429" s="21" t="str">
        <f t="shared" si="49"/>
        <v/>
      </c>
      <c r="F429" s="20" t="str">
        <f t="shared" si="50"/>
        <v/>
      </c>
      <c r="G429" s="20">
        <f t="shared" si="45"/>
        <v>0</v>
      </c>
      <c r="H429" s="20">
        <f t="shared" si="46"/>
        <v>0</v>
      </c>
      <c r="I429" s="20">
        <f t="shared" si="47"/>
        <v>0</v>
      </c>
      <c r="J429" s="20">
        <f t="shared" si="44"/>
        <v>0</v>
      </c>
      <c r="K429" s="20">
        <f t="shared" si="44"/>
        <v>0</v>
      </c>
      <c r="L429" s="20">
        <f t="shared" si="44"/>
        <v>0</v>
      </c>
    </row>
    <row r="430" spans="4:12" x14ac:dyDescent="0.35">
      <c r="D430" s="20" t="str">
        <f t="shared" si="48"/>
        <v/>
      </c>
      <c r="E430" s="21" t="str">
        <f t="shared" si="49"/>
        <v/>
      </c>
      <c r="F430" s="20" t="str">
        <f t="shared" si="50"/>
        <v/>
      </c>
      <c r="G430" s="20">
        <f t="shared" si="45"/>
        <v>0</v>
      </c>
      <c r="H430" s="20">
        <f t="shared" si="46"/>
        <v>0</v>
      </c>
      <c r="I430" s="20">
        <f t="shared" si="47"/>
        <v>0</v>
      </c>
      <c r="J430" s="20">
        <f t="shared" si="44"/>
        <v>0</v>
      </c>
      <c r="K430" s="20">
        <f t="shared" si="44"/>
        <v>0</v>
      </c>
      <c r="L430" s="20">
        <f t="shared" si="44"/>
        <v>0</v>
      </c>
    </row>
    <row r="431" spans="4:12" x14ac:dyDescent="0.35">
      <c r="D431" s="20" t="str">
        <f t="shared" si="48"/>
        <v/>
      </c>
      <c r="E431" s="21" t="str">
        <f t="shared" si="49"/>
        <v/>
      </c>
      <c r="F431" s="20" t="str">
        <f t="shared" si="50"/>
        <v/>
      </c>
      <c r="G431" s="20">
        <f t="shared" si="45"/>
        <v>0</v>
      </c>
      <c r="H431" s="20">
        <f t="shared" si="46"/>
        <v>0</v>
      </c>
      <c r="I431" s="20">
        <f t="shared" si="47"/>
        <v>0</v>
      </c>
      <c r="J431" s="20">
        <f t="shared" si="44"/>
        <v>0</v>
      </c>
      <c r="K431" s="20">
        <f t="shared" si="44"/>
        <v>0</v>
      </c>
      <c r="L431" s="20">
        <f t="shared" si="44"/>
        <v>0</v>
      </c>
    </row>
    <row r="432" spans="4:12" x14ac:dyDescent="0.35">
      <c r="D432" s="20" t="str">
        <f t="shared" si="48"/>
        <v/>
      </c>
      <c r="E432" s="21" t="str">
        <f t="shared" si="49"/>
        <v/>
      </c>
      <c r="F432" s="20" t="str">
        <f t="shared" si="50"/>
        <v/>
      </c>
      <c r="G432" s="20">
        <f t="shared" si="45"/>
        <v>0</v>
      </c>
      <c r="H432" s="20">
        <f t="shared" si="46"/>
        <v>0</v>
      </c>
      <c r="I432" s="20">
        <f t="shared" si="47"/>
        <v>0</v>
      </c>
      <c r="J432" s="20">
        <f t="shared" si="44"/>
        <v>0</v>
      </c>
      <c r="K432" s="20">
        <f t="shared" si="44"/>
        <v>0</v>
      </c>
      <c r="L432" s="20">
        <f t="shared" si="44"/>
        <v>0</v>
      </c>
    </row>
    <row r="433" spans="4:12" x14ac:dyDescent="0.35">
      <c r="D433" s="20" t="str">
        <f t="shared" si="48"/>
        <v/>
      </c>
      <c r="E433" s="21" t="str">
        <f t="shared" si="49"/>
        <v/>
      </c>
      <c r="F433" s="20" t="str">
        <f t="shared" si="50"/>
        <v/>
      </c>
      <c r="G433" s="20">
        <f t="shared" si="45"/>
        <v>0</v>
      </c>
      <c r="H433" s="20">
        <f t="shared" si="46"/>
        <v>0</v>
      </c>
      <c r="I433" s="20">
        <f t="shared" si="47"/>
        <v>0</v>
      </c>
      <c r="J433" s="20">
        <f t="shared" si="44"/>
        <v>0</v>
      </c>
      <c r="K433" s="20">
        <f t="shared" si="44"/>
        <v>0</v>
      </c>
      <c r="L433" s="20">
        <f t="shared" si="44"/>
        <v>0</v>
      </c>
    </row>
    <row r="434" spans="4:12" x14ac:dyDescent="0.35">
      <c r="D434" s="20" t="str">
        <f t="shared" si="48"/>
        <v/>
      </c>
      <c r="E434" s="21" t="str">
        <f t="shared" si="49"/>
        <v/>
      </c>
      <c r="F434" s="20" t="str">
        <f t="shared" si="50"/>
        <v/>
      </c>
      <c r="G434" s="20">
        <f t="shared" si="45"/>
        <v>0</v>
      </c>
      <c r="H434" s="20">
        <f t="shared" si="46"/>
        <v>0</v>
      </c>
      <c r="I434" s="20">
        <f t="shared" si="47"/>
        <v>0</v>
      </c>
      <c r="J434" s="20">
        <f t="shared" si="44"/>
        <v>0</v>
      </c>
      <c r="K434" s="20">
        <f t="shared" si="44"/>
        <v>0</v>
      </c>
      <c r="L434" s="20">
        <f t="shared" si="44"/>
        <v>0</v>
      </c>
    </row>
    <row r="435" spans="4:12" x14ac:dyDescent="0.35">
      <c r="D435" s="20" t="str">
        <f t="shared" si="48"/>
        <v/>
      </c>
      <c r="E435" s="21" t="str">
        <f t="shared" si="49"/>
        <v/>
      </c>
      <c r="F435" s="20" t="str">
        <f t="shared" si="50"/>
        <v/>
      </c>
      <c r="G435" s="20">
        <f t="shared" si="45"/>
        <v>0</v>
      </c>
      <c r="H435" s="20">
        <f t="shared" si="46"/>
        <v>0</v>
      </c>
      <c r="I435" s="20">
        <f t="shared" si="47"/>
        <v>0</v>
      </c>
      <c r="J435" s="20">
        <f t="shared" si="44"/>
        <v>0</v>
      </c>
      <c r="K435" s="20">
        <f t="shared" si="44"/>
        <v>0</v>
      </c>
      <c r="L435" s="20">
        <f t="shared" si="44"/>
        <v>0</v>
      </c>
    </row>
    <row r="436" spans="4:12" x14ac:dyDescent="0.35">
      <c r="D436" s="20" t="str">
        <f t="shared" si="48"/>
        <v/>
      </c>
      <c r="E436" s="21" t="str">
        <f t="shared" si="49"/>
        <v/>
      </c>
      <c r="F436" s="20" t="str">
        <f t="shared" si="50"/>
        <v/>
      </c>
      <c r="G436" s="20">
        <f t="shared" si="45"/>
        <v>0</v>
      </c>
      <c r="H436" s="20">
        <f t="shared" si="46"/>
        <v>0</v>
      </c>
      <c r="I436" s="20">
        <f t="shared" si="47"/>
        <v>0</v>
      </c>
      <c r="J436" s="20">
        <f t="shared" si="44"/>
        <v>0</v>
      </c>
      <c r="K436" s="20">
        <f t="shared" si="44"/>
        <v>0</v>
      </c>
      <c r="L436" s="20">
        <f t="shared" si="44"/>
        <v>0</v>
      </c>
    </row>
    <row r="437" spans="4:12" x14ac:dyDescent="0.35">
      <c r="D437" s="20" t="str">
        <f t="shared" si="48"/>
        <v/>
      </c>
      <c r="E437" s="21" t="str">
        <f t="shared" si="49"/>
        <v/>
      </c>
      <c r="F437" s="20" t="str">
        <f t="shared" si="50"/>
        <v/>
      </c>
      <c r="G437" s="20">
        <f t="shared" si="45"/>
        <v>0</v>
      </c>
      <c r="H437" s="20">
        <f t="shared" si="46"/>
        <v>0</v>
      </c>
      <c r="I437" s="20">
        <f t="shared" si="47"/>
        <v>0</v>
      </c>
      <c r="J437" s="20">
        <f t="shared" si="44"/>
        <v>0</v>
      </c>
      <c r="K437" s="20">
        <f t="shared" si="44"/>
        <v>0</v>
      </c>
      <c r="L437" s="20">
        <f t="shared" si="44"/>
        <v>0</v>
      </c>
    </row>
    <row r="438" spans="4:12" x14ac:dyDescent="0.35">
      <c r="D438" s="20" t="str">
        <f t="shared" si="48"/>
        <v/>
      </c>
      <c r="E438" s="21" t="str">
        <f t="shared" si="49"/>
        <v/>
      </c>
      <c r="F438" s="20" t="str">
        <f t="shared" si="50"/>
        <v/>
      </c>
      <c r="G438" s="20">
        <f t="shared" si="45"/>
        <v>0</v>
      </c>
      <c r="H438" s="20">
        <f t="shared" si="46"/>
        <v>0</v>
      </c>
      <c r="I438" s="20">
        <f t="shared" si="47"/>
        <v>0</v>
      </c>
      <c r="J438" s="20">
        <f t="shared" si="44"/>
        <v>0</v>
      </c>
      <c r="K438" s="20">
        <f t="shared" si="44"/>
        <v>0</v>
      </c>
      <c r="L438" s="20">
        <f t="shared" si="44"/>
        <v>0</v>
      </c>
    </row>
    <row r="439" spans="4:12" x14ac:dyDescent="0.35">
      <c r="D439" s="20" t="str">
        <f t="shared" si="48"/>
        <v/>
      </c>
      <c r="E439" s="21" t="str">
        <f t="shared" si="49"/>
        <v/>
      </c>
      <c r="F439" s="20" t="str">
        <f t="shared" si="50"/>
        <v/>
      </c>
      <c r="G439" s="20">
        <f t="shared" si="45"/>
        <v>0</v>
      </c>
      <c r="H439" s="20">
        <f t="shared" si="46"/>
        <v>0</v>
      </c>
      <c r="I439" s="20">
        <f t="shared" si="47"/>
        <v>0</v>
      </c>
      <c r="J439" s="20">
        <f t="shared" si="44"/>
        <v>0</v>
      </c>
      <c r="K439" s="20">
        <f t="shared" si="44"/>
        <v>0</v>
      </c>
      <c r="L439" s="20">
        <f t="shared" si="44"/>
        <v>0</v>
      </c>
    </row>
    <row r="440" spans="4:12" x14ac:dyDescent="0.35">
      <c r="D440" s="20" t="str">
        <f t="shared" si="48"/>
        <v/>
      </c>
      <c r="E440" s="21" t="str">
        <f t="shared" si="49"/>
        <v/>
      </c>
      <c r="F440" s="20" t="str">
        <f t="shared" si="50"/>
        <v/>
      </c>
      <c r="G440" s="20">
        <f t="shared" si="45"/>
        <v>0</v>
      </c>
      <c r="H440" s="20">
        <f t="shared" si="46"/>
        <v>0</v>
      </c>
      <c r="I440" s="20">
        <f t="shared" si="47"/>
        <v>0</v>
      </c>
      <c r="J440" s="20">
        <f t="shared" si="44"/>
        <v>0</v>
      </c>
      <c r="K440" s="20">
        <f t="shared" si="44"/>
        <v>0</v>
      </c>
      <c r="L440" s="20">
        <f t="shared" si="44"/>
        <v>0</v>
      </c>
    </row>
    <row r="441" spans="4:12" x14ac:dyDescent="0.35">
      <c r="D441" s="20" t="str">
        <f t="shared" si="48"/>
        <v/>
      </c>
      <c r="E441" s="21" t="str">
        <f t="shared" si="49"/>
        <v/>
      </c>
      <c r="F441" s="20" t="str">
        <f t="shared" si="50"/>
        <v/>
      </c>
      <c r="G441" s="20">
        <f t="shared" si="45"/>
        <v>0</v>
      </c>
      <c r="H441" s="20">
        <f t="shared" si="46"/>
        <v>0</v>
      </c>
      <c r="I441" s="20">
        <f t="shared" si="47"/>
        <v>0</v>
      </c>
      <c r="J441" s="20">
        <f t="shared" si="44"/>
        <v>0</v>
      </c>
      <c r="K441" s="20">
        <f t="shared" si="44"/>
        <v>0</v>
      </c>
      <c r="L441" s="20">
        <f t="shared" si="44"/>
        <v>0</v>
      </c>
    </row>
    <row r="442" spans="4:12" x14ac:dyDescent="0.35">
      <c r="D442" s="20" t="str">
        <f t="shared" si="48"/>
        <v/>
      </c>
      <c r="E442" s="21" t="str">
        <f t="shared" si="49"/>
        <v/>
      </c>
      <c r="F442" s="20" t="str">
        <f t="shared" si="50"/>
        <v/>
      </c>
      <c r="G442" s="20">
        <f t="shared" si="45"/>
        <v>0</v>
      </c>
      <c r="H442" s="20">
        <f t="shared" si="46"/>
        <v>0</v>
      </c>
      <c r="I442" s="20">
        <f t="shared" si="47"/>
        <v>0</v>
      </c>
      <c r="J442" s="20">
        <f t="shared" si="44"/>
        <v>0</v>
      </c>
      <c r="K442" s="20">
        <f t="shared" si="44"/>
        <v>0</v>
      </c>
      <c r="L442" s="20">
        <f t="shared" si="44"/>
        <v>0</v>
      </c>
    </row>
    <row r="443" spans="4:12" x14ac:dyDescent="0.35">
      <c r="D443" s="20" t="str">
        <f t="shared" si="48"/>
        <v/>
      </c>
      <c r="E443" s="21" t="str">
        <f t="shared" si="49"/>
        <v/>
      </c>
      <c r="F443" s="20" t="str">
        <f t="shared" si="50"/>
        <v/>
      </c>
      <c r="G443" s="20">
        <f t="shared" si="45"/>
        <v>0</v>
      </c>
      <c r="H443" s="20">
        <f t="shared" si="46"/>
        <v>0</v>
      </c>
      <c r="I443" s="20">
        <f t="shared" si="47"/>
        <v>0</v>
      </c>
      <c r="J443" s="20">
        <f t="shared" si="44"/>
        <v>0</v>
      </c>
      <c r="K443" s="20">
        <f t="shared" si="44"/>
        <v>0</v>
      </c>
      <c r="L443" s="20">
        <f t="shared" si="44"/>
        <v>0</v>
      </c>
    </row>
    <row r="444" spans="4:12" x14ac:dyDescent="0.35">
      <c r="D444" s="20" t="str">
        <f t="shared" si="48"/>
        <v/>
      </c>
      <c r="E444" s="21" t="str">
        <f t="shared" si="49"/>
        <v/>
      </c>
      <c r="F444" s="20" t="str">
        <f t="shared" si="50"/>
        <v/>
      </c>
      <c r="G444" s="20">
        <f t="shared" si="45"/>
        <v>0</v>
      </c>
      <c r="H444" s="20">
        <f t="shared" si="46"/>
        <v>0</v>
      </c>
      <c r="I444" s="20">
        <f t="shared" si="47"/>
        <v>0</v>
      </c>
      <c r="J444" s="20">
        <f t="shared" si="44"/>
        <v>0</v>
      </c>
      <c r="K444" s="20">
        <f t="shared" si="44"/>
        <v>0</v>
      </c>
      <c r="L444" s="20">
        <f t="shared" si="44"/>
        <v>0</v>
      </c>
    </row>
    <row r="445" spans="4:12" x14ac:dyDescent="0.35">
      <c r="D445" s="20" t="str">
        <f t="shared" si="48"/>
        <v/>
      </c>
      <c r="E445" s="21" t="str">
        <f t="shared" si="49"/>
        <v/>
      </c>
      <c r="F445" s="20" t="str">
        <f t="shared" si="50"/>
        <v/>
      </c>
      <c r="G445" s="20">
        <f t="shared" si="45"/>
        <v>0</v>
      </c>
      <c r="H445" s="20">
        <f t="shared" si="46"/>
        <v>0</v>
      </c>
      <c r="I445" s="20">
        <f t="shared" si="47"/>
        <v>0</v>
      </c>
      <c r="J445" s="20">
        <f t="shared" si="44"/>
        <v>0</v>
      </c>
      <c r="K445" s="20">
        <f t="shared" si="44"/>
        <v>0</v>
      </c>
      <c r="L445" s="20">
        <f t="shared" si="44"/>
        <v>0</v>
      </c>
    </row>
    <row r="446" spans="4:12" x14ac:dyDescent="0.35">
      <c r="D446" s="20" t="str">
        <f t="shared" si="48"/>
        <v/>
      </c>
      <c r="E446" s="21" t="str">
        <f t="shared" si="49"/>
        <v/>
      </c>
      <c r="F446" s="20" t="str">
        <f t="shared" si="50"/>
        <v/>
      </c>
      <c r="G446" s="20">
        <f t="shared" si="45"/>
        <v>0</v>
      </c>
      <c r="H446" s="20">
        <f t="shared" si="46"/>
        <v>0</v>
      </c>
      <c r="I446" s="20">
        <f t="shared" si="47"/>
        <v>0</v>
      </c>
      <c r="J446" s="20">
        <f t="shared" si="44"/>
        <v>0</v>
      </c>
      <c r="K446" s="20">
        <f t="shared" si="44"/>
        <v>0</v>
      </c>
      <c r="L446" s="20">
        <f t="shared" si="44"/>
        <v>0</v>
      </c>
    </row>
    <row r="447" spans="4:12" x14ac:dyDescent="0.35">
      <c r="D447" s="20" t="str">
        <f t="shared" si="48"/>
        <v/>
      </c>
      <c r="E447" s="21" t="str">
        <f t="shared" si="49"/>
        <v/>
      </c>
      <c r="F447" s="20" t="str">
        <f t="shared" si="50"/>
        <v/>
      </c>
      <c r="G447" s="20">
        <f t="shared" si="45"/>
        <v>0</v>
      </c>
      <c r="H447" s="20">
        <f t="shared" si="46"/>
        <v>0</v>
      </c>
      <c r="I447" s="20">
        <f t="shared" si="47"/>
        <v>0</v>
      </c>
      <c r="J447" s="20">
        <f t="shared" si="44"/>
        <v>0</v>
      </c>
      <c r="K447" s="20">
        <f t="shared" si="44"/>
        <v>0</v>
      </c>
      <c r="L447" s="20">
        <f t="shared" si="44"/>
        <v>0</v>
      </c>
    </row>
    <row r="448" spans="4:12" x14ac:dyDescent="0.35">
      <c r="D448" s="20" t="str">
        <f t="shared" si="48"/>
        <v/>
      </c>
      <c r="E448" s="21" t="str">
        <f t="shared" si="49"/>
        <v/>
      </c>
      <c r="F448" s="20" t="str">
        <f t="shared" si="50"/>
        <v/>
      </c>
      <c r="G448" s="20">
        <f t="shared" si="45"/>
        <v>0</v>
      </c>
      <c r="H448" s="20">
        <f t="shared" si="46"/>
        <v>0</v>
      </c>
      <c r="I448" s="20">
        <f t="shared" si="47"/>
        <v>0</v>
      </c>
      <c r="J448" s="20">
        <f t="shared" si="44"/>
        <v>0</v>
      </c>
      <c r="K448" s="20">
        <f t="shared" si="44"/>
        <v>0</v>
      </c>
      <c r="L448" s="20">
        <f t="shared" si="44"/>
        <v>0</v>
      </c>
    </row>
    <row r="449" spans="4:12" x14ac:dyDescent="0.35">
      <c r="D449" s="20" t="str">
        <f t="shared" si="48"/>
        <v/>
      </c>
      <c r="E449" s="21" t="str">
        <f t="shared" si="49"/>
        <v/>
      </c>
      <c r="F449" s="20" t="str">
        <f t="shared" si="50"/>
        <v/>
      </c>
      <c r="G449" s="20">
        <f t="shared" si="45"/>
        <v>0</v>
      </c>
      <c r="H449" s="20">
        <f t="shared" si="46"/>
        <v>0</v>
      </c>
      <c r="I449" s="20">
        <f t="shared" si="47"/>
        <v>0</v>
      </c>
      <c r="J449" s="20">
        <f t="shared" si="44"/>
        <v>0</v>
      </c>
      <c r="K449" s="20">
        <f t="shared" si="44"/>
        <v>0</v>
      </c>
      <c r="L449" s="20">
        <f t="shared" si="44"/>
        <v>0</v>
      </c>
    </row>
    <row r="450" spans="4:12" x14ac:dyDescent="0.35">
      <c r="D450" s="20" t="str">
        <f t="shared" si="48"/>
        <v/>
      </c>
      <c r="E450" s="21" t="str">
        <f t="shared" si="49"/>
        <v/>
      </c>
      <c r="F450" s="20" t="str">
        <f t="shared" si="50"/>
        <v/>
      </c>
      <c r="G450" s="20">
        <f t="shared" si="45"/>
        <v>0</v>
      </c>
      <c r="H450" s="20">
        <f t="shared" si="46"/>
        <v>0</v>
      </c>
      <c r="I450" s="20">
        <f t="shared" si="47"/>
        <v>0</v>
      </c>
      <c r="J450" s="20">
        <f t="shared" si="44"/>
        <v>0</v>
      </c>
      <c r="K450" s="20">
        <f t="shared" si="44"/>
        <v>0</v>
      </c>
      <c r="L450" s="20">
        <f t="shared" si="44"/>
        <v>0</v>
      </c>
    </row>
    <row r="451" spans="4:12" x14ac:dyDescent="0.35">
      <c r="D451" s="20" t="str">
        <f t="shared" si="48"/>
        <v/>
      </c>
      <c r="E451" s="21" t="str">
        <f t="shared" si="49"/>
        <v/>
      </c>
      <c r="F451" s="20" t="str">
        <f t="shared" si="50"/>
        <v/>
      </c>
      <c r="G451" s="20">
        <f t="shared" si="45"/>
        <v>0</v>
      </c>
      <c r="H451" s="20">
        <f t="shared" si="46"/>
        <v>0</v>
      </c>
      <c r="I451" s="20">
        <f t="shared" si="47"/>
        <v>0</v>
      </c>
      <c r="J451" s="20">
        <f t="shared" ref="J451:L501" si="51">ABS(G451)</f>
        <v>0</v>
      </c>
      <c r="K451" s="20">
        <f t="shared" si="51"/>
        <v>0</v>
      </c>
      <c r="L451" s="20">
        <f t="shared" si="51"/>
        <v>0</v>
      </c>
    </row>
    <row r="452" spans="4:12" x14ac:dyDescent="0.35">
      <c r="D452" s="20" t="str">
        <f t="shared" si="48"/>
        <v/>
      </c>
      <c r="E452" s="21" t="str">
        <f t="shared" si="49"/>
        <v/>
      </c>
      <c r="F452" s="20" t="str">
        <f t="shared" si="50"/>
        <v/>
      </c>
      <c r="G452" s="20">
        <f t="shared" ref="G452:G501" si="52">IF(D452=$B$5+1,F452,0)</f>
        <v>0</v>
      </c>
      <c r="H452" s="20">
        <f t="shared" ref="H452:H501" si="53">IF(D451&lt;$B$5,F452*MOD(D451,2),0)</f>
        <v>0</v>
      </c>
      <c r="I452" s="20">
        <f t="shared" ref="I452:I501" si="54">IF(D451&lt;$B$5,F452*MOD(D452,2),0)</f>
        <v>0</v>
      </c>
      <c r="J452" s="20">
        <f t="shared" si="51"/>
        <v>0</v>
      </c>
      <c r="K452" s="20">
        <f t="shared" si="51"/>
        <v>0</v>
      </c>
      <c r="L452" s="20">
        <f t="shared" si="51"/>
        <v>0</v>
      </c>
    </row>
    <row r="453" spans="4:12" x14ac:dyDescent="0.35">
      <c r="D453" s="20" t="str">
        <f t="shared" si="48"/>
        <v/>
      </c>
      <c r="E453" s="21" t="str">
        <f t="shared" si="49"/>
        <v/>
      </c>
      <c r="F453" s="20" t="str">
        <f t="shared" si="50"/>
        <v/>
      </c>
      <c r="G453" s="20">
        <f t="shared" si="52"/>
        <v>0</v>
      </c>
      <c r="H453" s="20">
        <f t="shared" si="53"/>
        <v>0</v>
      </c>
      <c r="I453" s="20">
        <f t="shared" si="54"/>
        <v>0</v>
      </c>
      <c r="J453" s="20">
        <f t="shared" si="51"/>
        <v>0</v>
      </c>
      <c r="K453" s="20">
        <f t="shared" si="51"/>
        <v>0</v>
      </c>
      <c r="L453" s="20">
        <f t="shared" si="51"/>
        <v>0</v>
      </c>
    </row>
    <row r="454" spans="4:12" x14ac:dyDescent="0.35">
      <c r="D454" s="20" t="str">
        <f t="shared" si="48"/>
        <v/>
      </c>
      <c r="E454" s="21" t="str">
        <f t="shared" si="49"/>
        <v/>
      </c>
      <c r="F454" s="20" t="str">
        <f t="shared" si="50"/>
        <v/>
      </c>
      <c r="G454" s="20">
        <f t="shared" si="52"/>
        <v>0</v>
      </c>
      <c r="H454" s="20">
        <f t="shared" si="53"/>
        <v>0</v>
      </c>
      <c r="I454" s="20">
        <f t="shared" si="54"/>
        <v>0</v>
      </c>
      <c r="J454" s="20">
        <f t="shared" si="51"/>
        <v>0</v>
      </c>
      <c r="K454" s="20">
        <f t="shared" si="51"/>
        <v>0</v>
      </c>
      <c r="L454" s="20">
        <f t="shared" si="51"/>
        <v>0</v>
      </c>
    </row>
    <row r="455" spans="4:12" x14ac:dyDescent="0.35">
      <c r="D455" s="20" t="str">
        <f t="shared" si="48"/>
        <v/>
      </c>
      <c r="E455" s="21" t="str">
        <f t="shared" si="49"/>
        <v/>
      </c>
      <c r="F455" s="20" t="str">
        <f t="shared" si="50"/>
        <v/>
      </c>
      <c r="G455" s="20">
        <f t="shared" si="52"/>
        <v>0</v>
      </c>
      <c r="H455" s="20">
        <f t="shared" si="53"/>
        <v>0</v>
      </c>
      <c r="I455" s="20">
        <f t="shared" si="54"/>
        <v>0</v>
      </c>
      <c r="J455" s="20">
        <f t="shared" si="51"/>
        <v>0</v>
      </c>
      <c r="K455" s="20">
        <f t="shared" si="51"/>
        <v>0</v>
      </c>
      <c r="L455" s="20">
        <f t="shared" si="51"/>
        <v>0</v>
      </c>
    </row>
    <row r="456" spans="4:12" x14ac:dyDescent="0.35">
      <c r="D456" s="20" t="str">
        <f t="shared" si="48"/>
        <v/>
      </c>
      <c r="E456" s="21" t="str">
        <f t="shared" si="49"/>
        <v/>
      </c>
      <c r="F456" s="20" t="str">
        <f t="shared" si="50"/>
        <v/>
      </c>
      <c r="G456" s="20">
        <f t="shared" si="52"/>
        <v>0</v>
      </c>
      <c r="H456" s="20">
        <f t="shared" si="53"/>
        <v>0</v>
      </c>
      <c r="I456" s="20">
        <f t="shared" si="54"/>
        <v>0</v>
      </c>
      <c r="J456" s="20">
        <f t="shared" si="51"/>
        <v>0</v>
      </c>
      <c r="K456" s="20">
        <f t="shared" si="51"/>
        <v>0</v>
      </c>
      <c r="L456" s="20">
        <f t="shared" si="51"/>
        <v>0</v>
      </c>
    </row>
    <row r="457" spans="4:12" x14ac:dyDescent="0.35">
      <c r="D457" s="20" t="str">
        <f t="shared" si="48"/>
        <v/>
      </c>
      <c r="E457" s="21" t="str">
        <f t="shared" si="49"/>
        <v/>
      </c>
      <c r="F457" s="20" t="str">
        <f t="shared" si="50"/>
        <v/>
      </c>
      <c r="G457" s="20">
        <f t="shared" si="52"/>
        <v>0</v>
      </c>
      <c r="H457" s="20">
        <f t="shared" si="53"/>
        <v>0</v>
      </c>
      <c r="I457" s="20">
        <f t="shared" si="54"/>
        <v>0</v>
      </c>
      <c r="J457" s="20">
        <f t="shared" si="51"/>
        <v>0</v>
      </c>
      <c r="K457" s="20">
        <f t="shared" si="51"/>
        <v>0</v>
      </c>
      <c r="L457" s="20">
        <f t="shared" si="51"/>
        <v>0</v>
      </c>
    </row>
    <row r="458" spans="4:12" x14ac:dyDescent="0.35">
      <c r="D458" s="20" t="str">
        <f t="shared" si="48"/>
        <v/>
      </c>
      <c r="E458" s="21" t="str">
        <f t="shared" si="49"/>
        <v/>
      </c>
      <c r="F458" s="20" t="str">
        <f t="shared" si="50"/>
        <v/>
      </c>
      <c r="G458" s="20">
        <f t="shared" si="52"/>
        <v>0</v>
      </c>
      <c r="H458" s="20">
        <f t="shared" si="53"/>
        <v>0</v>
      </c>
      <c r="I458" s="20">
        <f t="shared" si="54"/>
        <v>0</v>
      </c>
      <c r="J458" s="20">
        <f t="shared" si="51"/>
        <v>0</v>
      </c>
      <c r="K458" s="20">
        <f t="shared" si="51"/>
        <v>0</v>
      </c>
      <c r="L458" s="20">
        <f t="shared" si="51"/>
        <v>0</v>
      </c>
    </row>
    <row r="459" spans="4:12" x14ac:dyDescent="0.35">
      <c r="D459" s="20" t="str">
        <f t="shared" si="48"/>
        <v/>
      </c>
      <c r="E459" s="21" t="str">
        <f t="shared" si="49"/>
        <v/>
      </c>
      <c r="F459" s="20" t="str">
        <f t="shared" si="50"/>
        <v/>
      </c>
      <c r="G459" s="20">
        <f t="shared" si="52"/>
        <v>0</v>
      </c>
      <c r="H459" s="20">
        <f t="shared" si="53"/>
        <v>0</v>
      </c>
      <c r="I459" s="20">
        <f t="shared" si="54"/>
        <v>0</v>
      </c>
      <c r="J459" s="20">
        <f t="shared" si="51"/>
        <v>0</v>
      </c>
      <c r="K459" s="20">
        <f t="shared" si="51"/>
        <v>0</v>
      </c>
      <c r="L459" s="20">
        <f t="shared" si="51"/>
        <v>0</v>
      </c>
    </row>
    <row r="460" spans="4:12" x14ac:dyDescent="0.35">
      <c r="D460" s="20" t="str">
        <f t="shared" si="48"/>
        <v/>
      </c>
      <c r="E460" s="21" t="str">
        <f t="shared" si="49"/>
        <v/>
      </c>
      <c r="F460" s="20" t="str">
        <f t="shared" si="50"/>
        <v/>
      </c>
      <c r="G460" s="20">
        <f t="shared" si="52"/>
        <v>0</v>
      </c>
      <c r="H460" s="20">
        <f t="shared" si="53"/>
        <v>0</v>
      </c>
      <c r="I460" s="20">
        <f t="shared" si="54"/>
        <v>0</v>
      </c>
      <c r="J460" s="20">
        <f t="shared" si="51"/>
        <v>0</v>
      </c>
      <c r="K460" s="20">
        <f t="shared" si="51"/>
        <v>0</v>
      </c>
      <c r="L460" s="20">
        <f t="shared" si="51"/>
        <v>0</v>
      </c>
    </row>
    <row r="461" spans="4:12" x14ac:dyDescent="0.35">
      <c r="D461" s="20" t="str">
        <f t="shared" si="48"/>
        <v/>
      </c>
      <c r="E461" s="21" t="str">
        <f t="shared" si="49"/>
        <v/>
      </c>
      <c r="F461" s="20" t="str">
        <f t="shared" si="50"/>
        <v/>
      </c>
      <c r="G461" s="20">
        <f t="shared" si="52"/>
        <v>0</v>
      </c>
      <c r="H461" s="20">
        <f t="shared" si="53"/>
        <v>0</v>
      </c>
      <c r="I461" s="20">
        <f t="shared" si="54"/>
        <v>0</v>
      </c>
      <c r="J461" s="20">
        <f t="shared" si="51"/>
        <v>0</v>
      </c>
      <c r="K461" s="20">
        <f t="shared" si="51"/>
        <v>0</v>
      </c>
      <c r="L461" s="20">
        <f t="shared" si="51"/>
        <v>0</v>
      </c>
    </row>
    <row r="462" spans="4:12" x14ac:dyDescent="0.35">
      <c r="D462" s="20" t="str">
        <f t="shared" si="48"/>
        <v/>
      </c>
      <c r="E462" s="21" t="str">
        <f t="shared" si="49"/>
        <v/>
      </c>
      <c r="F462" s="20" t="str">
        <f t="shared" si="50"/>
        <v/>
      </c>
      <c r="G462" s="20">
        <f t="shared" si="52"/>
        <v>0</v>
      </c>
      <c r="H462" s="20">
        <f t="shared" si="53"/>
        <v>0</v>
      </c>
      <c r="I462" s="20">
        <f t="shared" si="54"/>
        <v>0</v>
      </c>
      <c r="J462" s="20">
        <f t="shared" si="51"/>
        <v>0</v>
      </c>
      <c r="K462" s="20">
        <f t="shared" si="51"/>
        <v>0</v>
      </c>
      <c r="L462" s="20">
        <f t="shared" si="51"/>
        <v>0</v>
      </c>
    </row>
    <row r="463" spans="4:12" x14ac:dyDescent="0.35">
      <c r="D463" s="20" t="str">
        <f t="shared" si="48"/>
        <v/>
      </c>
      <c r="E463" s="21" t="str">
        <f t="shared" si="49"/>
        <v/>
      </c>
      <c r="F463" s="20" t="str">
        <f t="shared" si="50"/>
        <v/>
      </c>
      <c r="G463" s="20">
        <f t="shared" si="52"/>
        <v>0</v>
      </c>
      <c r="H463" s="20">
        <f t="shared" si="53"/>
        <v>0</v>
      </c>
      <c r="I463" s="20">
        <f t="shared" si="54"/>
        <v>0</v>
      </c>
      <c r="J463" s="20">
        <f t="shared" si="51"/>
        <v>0</v>
      </c>
      <c r="K463" s="20">
        <f t="shared" si="51"/>
        <v>0</v>
      </c>
      <c r="L463" s="20">
        <f t="shared" si="51"/>
        <v>0</v>
      </c>
    </row>
    <row r="464" spans="4:12" x14ac:dyDescent="0.35">
      <c r="D464" s="20" t="str">
        <f t="shared" si="48"/>
        <v/>
      </c>
      <c r="E464" s="21" t="str">
        <f t="shared" si="49"/>
        <v/>
      </c>
      <c r="F464" s="20" t="str">
        <f t="shared" si="50"/>
        <v/>
      </c>
      <c r="G464" s="20">
        <f t="shared" si="52"/>
        <v>0</v>
      </c>
      <c r="H464" s="20">
        <f t="shared" si="53"/>
        <v>0</v>
      </c>
      <c r="I464" s="20">
        <f t="shared" si="54"/>
        <v>0</v>
      </c>
      <c r="J464" s="20">
        <f t="shared" si="51"/>
        <v>0</v>
      </c>
      <c r="K464" s="20">
        <f t="shared" si="51"/>
        <v>0</v>
      </c>
      <c r="L464" s="20">
        <f t="shared" si="51"/>
        <v>0</v>
      </c>
    </row>
    <row r="465" spans="4:12" x14ac:dyDescent="0.35">
      <c r="D465" s="20" t="str">
        <f t="shared" si="48"/>
        <v/>
      </c>
      <c r="E465" s="21" t="str">
        <f t="shared" si="49"/>
        <v/>
      </c>
      <c r="F465" s="20" t="str">
        <f t="shared" si="50"/>
        <v/>
      </c>
      <c r="G465" s="20">
        <f t="shared" si="52"/>
        <v>0</v>
      </c>
      <c r="H465" s="20">
        <f t="shared" si="53"/>
        <v>0</v>
      </c>
      <c r="I465" s="20">
        <f t="shared" si="54"/>
        <v>0</v>
      </c>
      <c r="J465" s="20">
        <f t="shared" si="51"/>
        <v>0</v>
      </c>
      <c r="K465" s="20">
        <f t="shared" si="51"/>
        <v>0</v>
      </c>
      <c r="L465" s="20">
        <f t="shared" si="51"/>
        <v>0</v>
      </c>
    </row>
    <row r="466" spans="4:12" x14ac:dyDescent="0.35">
      <c r="D466" s="20" t="str">
        <f t="shared" si="48"/>
        <v/>
      </c>
      <c r="E466" s="21" t="str">
        <f t="shared" si="49"/>
        <v/>
      </c>
      <c r="F466" s="20" t="str">
        <f t="shared" si="50"/>
        <v/>
      </c>
      <c r="G466" s="20">
        <f t="shared" si="52"/>
        <v>0</v>
      </c>
      <c r="H466" s="20">
        <f t="shared" si="53"/>
        <v>0</v>
      </c>
      <c r="I466" s="20">
        <f t="shared" si="54"/>
        <v>0</v>
      </c>
      <c r="J466" s="20">
        <f t="shared" si="51"/>
        <v>0</v>
      </c>
      <c r="K466" s="20">
        <f t="shared" si="51"/>
        <v>0</v>
      </c>
      <c r="L466" s="20">
        <f t="shared" si="51"/>
        <v>0</v>
      </c>
    </row>
    <row r="467" spans="4:12" x14ac:dyDescent="0.35">
      <c r="D467" s="20" t="str">
        <f t="shared" si="48"/>
        <v/>
      </c>
      <c r="E467" s="21" t="str">
        <f t="shared" si="49"/>
        <v/>
      </c>
      <c r="F467" s="20" t="str">
        <f t="shared" si="50"/>
        <v/>
      </c>
      <c r="G467" s="20">
        <f t="shared" si="52"/>
        <v>0</v>
      </c>
      <c r="H467" s="20">
        <f t="shared" si="53"/>
        <v>0</v>
      </c>
      <c r="I467" s="20">
        <f t="shared" si="54"/>
        <v>0</v>
      </c>
      <c r="J467" s="20">
        <f t="shared" si="51"/>
        <v>0</v>
      </c>
      <c r="K467" s="20">
        <f t="shared" si="51"/>
        <v>0</v>
      </c>
      <c r="L467" s="20">
        <f t="shared" si="51"/>
        <v>0</v>
      </c>
    </row>
    <row r="468" spans="4:12" x14ac:dyDescent="0.35">
      <c r="D468" s="20" t="str">
        <f t="shared" si="48"/>
        <v/>
      </c>
      <c r="E468" s="21" t="str">
        <f t="shared" si="49"/>
        <v/>
      </c>
      <c r="F468" s="20" t="str">
        <f t="shared" si="50"/>
        <v/>
      </c>
      <c r="G468" s="20">
        <f t="shared" si="52"/>
        <v>0</v>
      </c>
      <c r="H468" s="20">
        <f t="shared" si="53"/>
        <v>0</v>
      </c>
      <c r="I468" s="20">
        <f t="shared" si="54"/>
        <v>0</v>
      </c>
      <c r="J468" s="20">
        <f t="shared" si="51"/>
        <v>0</v>
      </c>
      <c r="K468" s="20">
        <f t="shared" si="51"/>
        <v>0</v>
      </c>
      <c r="L468" s="20">
        <f t="shared" si="51"/>
        <v>0</v>
      </c>
    </row>
    <row r="469" spans="4:12" x14ac:dyDescent="0.35">
      <c r="D469" s="20" t="str">
        <f t="shared" si="48"/>
        <v/>
      </c>
      <c r="E469" s="21" t="str">
        <f t="shared" si="49"/>
        <v/>
      </c>
      <c r="F469" s="20" t="str">
        <f t="shared" si="50"/>
        <v/>
      </c>
      <c r="G469" s="20">
        <f t="shared" si="52"/>
        <v>0</v>
      </c>
      <c r="H469" s="20">
        <f t="shared" si="53"/>
        <v>0</v>
      </c>
      <c r="I469" s="20">
        <f t="shared" si="54"/>
        <v>0</v>
      </c>
      <c r="J469" s="20">
        <f t="shared" si="51"/>
        <v>0</v>
      </c>
      <c r="K469" s="20">
        <f t="shared" si="51"/>
        <v>0</v>
      </c>
      <c r="L469" s="20">
        <f t="shared" si="51"/>
        <v>0</v>
      </c>
    </row>
    <row r="470" spans="4:12" x14ac:dyDescent="0.35">
      <c r="D470" s="20" t="str">
        <f t="shared" si="48"/>
        <v/>
      </c>
      <c r="E470" s="21" t="str">
        <f t="shared" si="49"/>
        <v/>
      </c>
      <c r="F470" s="20" t="str">
        <f t="shared" si="50"/>
        <v/>
      </c>
      <c r="G470" s="20">
        <f t="shared" si="52"/>
        <v>0</v>
      </c>
      <c r="H470" s="20">
        <f t="shared" si="53"/>
        <v>0</v>
      </c>
      <c r="I470" s="20">
        <f t="shared" si="54"/>
        <v>0</v>
      </c>
      <c r="J470" s="20">
        <f t="shared" si="51"/>
        <v>0</v>
      </c>
      <c r="K470" s="20">
        <f t="shared" si="51"/>
        <v>0</v>
      </c>
      <c r="L470" s="20">
        <f t="shared" si="51"/>
        <v>0</v>
      </c>
    </row>
    <row r="471" spans="4:12" x14ac:dyDescent="0.35">
      <c r="D471" s="20" t="str">
        <f t="shared" ref="D471:D501" si="55">IF(D470&lt;=$B$5,D470+1,"")</f>
        <v/>
      </c>
      <c r="E471" s="21" t="str">
        <f t="shared" ref="E471:E501" si="56">IF(D470&lt;=$B$5,E470+$B$6,"")</f>
        <v/>
      </c>
      <c r="F471" s="20" t="str">
        <f t="shared" ref="F471:F501" si="57">IF(D470&lt;=$B$5,(20*COS((5/2)*E471^2+1))/(E471^2+2),"")</f>
        <v/>
      </c>
      <c r="G471" s="20">
        <f t="shared" si="52"/>
        <v>0</v>
      </c>
      <c r="H471" s="20">
        <f t="shared" si="53"/>
        <v>0</v>
      </c>
      <c r="I471" s="20">
        <f t="shared" si="54"/>
        <v>0</v>
      </c>
      <c r="J471" s="20">
        <f t="shared" si="51"/>
        <v>0</v>
      </c>
      <c r="K471" s="20">
        <f t="shared" si="51"/>
        <v>0</v>
      </c>
      <c r="L471" s="20">
        <f t="shared" si="51"/>
        <v>0</v>
      </c>
    </row>
    <row r="472" spans="4:12" x14ac:dyDescent="0.35">
      <c r="D472" s="20" t="str">
        <f t="shared" si="55"/>
        <v/>
      </c>
      <c r="E472" s="21" t="str">
        <f t="shared" si="56"/>
        <v/>
      </c>
      <c r="F472" s="20" t="str">
        <f t="shared" si="57"/>
        <v/>
      </c>
      <c r="G472" s="20">
        <f t="shared" si="52"/>
        <v>0</v>
      </c>
      <c r="H472" s="20">
        <f t="shared" si="53"/>
        <v>0</v>
      </c>
      <c r="I472" s="20">
        <f t="shared" si="54"/>
        <v>0</v>
      </c>
      <c r="J472" s="20">
        <f t="shared" si="51"/>
        <v>0</v>
      </c>
      <c r="K472" s="20">
        <f t="shared" si="51"/>
        <v>0</v>
      </c>
      <c r="L472" s="20">
        <f t="shared" si="51"/>
        <v>0</v>
      </c>
    </row>
    <row r="473" spans="4:12" x14ac:dyDescent="0.35">
      <c r="D473" s="20" t="str">
        <f t="shared" si="55"/>
        <v/>
      </c>
      <c r="E473" s="21" t="str">
        <f t="shared" si="56"/>
        <v/>
      </c>
      <c r="F473" s="20" t="str">
        <f t="shared" si="57"/>
        <v/>
      </c>
      <c r="G473" s="20">
        <f t="shared" si="52"/>
        <v>0</v>
      </c>
      <c r="H473" s="20">
        <f t="shared" si="53"/>
        <v>0</v>
      </c>
      <c r="I473" s="20">
        <f t="shared" si="54"/>
        <v>0</v>
      </c>
      <c r="J473" s="20">
        <f t="shared" si="51"/>
        <v>0</v>
      </c>
      <c r="K473" s="20">
        <f t="shared" si="51"/>
        <v>0</v>
      </c>
      <c r="L473" s="20">
        <f t="shared" si="51"/>
        <v>0</v>
      </c>
    </row>
    <row r="474" spans="4:12" x14ac:dyDescent="0.35">
      <c r="D474" s="20" t="str">
        <f t="shared" si="55"/>
        <v/>
      </c>
      <c r="E474" s="21" t="str">
        <f t="shared" si="56"/>
        <v/>
      </c>
      <c r="F474" s="20" t="str">
        <f t="shared" si="57"/>
        <v/>
      </c>
      <c r="G474" s="20">
        <f t="shared" si="52"/>
        <v>0</v>
      </c>
      <c r="H474" s="20">
        <f t="shared" si="53"/>
        <v>0</v>
      </c>
      <c r="I474" s="20">
        <f t="shared" si="54"/>
        <v>0</v>
      </c>
      <c r="J474" s="20">
        <f t="shared" si="51"/>
        <v>0</v>
      </c>
      <c r="K474" s="20">
        <f t="shared" si="51"/>
        <v>0</v>
      </c>
      <c r="L474" s="20">
        <f t="shared" si="51"/>
        <v>0</v>
      </c>
    </row>
    <row r="475" spans="4:12" x14ac:dyDescent="0.35">
      <c r="D475" s="20" t="str">
        <f t="shared" si="55"/>
        <v/>
      </c>
      <c r="E475" s="21" t="str">
        <f t="shared" si="56"/>
        <v/>
      </c>
      <c r="F475" s="20" t="str">
        <f t="shared" si="57"/>
        <v/>
      </c>
      <c r="G475" s="20">
        <f t="shared" si="52"/>
        <v>0</v>
      </c>
      <c r="H475" s="20">
        <f t="shared" si="53"/>
        <v>0</v>
      </c>
      <c r="I475" s="20">
        <f t="shared" si="54"/>
        <v>0</v>
      </c>
      <c r="J475" s="20">
        <f t="shared" si="51"/>
        <v>0</v>
      </c>
      <c r="K475" s="20">
        <f t="shared" si="51"/>
        <v>0</v>
      </c>
      <c r="L475" s="20">
        <f t="shared" si="51"/>
        <v>0</v>
      </c>
    </row>
    <row r="476" spans="4:12" x14ac:dyDescent="0.35">
      <c r="D476" s="20" t="str">
        <f t="shared" si="55"/>
        <v/>
      </c>
      <c r="E476" s="21" t="str">
        <f t="shared" si="56"/>
        <v/>
      </c>
      <c r="F476" s="20" t="str">
        <f t="shared" si="57"/>
        <v/>
      </c>
      <c r="G476" s="20">
        <f t="shared" si="52"/>
        <v>0</v>
      </c>
      <c r="H476" s="20">
        <f t="shared" si="53"/>
        <v>0</v>
      </c>
      <c r="I476" s="20">
        <f t="shared" si="54"/>
        <v>0</v>
      </c>
      <c r="J476" s="20">
        <f t="shared" si="51"/>
        <v>0</v>
      </c>
      <c r="K476" s="20">
        <f t="shared" si="51"/>
        <v>0</v>
      </c>
      <c r="L476" s="20">
        <f t="shared" si="51"/>
        <v>0</v>
      </c>
    </row>
    <row r="477" spans="4:12" x14ac:dyDescent="0.35">
      <c r="D477" s="20" t="str">
        <f t="shared" si="55"/>
        <v/>
      </c>
      <c r="E477" s="21" t="str">
        <f t="shared" si="56"/>
        <v/>
      </c>
      <c r="F477" s="20" t="str">
        <f t="shared" si="57"/>
        <v/>
      </c>
      <c r="G477" s="20">
        <f t="shared" si="52"/>
        <v>0</v>
      </c>
      <c r="H477" s="20">
        <f t="shared" si="53"/>
        <v>0</v>
      </c>
      <c r="I477" s="20">
        <f t="shared" si="54"/>
        <v>0</v>
      </c>
      <c r="J477" s="20">
        <f t="shared" si="51"/>
        <v>0</v>
      </c>
      <c r="K477" s="20">
        <f t="shared" si="51"/>
        <v>0</v>
      </c>
      <c r="L477" s="20">
        <f t="shared" si="51"/>
        <v>0</v>
      </c>
    </row>
    <row r="478" spans="4:12" x14ac:dyDescent="0.35">
      <c r="D478" s="20" t="str">
        <f t="shared" si="55"/>
        <v/>
      </c>
      <c r="E478" s="21" t="str">
        <f t="shared" si="56"/>
        <v/>
      </c>
      <c r="F478" s="20" t="str">
        <f t="shared" si="57"/>
        <v/>
      </c>
      <c r="G478" s="20">
        <f t="shared" si="52"/>
        <v>0</v>
      </c>
      <c r="H478" s="20">
        <f t="shared" si="53"/>
        <v>0</v>
      </c>
      <c r="I478" s="20">
        <f t="shared" si="54"/>
        <v>0</v>
      </c>
      <c r="J478" s="20">
        <f t="shared" si="51"/>
        <v>0</v>
      </c>
      <c r="K478" s="20">
        <f t="shared" si="51"/>
        <v>0</v>
      </c>
      <c r="L478" s="20">
        <f t="shared" si="51"/>
        <v>0</v>
      </c>
    </row>
    <row r="479" spans="4:12" x14ac:dyDescent="0.35">
      <c r="D479" s="20" t="str">
        <f t="shared" si="55"/>
        <v/>
      </c>
      <c r="E479" s="21" t="str">
        <f t="shared" si="56"/>
        <v/>
      </c>
      <c r="F479" s="20" t="str">
        <f t="shared" si="57"/>
        <v/>
      </c>
      <c r="G479" s="20">
        <f t="shared" si="52"/>
        <v>0</v>
      </c>
      <c r="H479" s="20">
        <f t="shared" si="53"/>
        <v>0</v>
      </c>
      <c r="I479" s="20">
        <f t="shared" si="54"/>
        <v>0</v>
      </c>
      <c r="J479" s="20">
        <f t="shared" si="51"/>
        <v>0</v>
      </c>
      <c r="K479" s="20">
        <f t="shared" si="51"/>
        <v>0</v>
      </c>
      <c r="L479" s="20">
        <f t="shared" si="51"/>
        <v>0</v>
      </c>
    </row>
    <row r="480" spans="4:12" x14ac:dyDescent="0.35">
      <c r="D480" s="20" t="str">
        <f t="shared" si="55"/>
        <v/>
      </c>
      <c r="E480" s="21" t="str">
        <f t="shared" si="56"/>
        <v/>
      </c>
      <c r="F480" s="20" t="str">
        <f t="shared" si="57"/>
        <v/>
      </c>
      <c r="G480" s="20">
        <f t="shared" si="52"/>
        <v>0</v>
      </c>
      <c r="H480" s="20">
        <f t="shared" si="53"/>
        <v>0</v>
      </c>
      <c r="I480" s="20">
        <f t="shared" si="54"/>
        <v>0</v>
      </c>
      <c r="J480" s="20">
        <f t="shared" si="51"/>
        <v>0</v>
      </c>
      <c r="K480" s="20">
        <f t="shared" si="51"/>
        <v>0</v>
      </c>
      <c r="L480" s="20">
        <f t="shared" si="51"/>
        <v>0</v>
      </c>
    </row>
    <row r="481" spans="4:12" x14ac:dyDescent="0.35">
      <c r="D481" s="20" t="str">
        <f t="shared" si="55"/>
        <v/>
      </c>
      <c r="E481" s="21" t="str">
        <f t="shared" si="56"/>
        <v/>
      </c>
      <c r="F481" s="20" t="str">
        <f t="shared" si="57"/>
        <v/>
      </c>
      <c r="G481" s="20">
        <f t="shared" si="52"/>
        <v>0</v>
      </c>
      <c r="H481" s="20">
        <f t="shared" si="53"/>
        <v>0</v>
      </c>
      <c r="I481" s="20">
        <f t="shared" si="54"/>
        <v>0</v>
      </c>
      <c r="J481" s="20">
        <f t="shared" si="51"/>
        <v>0</v>
      </c>
      <c r="K481" s="20">
        <f t="shared" si="51"/>
        <v>0</v>
      </c>
      <c r="L481" s="20">
        <f t="shared" si="51"/>
        <v>0</v>
      </c>
    </row>
    <row r="482" spans="4:12" x14ac:dyDescent="0.35">
      <c r="D482" s="20" t="str">
        <f t="shared" si="55"/>
        <v/>
      </c>
      <c r="E482" s="21" t="str">
        <f t="shared" si="56"/>
        <v/>
      </c>
      <c r="F482" s="20" t="str">
        <f t="shared" si="57"/>
        <v/>
      </c>
      <c r="G482" s="20">
        <f t="shared" si="52"/>
        <v>0</v>
      </c>
      <c r="H482" s="20">
        <f t="shared" si="53"/>
        <v>0</v>
      </c>
      <c r="I482" s="20">
        <f t="shared" si="54"/>
        <v>0</v>
      </c>
      <c r="J482" s="20">
        <f t="shared" si="51"/>
        <v>0</v>
      </c>
      <c r="K482" s="20">
        <f t="shared" si="51"/>
        <v>0</v>
      </c>
      <c r="L482" s="20">
        <f t="shared" si="51"/>
        <v>0</v>
      </c>
    </row>
    <row r="483" spans="4:12" x14ac:dyDescent="0.35">
      <c r="D483" s="20" t="str">
        <f t="shared" si="55"/>
        <v/>
      </c>
      <c r="E483" s="21" t="str">
        <f t="shared" si="56"/>
        <v/>
      </c>
      <c r="F483" s="20" t="str">
        <f t="shared" si="57"/>
        <v/>
      </c>
      <c r="G483" s="20">
        <f t="shared" si="52"/>
        <v>0</v>
      </c>
      <c r="H483" s="20">
        <f t="shared" si="53"/>
        <v>0</v>
      </c>
      <c r="I483" s="20">
        <f t="shared" si="54"/>
        <v>0</v>
      </c>
      <c r="J483" s="20">
        <f t="shared" si="51"/>
        <v>0</v>
      </c>
      <c r="K483" s="20">
        <f t="shared" si="51"/>
        <v>0</v>
      </c>
      <c r="L483" s="20">
        <f t="shared" si="51"/>
        <v>0</v>
      </c>
    </row>
    <row r="484" spans="4:12" x14ac:dyDescent="0.35">
      <c r="D484" s="20" t="str">
        <f t="shared" si="55"/>
        <v/>
      </c>
      <c r="E484" s="21" t="str">
        <f t="shared" si="56"/>
        <v/>
      </c>
      <c r="F484" s="20" t="str">
        <f t="shared" si="57"/>
        <v/>
      </c>
      <c r="G484" s="20">
        <f t="shared" si="52"/>
        <v>0</v>
      </c>
      <c r="H484" s="20">
        <f t="shared" si="53"/>
        <v>0</v>
      </c>
      <c r="I484" s="20">
        <f t="shared" si="54"/>
        <v>0</v>
      </c>
      <c r="J484" s="20">
        <f t="shared" si="51"/>
        <v>0</v>
      </c>
      <c r="K484" s="20">
        <f t="shared" si="51"/>
        <v>0</v>
      </c>
      <c r="L484" s="20">
        <f t="shared" si="51"/>
        <v>0</v>
      </c>
    </row>
    <row r="485" spans="4:12" x14ac:dyDescent="0.35">
      <c r="D485" s="20" t="str">
        <f t="shared" si="55"/>
        <v/>
      </c>
      <c r="E485" s="21" t="str">
        <f t="shared" si="56"/>
        <v/>
      </c>
      <c r="F485" s="20" t="str">
        <f t="shared" si="57"/>
        <v/>
      </c>
      <c r="G485" s="20">
        <f t="shared" si="52"/>
        <v>0</v>
      </c>
      <c r="H485" s="20">
        <f t="shared" si="53"/>
        <v>0</v>
      </c>
      <c r="I485" s="20">
        <f t="shared" si="54"/>
        <v>0</v>
      </c>
      <c r="J485" s="20">
        <f t="shared" si="51"/>
        <v>0</v>
      </c>
      <c r="K485" s="20">
        <f t="shared" si="51"/>
        <v>0</v>
      </c>
      <c r="L485" s="20">
        <f t="shared" si="51"/>
        <v>0</v>
      </c>
    </row>
    <row r="486" spans="4:12" x14ac:dyDescent="0.35">
      <c r="D486" s="20" t="str">
        <f t="shared" si="55"/>
        <v/>
      </c>
      <c r="E486" s="21" t="str">
        <f t="shared" si="56"/>
        <v/>
      </c>
      <c r="F486" s="20" t="str">
        <f t="shared" si="57"/>
        <v/>
      </c>
      <c r="G486" s="20">
        <f t="shared" si="52"/>
        <v>0</v>
      </c>
      <c r="H486" s="20">
        <f t="shared" si="53"/>
        <v>0</v>
      </c>
      <c r="I486" s="20">
        <f t="shared" si="54"/>
        <v>0</v>
      </c>
      <c r="J486" s="20">
        <f t="shared" si="51"/>
        <v>0</v>
      </c>
      <c r="K486" s="20">
        <f t="shared" si="51"/>
        <v>0</v>
      </c>
      <c r="L486" s="20">
        <f t="shared" si="51"/>
        <v>0</v>
      </c>
    </row>
    <row r="487" spans="4:12" x14ac:dyDescent="0.35">
      <c r="D487" s="20" t="str">
        <f t="shared" si="55"/>
        <v/>
      </c>
      <c r="E487" s="21" t="str">
        <f t="shared" si="56"/>
        <v/>
      </c>
      <c r="F487" s="20" t="str">
        <f t="shared" si="57"/>
        <v/>
      </c>
      <c r="G487" s="20">
        <f t="shared" si="52"/>
        <v>0</v>
      </c>
      <c r="H487" s="20">
        <f t="shared" si="53"/>
        <v>0</v>
      </c>
      <c r="I487" s="20">
        <f t="shared" si="54"/>
        <v>0</v>
      </c>
      <c r="J487" s="20">
        <f t="shared" si="51"/>
        <v>0</v>
      </c>
      <c r="K487" s="20">
        <f t="shared" si="51"/>
        <v>0</v>
      </c>
      <c r="L487" s="20">
        <f t="shared" si="51"/>
        <v>0</v>
      </c>
    </row>
    <row r="488" spans="4:12" x14ac:dyDescent="0.35">
      <c r="D488" s="20" t="str">
        <f t="shared" si="55"/>
        <v/>
      </c>
      <c r="E488" s="21" t="str">
        <f t="shared" si="56"/>
        <v/>
      </c>
      <c r="F488" s="20" t="str">
        <f t="shared" si="57"/>
        <v/>
      </c>
      <c r="G488" s="20">
        <f t="shared" si="52"/>
        <v>0</v>
      </c>
      <c r="H488" s="20">
        <f t="shared" si="53"/>
        <v>0</v>
      </c>
      <c r="I488" s="20">
        <f t="shared" si="54"/>
        <v>0</v>
      </c>
      <c r="J488" s="20">
        <f t="shared" si="51"/>
        <v>0</v>
      </c>
      <c r="K488" s="20">
        <f t="shared" si="51"/>
        <v>0</v>
      </c>
      <c r="L488" s="20">
        <f t="shared" si="51"/>
        <v>0</v>
      </c>
    </row>
    <row r="489" spans="4:12" x14ac:dyDescent="0.35">
      <c r="D489" s="20" t="str">
        <f t="shared" si="55"/>
        <v/>
      </c>
      <c r="E489" s="21" t="str">
        <f t="shared" si="56"/>
        <v/>
      </c>
      <c r="F489" s="20" t="str">
        <f t="shared" si="57"/>
        <v/>
      </c>
      <c r="G489" s="20">
        <f t="shared" si="52"/>
        <v>0</v>
      </c>
      <c r="H489" s="20">
        <f t="shared" si="53"/>
        <v>0</v>
      </c>
      <c r="I489" s="20">
        <f t="shared" si="54"/>
        <v>0</v>
      </c>
      <c r="J489" s="20">
        <f t="shared" si="51"/>
        <v>0</v>
      </c>
      <c r="K489" s="20">
        <f t="shared" si="51"/>
        <v>0</v>
      </c>
      <c r="L489" s="20">
        <f t="shared" si="51"/>
        <v>0</v>
      </c>
    </row>
    <row r="490" spans="4:12" x14ac:dyDescent="0.35">
      <c r="D490" s="20" t="str">
        <f t="shared" si="55"/>
        <v/>
      </c>
      <c r="E490" s="21" t="str">
        <f t="shared" si="56"/>
        <v/>
      </c>
      <c r="F490" s="20" t="str">
        <f t="shared" si="57"/>
        <v/>
      </c>
      <c r="G490" s="20">
        <f t="shared" si="52"/>
        <v>0</v>
      </c>
      <c r="H490" s="20">
        <f t="shared" si="53"/>
        <v>0</v>
      </c>
      <c r="I490" s="20">
        <f t="shared" si="54"/>
        <v>0</v>
      </c>
      <c r="J490" s="20">
        <f t="shared" si="51"/>
        <v>0</v>
      </c>
      <c r="K490" s="20">
        <f t="shared" si="51"/>
        <v>0</v>
      </c>
      <c r="L490" s="20">
        <f t="shared" si="51"/>
        <v>0</v>
      </c>
    </row>
    <row r="491" spans="4:12" x14ac:dyDescent="0.35">
      <c r="D491" s="20" t="str">
        <f t="shared" si="55"/>
        <v/>
      </c>
      <c r="E491" s="21" t="str">
        <f t="shared" si="56"/>
        <v/>
      </c>
      <c r="F491" s="20" t="str">
        <f t="shared" si="57"/>
        <v/>
      </c>
      <c r="G491" s="20">
        <f t="shared" si="52"/>
        <v>0</v>
      </c>
      <c r="H491" s="20">
        <f t="shared" si="53"/>
        <v>0</v>
      </c>
      <c r="I491" s="20">
        <f t="shared" si="54"/>
        <v>0</v>
      </c>
      <c r="J491" s="20">
        <f t="shared" si="51"/>
        <v>0</v>
      </c>
      <c r="K491" s="20">
        <f t="shared" si="51"/>
        <v>0</v>
      </c>
      <c r="L491" s="20">
        <f t="shared" si="51"/>
        <v>0</v>
      </c>
    </row>
    <row r="492" spans="4:12" x14ac:dyDescent="0.35">
      <c r="D492" s="20" t="str">
        <f t="shared" si="55"/>
        <v/>
      </c>
      <c r="E492" s="21" t="str">
        <f t="shared" si="56"/>
        <v/>
      </c>
      <c r="F492" s="20" t="str">
        <f t="shared" si="57"/>
        <v/>
      </c>
      <c r="G492" s="20">
        <f t="shared" si="52"/>
        <v>0</v>
      </c>
      <c r="H492" s="20">
        <f t="shared" si="53"/>
        <v>0</v>
      </c>
      <c r="I492" s="20">
        <f t="shared" si="54"/>
        <v>0</v>
      </c>
      <c r="J492" s="20">
        <f t="shared" si="51"/>
        <v>0</v>
      </c>
      <c r="K492" s="20">
        <f t="shared" si="51"/>
        <v>0</v>
      </c>
      <c r="L492" s="20">
        <f t="shared" si="51"/>
        <v>0</v>
      </c>
    </row>
    <row r="493" spans="4:12" x14ac:dyDescent="0.35">
      <c r="D493" s="20" t="str">
        <f t="shared" si="55"/>
        <v/>
      </c>
      <c r="E493" s="21" t="str">
        <f t="shared" si="56"/>
        <v/>
      </c>
      <c r="F493" s="20" t="str">
        <f t="shared" si="57"/>
        <v/>
      </c>
      <c r="G493" s="20">
        <f t="shared" si="52"/>
        <v>0</v>
      </c>
      <c r="H493" s="20">
        <f t="shared" si="53"/>
        <v>0</v>
      </c>
      <c r="I493" s="20">
        <f t="shared" si="54"/>
        <v>0</v>
      </c>
      <c r="J493" s="20">
        <f t="shared" si="51"/>
        <v>0</v>
      </c>
      <c r="K493" s="20">
        <f t="shared" si="51"/>
        <v>0</v>
      </c>
      <c r="L493" s="20">
        <f t="shared" si="51"/>
        <v>0</v>
      </c>
    </row>
    <row r="494" spans="4:12" x14ac:dyDescent="0.35">
      <c r="D494" s="20" t="str">
        <f t="shared" si="55"/>
        <v/>
      </c>
      <c r="E494" s="21" t="str">
        <f t="shared" si="56"/>
        <v/>
      </c>
      <c r="F494" s="20" t="str">
        <f t="shared" si="57"/>
        <v/>
      </c>
      <c r="G494" s="20">
        <f t="shared" si="52"/>
        <v>0</v>
      </c>
      <c r="H494" s="20">
        <f t="shared" si="53"/>
        <v>0</v>
      </c>
      <c r="I494" s="20">
        <f t="shared" si="54"/>
        <v>0</v>
      </c>
      <c r="J494" s="20">
        <f t="shared" si="51"/>
        <v>0</v>
      </c>
      <c r="K494" s="20">
        <f t="shared" si="51"/>
        <v>0</v>
      </c>
      <c r="L494" s="20">
        <f t="shared" si="51"/>
        <v>0</v>
      </c>
    </row>
    <row r="495" spans="4:12" x14ac:dyDescent="0.35">
      <c r="D495" s="20" t="str">
        <f t="shared" si="55"/>
        <v/>
      </c>
      <c r="E495" s="21" t="str">
        <f t="shared" si="56"/>
        <v/>
      </c>
      <c r="F495" s="20" t="str">
        <f t="shared" si="57"/>
        <v/>
      </c>
      <c r="G495" s="20">
        <f t="shared" si="52"/>
        <v>0</v>
      </c>
      <c r="H495" s="20">
        <f t="shared" si="53"/>
        <v>0</v>
      </c>
      <c r="I495" s="20">
        <f t="shared" si="54"/>
        <v>0</v>
      </c>
      <c r="J495" s="20">
        <f t="shared" si="51"/>
        <v>0</v>
      </c>
      <c r="K495" s="20">
        <f t="shared" si="51"/>
        <v>0</v>
      </c>
      <c r="L495" s="20">
        <f t="shared" si="51"/>
        <v>0</v>
      </c>
    </row>
    <row r="496" spans="4:12" x14ac:dyDescent="0.35">
      <c r="D496" s="20" t="str">
        <f t="shared" si="55"/>
        <v/>
      </c>
      <c r="E496" s="21" t="str">
        <f t="shared" si="56"/>
        <v/>
      </c>
      <c r="F496" s="20" t="str">
        <f t="shared" si="57"/>
        <v/>
      </c>
      <c r="G496" s="20">
        <f t="shared" si="52"/>
        <v>0</v>
      </c>
      <c r="H496" s="20">
        <f t="shared" si="53"/>
        <v>0</v>
      </c>
      <c r="I496" s="20">
        <f t="shared" si="54"/>
        <v>0</v>
      </c>
      <c r="J496" s="20">
        <f t="shared" si="51"/>
        <v>0</v>
      </c>
      <c r="K496" s="20">
        <f t="shared" si="51"/>
        <v>0</v>
      </c>
      <c r="L496" s="20">
        <f t="shared" si="51"/>
        <v>0</v>
      </c>
    </row>
    <row r="497" spans="4:12" x14ac:dyDescent="0.35">
      <c r="D497" s="20" t="str">
        <f t="shared" si="55"/>
        <v/>
      </c>
      <c r="E497" s="21" t="str">
        <f t="shared" si="56"/>
        <v/>
      </c>
      <c r="F497" s="20" t="str">
        <f t="shared" si="57"/>
        <v/>
      </c>
      <c r="G497" s="20">
        <f t="shared" si="52"/>
        <v>0</v>
      </c>
      <c r="H497" s="20">
        <f t="shared" si="53"/>
        <v>0</v>
      </c>
      <c r="I497" s="20">
        <f t="shared" si="54"/>
        <v>0</v>
      </c>
      <c r="J497" s="20">
        <f t="shared" si="51"/>
        <v>0</v>
      </c>
      <c r="K497" s="20">
        <f t="shared" si="51"/>
        <v>0</v>
      </c>
      <c r="L497" s="20">
        <f t="shared" si="51"/>
        <v>0</v>
      </c>
    </row>
    <row r="498" spans="4:12" x14ac:dyDescent="0.35">
      <c r="D498" s="20" t="str">
        <f t="shared" si="55"/>
        <v/>
      </c>
      <c r="E498" s="21" t="str">
        <f t="shared" si="56"/>
        <v/>
      </c>
      <c r="F498" s="20" t="str">
        <f t="shared" si="57"/>
        <v/>
      </c>
      <c r="G498" s="20">
        <f t="shared" si="52"/>
        <v>0</v>
      </c>
      <c r="H498" s="20">
        <f t="shared" si="53"/>
        <v>0</v>
      </c>
      <c r="I498" s="20">
        <f t="shared" si="54"/>
        <v>0</v>
      </c>
      <c r="J498" s="20">
        <f t="shared" si="51"/>
        <v>0</v>
      </c>
      <c r="K498" s="20">
        <f t="shared" si="51"/>
        <v>0</v>
      </c>
      <c r="L498" s="20">
        <f t="shared" si="51"/>
        <v>0</v>
      </c>
    </row>
    <row r="499" spans="4:12" x14ac:dyDescent="0.35">
      <c r="D499" s="20" t="str">
        <f t="shared" si="55"/>
        <v/>
      </c>
      <c r="E499" s="21" t="str">
        <f t="shared" si="56"/>
        <v/>
      </c>
      <c r="F499" s="20" t="str">
        <f t="shared" si="57"/>
        <v/>
      </c>
      <c r="G499" s="20">
        <f t="shared" si="52"/>
        <v>0</v>
      </c>
      <c r="H499" s="20">
        <f t="shared" si="53"/>
        <v>0</v>
      </c>
      <c r="I499" s="20">
        <f t="shared" si="54"/>
        <v>0</v>
      </c>
      <c r="J499" s="20">
        <f t="shared" si="51"/>
        <v>0</v>
      </c>
      <c r="K499" s="20">
        <f t="shared" si="51"/>
        <v>0</v>
      </c>
      <c r="L499" s="20">
        <f t="shared" si="51"/>
        <v>0</v>
      </c>
    </row>
    <row r="500" spans="4:12" x14ac:dyDescent="0.35">
      <c r="D500" s="20" t="str">
        <f t="shared" si="55"/>
        <v/>
      </c>
      <c r="E500" s="21" t="str">
        <f t="shared" si="56"/>
        <v/>
      </c>
      <c r="F500" s="20" t="str">
        <f t="shared" si="57"/>
        <v/>
      </c>
      <c r="G500" s="20">
        <f t="shared" si="52"/>
        <v>0</v>
      </c>
      <c r="H500" s="20">
        <f t="shared" si="53"/>
        <v>0</v>
      </c>
      <c r="I500" s="20">
        <f t="shared" si="54"/>
        <v>0</v>
      </c>
      <c r="J500" s="20">
        <f t="shared" si="51"/>
        <v>0</v>
      </c>
      <c r="K500" s="20">
        <f t="shared" si="51"/>
        <v>0</v>
      </c>
      <c r="L500" s="20">
        <f t="shared" si="51"/>
        <v>0</v>
      </c>
    </row>
    <row r="501" spans="4:12" x14ac:dyDescent="0.35">
      <c r="D501" s="20" t="str">
        <f t="shared" si="55"/>
        <v/>
      </c>
      <c r="E501" s="21" t="str">
        <f t="shared" si="56"/>
        <v/>
      </c>
      <c r="F501" s="20" t="str">
        <f t="shared" si="57"/>
        <v/>
      </c>
      <c r="G501" s="20">
        <f t="shared" si="52"/>
        <v>0</v>
      </c>
      <c r="H501" s="20">
        <f t="shared" si="53"/>
        <v>0</v>
      </c>
      <c r="I501" s="20">
        <f t="shared" si="54"/>
        <v>0</v>
      </c>
      <c r="J501" s="20">
        <f t="shared" si="51"/>
        <v>0</v>
      </c>
      <c r="K501" s="20">
        <f t="shared" si="51"/>
        <v>0</v>
      </c>
      <c r="L501" s="20">
        <f t="shared" si="5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BF81-A1C0-4099-AD39-D7AC082371EE}">
  <dimension ref="A1:L501"/>
  <sheetViews>
    <sheetView workbookViewId="0">
      <selection activeCell="B5" sqref="B5"/>
    </sheetView>
  </sheetViews>
  <sheetFormatPr baseColWidth="10" defaultRowHeight="14.5" x14ac:dyDescent="0.35"/>
  <cols>
    <col min="1" max="1" width="15.6328125" customWidth="1"/>
    <col min="2" max="2" width="10.36328125" customWidth="1"/>
    <col min="3" max="3" width="4.6328125" customWidth="1"/>
    <col min="6" max="7" width="14.1796875" customWidth="1"/>
    <col min="10" max="10" width="14.1796875" customWidth="1"/>
  </cols>
  <sheetData>
    <row r="1" spans="1:12" x14ac:dyDescent="0.35">
      <c r="D1" s="20" t="s">
        <v>0</v>
      </c>
      <c r="E1" s="20" t="s">
        <v>1</v>
      </c>
      <c r="F1" s="20" t="s">
        <v>2</v>
      </c>
      <c r="G1" s="20" t="s">
        <v>35</v>
      </c>
      <c r="H1" s="20" t="s">
        <v>36</v>
      </c>
      <c r="I1" s="20" t="s">
        <v>37</v>
      </c>
      <c r="J1" s="20" t="s">
        <v>38</v>
      </c>
      <c r="K1" s="20" t="s">
        <v>39</v>
      </c>
      <c r="L1" s="20" t="s">
        <v>40</v>
      </c>
    </row>
    <row r="2" spans="1:12" x14ac:dyDescent="0.35">
      <c r="D2" s="20">
        <v>1</v>
      </c>
      <c r="E2" s="21">
        <v>-2</v>
      </c>
      <c r="F2" s="20">
        <f>((3*E2^2)-(4*E2)*(SIN(1.4*E2^3)^2))/((0.4*E2^2+1)^(1/4))</f>
        <v>15.490588454337948</v>
      </c>
      <c r="G2" s="20">
        <f>IF(D2=1,F2,"")</f>
        <v>15.490588454337948</v>
      </c>
      <c r="H2" s="20">
        <v>0</v>
      </c>
      <c r="I2" s="20">
        <v>0</v>
      </c>
      <c r="J2" s="20">
        <f>ABS(G2)</f>
        <v>15.490588454337948</v>
      </c>
      <c r="K2" s="20">
        <f t="shared" ref="K2:L2" si="0">ABS(H2)</f>
        <v>0</v>
      </c>
      <c r="L2" s="20">
        <f t="shared" si="0"/>
        <v>0</v>
      </c>
    </row>
    <row r="3" spans="1:12" x14ac:dyDescent="0.35">
      <c r="A3" t="s">
        <v>27</v>
      </c>
      <c r="B3">
        <v>-2</v>
      </c>
      <c r="D3" s="20">
        <f>IF(D2&lt;=$B$5,D2+1,0)</f>
        <v>2</v>
      </c>
      <c r="E3" s="21">
        <f>IF(D2&lt;=$B$5,E2+$B$6,0)</f>
        <v>-1.7</v>
      </c>
      <c r="F3" s="20">
        <f>IF(D2&lt;=$B$5,((3*E3^2)-(4*E3)*(SIN(1.4*E3^3)^2))/((0.4*E3^2+1)^(1/4)),"")</f>
        <v>8.9180689685023307</v>
      </c>
      <c r="G3" s="20">
        <f>IF(D3=$B$5+1,F3,0)</f>
        <v>0</v>
      </c>
      <c r="H3" s="20">
        <f>IF(D2&lt;$B$5,F3*MOD(D2,2),0)</f>
        <v>8.9180689685023307</v>
      </c>
      <c r="I3" s="20">
        <f>IF(D2&lt;$B$5,F3*MOD(D3,2),0)</f>
        <v>0</v>
      </c>
      <c r="J3" s="20">
        <f t="shared" ref="J3:J66" si="1">ABS(G3)</f>
        <v>0</v>
      </c>
      <c r="K3" s="20">
        <f t="shared" ref="K3:K66" si="2">ABS(H3)</f>
        <v>8.9180689685023307</v>
      </c>
      <c r="L3" s="20">
        <f t="shared" ref="L3:L66" si="3">ABS(I3)</f>
        <v>0</v>
      </c>
    </row>
    <row r="4" spans="1:12" x14ac:dyDescent="0.35">
      <c r="A4" t="s">
        <v>28</v>
      </c>
      <c r="B4">
        <v>4</v>
      </c>
      <c r="D4" s="20">
        <f t="shared" ref="D4:D27" si="4">IF(D3&lt;=$B$5,D3+1,"")</f>
        <v>3</v>
      </c>
      <c r="E4" s="21">
        <f>IF(D3&lt;=$B$5,E3+$B$6,"")</f>
        <v>-1.4</v>
      </c>
      <c r="F4" s="20">
        <f t="shared" ref="F4:F67" si="5">IF(D3&lt;=$B$5,((3*E4^2)-(4*E4)*(SIN(1.4*E4^3)^2))/((0.4*E4^2+1)^(1/4)),"")</f>
        <v>7.0987838967160739</v>
      </c>
      <c r="G4" s="20">
        <f t="shared" ref="G4:G67" si="6">IF(D4=$B$5+1,F4,0)</f>
        <v>0</v>
      </c>
      <c r="H4" s="20">
        <f t="shared" ref="H4:H67" si="7">IF(D3&lt;$B$5,F4*MOD(D3,2),0)</f>
        <v>0</v>
      </c>
      <c r="I4" s="20">
        <f t="shared" ref="I4:I67" si="8">IF(D3&lt;$B$5,F4*MOD(D4,2),0)</f>
        <v>7.0987838967160739</v>
      </c>
      <c r="J4" s="20">
        <f t="shared" si="1"/>
        <v>0</v>
      </c>
      <c r="K4" s="20">
        <f t="shared" si="2"/>
        <v>0</v>
      </c>
      <c r="L4" s="20">
        <f t="shared" si="3"/>
        <v>7.0987838967160739</v>
      </c>
    </row>
    <row r="5" spans="1:12" x14ac:dyDescent="0.35">
      <c r="A5" t="s">
        <v>29</v>
      </c>
      <c r="B5" s="24">
        <v>20</v>
      </c>
      <c r="C5" t="str">
        <f>IF(MOD(B5,2)&lt;&gt;0,"x","")</f>
        <v/>
      </c>
      <c r="D5" s="20">
        <f t="shared" si="4"/>
        <v>4</v>
      </c>
      <c r="E5" s="21">
        <f>IF(D4&lt;=$B$5,E4+$B$6,"")</f>
        <v>-1.0999999999999999</v>
      </c>
      <c r="F5" s="20">
        <f t="shared" si="5"/>
        <v>6.9437197562702258</v>
      </c>
      <c r="G5" s="20">
        <f t="shared" si="6"/>
        <v>0</v>
      </c>
      <c r="H5" s="20">
        <f t="shared" si="7"/>
        <v>6.9437197562702258</v>
      </c>
      <c r="I5" s="20">
        <f t="shared" si="8"/>
        <v>0</v>
      </c>
      <c r="J5" s="20">
        <f t="shared" si="1"/>
        <v>0</v>
      </c>
      <c r="K5" s="20">
        <f t="shared" si="2"/>
        <v>6.9437197562702258</v>
      </c>
      <c r="L5" s="20">
        <f t="shared" si="3"/>
        <v>0</v>
      </c>
    </row>
    <row r="6" spans="1:12" x14ac:dyDescent="0.35">
      <c r="A6" t="s">
        <v>18</v>
      </c>
      <c r="B6">
        <f>(B4-B3)/B5</f>
        <v>0.3</v>
      </c>
      <c r="D6" s="20">
        <f t="shared" si="4"/>
        <v>5</v>
      </c>
      <c r="E6" s="21">
        <f>IF(D5&lt;=$B$5,E5+$B$6,"")</f>
        <v>-0.79999999999999982</v>
      </c>
      <c r="F6" s="20">
        <f t="shared" si="5"/>
        <v>3.1183222227737382</v>
      </c>
      <c r="G6" s="20">
        <f t="shared" si="6"/>
        <v>0</v>
      </c>
      <c r="H6" s="20">
        <f t="shared" si="7"/>
        <v>0</v>
      </c>
      <c r="I6" s="20">
        <f t="shared" si="8"/>
        <v>3.1183222227737382</v>
      </c>
      <c r="J6" s="20">
        <f t="shared" si="1"/>
        <v>0</v>
      </c>
      <c r="K6" s="20">
        <f t="shared" si="2"/>
        <v>0</v>
      </c>
      <c r="L6" s="20">
        <f t="shared" si="3"/>
        <v>3.1183222227737382</v>
      </c>
    </row>
    <row r="7" spans="1:12" x14ac:dyDescent="0.35">
      <c r="D7" s="20">
        <f t="shared" si="4"/>
        <v>6</v>
      </c>
      <c r="E7" s="21">
        <f>IF(D6&lt;=$B$5,E6+$B$6,"")</f>
        <v>-0.49999999999999983</v>
      </c>
      <c r="F7" s="20">
        <f t="shared" si="5"/>
        <v>0.79154032974338917</v>
      </c>
      <c r="G7" s="20">
        <f t="shared" si="6"/>
        <v>0</v>
      </c>
      <c r="H7" s="20">
        <f t="shared" si="7"/>
        <v>0.79154032974338917</v>
      </c>
      <c r="I7" s="20">
        <f t="shared" si="8"/>
        <v>0</v>
      </c>
      <c r="J7" s="20">
        <f t="shared" si="1"/>
        <v>0</v>
      </c>
      <c r="K7" s="20">
        <f t="shared" si="2"/>
        <v>0.79154032974338917</v>
      </c>
      <c r="L7" s="20">
        <f t="shared" si="3"/>
        <v>0</v>
      </c>
    </row>
    <row r="8" spans="1:12" x14ac:dyDescent="0.35">
      <c r="A8" t="s">
        <v>30</v>
      </c>
      <c r="B8">
        <f>(1/3)*B6*(SUM(G2:G500))</f>
        <v>3.4932828411918071</v>
      </c>
      <c r="D8" s="20">
        <f t="shared" si="4"/>
        <v>7</v>
      </c>
      <c r="E8" s="21">
        <f>IF(D7&lt;=$B$5,E7+$B$6,"")</f>
        <v>-0.19999999999999984</v>
      </c>
      <c r="F8" s="20">
        <f t="shared" si="5"/>
        <v>0.11962469351792215</v>
      </c>
      <c r="G8" s="20">
        <f t="shared" si="6"/>
        <v>0</v>
      </c>
      <c r="H8" s="20">
        <f t="shared" si="7"/>
        <v>0</v>
      </c>
      <c r="I8" s="20">
        <f t="shared" si="8"/>
        <v>0.11962469351792215</v>
      </c>
      <c r="J8" s="20">
        <f t="shared" si="1"/>
        <v>0</v>
      </c>
      <c r="K8" s="20">
        <f t="shared" si="2"/>
        <v>0</v>
      </c>
      <c r="L8" s="20">
        <f t="shared" si="3"/>
        <v>0.11962469351792215</v>
      </c>
    </row>
    <row r="9" spans="1:12" x14ac:dyDescent="0.35">
      <c r="D9" s="20">
        <f t="shared" si="4"/>
        <v>8</v>
      </c>
      <c r="E9" s="21">
        <f>IF(D8&lt;=$B$5,E8+$B$6,"")</f>
        <v>0.10000000000000014</v>
      </c>
      <c r="F9" s="20">
        <f t="shared" si="5"/>
        <v>2.9969291558286419E-2</v>
      </c>
      <c r="G9" s="20">
        <f t="shared" si="6"/>
        <v>0</v>
      </c>
      <c r="H9" s="20">
        <f t="shared" si="7"/>
        <v>2.9969291558286419E-2</v>
      </c>
      <c r="I9" s="20">
        <f t="shared" si="8"/>
        <v>0</v>
      </c>
      <c r="J9" s="20">
        <f t="shared" si="1"/>
        <v>0</v>
      </c>
      <c r="K9" s="20">
        <f t="shared" si="2"/>
        <v>2.9969291558286419E-2</v>
      </c>
      <c r="L9" s="20">
        <f t="shared" si="3"/>
        <v>0</v>
      </c>
    </row>
    <row r="10" spans="1:12" x14ac:dyDescent="0.35">
      <c r="A10" t="s">
        <v>31</v>
      </c>
      <c r="B10">
        <f>(1/3)*4*B6*SUM(H2:H500)</f>
        <v>30.222436183340218</v>
      </c>
      <c r="D10" s="20">
        <f t="shared" si="4"/>
        <v>9</v>
      </c>
      <c r="E10" s="21">
        <f>IF(D9&lt;=$B$5,E9+$B$6,"")</f>
        <v>0.40000000000000013</v>
      </c>
      <c r="F10" s="20">
        <f t="shared" si="5"/>
        <v>0.45999960972459752</v>
      </c>
      <c r="G10" s="20">
        <f t="shared" si="6"/>
        <v>0</v>
      </c>
      <c r="H10" s="20">
        <f t="shared" si="7"/>
        <v>0</v>
      </c>
      <c r="I10" s="20">
        <f t="shared" si="8"/>
        <v>0.45999960972459752</v>
      </c>
      <c r="J10" s="20">
        <f t="shared" si="1"/>
        <v>0</v>
      </c>
      <c r="K10" s="20">
        <f t="shared" si="2"/>
        <v>0</v>
      </c>
      <c r="L10" s="20">
        <f t="shared" si="3"/>
        <v>0.45999960972459752</v>
      </c>
    </row>
    <row r="11" spans="1:12" x14ac:dyDescent="0.35">
      <c r="D11" s="20">
        <f t="shared" si="4"/>
        <v>10</v>
      </c>
      <c r="E11" s="21">
        <f>IF(D10&lt;=$B$5,E10+$B$6,"")</f>
        <v>0.70000000000000018</v>
      </c>
      <c r="F11" s="20">
        <f t="shared" si="5"/>
        <v>0.83429049176549064</v>
      </c>
      <c r="G11" s="20">
        <f t="shared" si="6"/>
        <v>0</v>
      </c>
      <c r="H11" s="20">
        <f t="shared" si="7"/>
        <v>0.83429049176549064</v>
      </c>
      <c r="I11" s="20">
        <f t="shared" si="8"/>
        <v>0</v>
      </c>
      <c r="J11" s="20">
        <f t="shared" si="1"/>
        <v>0</v>
      </c>
      <c r="K11" s="20">
        <f t="shared" si="2"/>
        <v>0.83429049176549064</v>
      </c>
      <c r="L11" s="20">
        <f t="shared" si="3"/>
        <v>0</v>
      </c>
    </row>
    <row r="12" spans="1:12" x14ac:dyDescent="0.35">
      <c r="A12" t="s">
        <v>32</v>
      </c>
      <c r="B12">
        <f>(1/3)*2*B6*SUM(I2:I300)</f>
        <v>9.9324820254969097</v>
      </c>
      <c r="D12" s="20">
        <f t="shared" si="4"/>
        <v>11</v>
      </c>
      <c r="E12" s="21">
        <f>IF(D11&lt;=$B$5,E11+$B$6,"")</f>
        <v>1.0000000000000002</v>
      </c>
      <c r="F12" s="20">
        <f t="shared" si="5"/>
        <v>-0.81309008591326049</v>
      </c>
      <c r="G12" s="20">
        <f t="shared" si="6"/>
        <v>0</v>
      </c>
      <c r="H12" s="20">
        <f t="shared" si="7"/>
        <v>0</v>
      </c>
      <c r="I12" s="20">
        <f t="shared" si="8"/>
        <v>-0.81309008591326049</v>
      </c>
      <c r="J12" s="20">
        <f t="shared" si="1"/>
        <v>0</v>
      </c>
      <c r="K12" s="20">
        <f t="shared" si="2"/>
        <v>0</v>
      </c>
      <c r="L12" s="20">
        <f t="shared" si="3"/>
        <v>0.81309008591326049</v>
      </c>
    </row>
    <row r="13" spans="1:12" x14ac:dyDescent="0.35">
      <c r="D13" s="20">
        <f t="shared" si="4"/>
        <v>12</v>
      </c>
      <c r="E13" s="21">
        <f>IF(D12&lt;=$B$5,E12+$B$6,"")</f>
        <v>1.3000000000000003</v>
      </c>
      <c r="F13" s="20">
        <f t="shared" si="5"/>
        <v>4.4361868878213633</v>
      </c>
      <c r="G13" s="20">
        <f t="shared" si="6"/>
        <v>0</v>
      </c>
      <c r="H13" s="20">
        <f t="shared" si="7"/>
        <v>4.4361868878213633</v>
      </c>
      <c r="I13" s="20">
        <f t="shared" si="8"/>
        <v>0</v>
      </c>
      <c r="J13" s="20">
        <f t="shared" si="1"/>
        <v>0</v>
      </c>
      <c r="K13" s="20">
        <f t="shared" si="2"/>
        <v>4.4361868878213633</v>
      </c>
      <c r="L13" s="20">
        <f t="shared" si="3"/>
        <v>0</v>
      </c>
    </row>
    <row r="14" spans="1:12" x14ac:dyDescent="0.35">
      <c r="A14" t="s">
        <v>34</v>
      </c>
      <c r="B14">
        <f>SUM(B8:B12)</f>
        <v>43.648201050028938</v>
      </c>
      <c r="D14" s="20">
        <f t="shared" si="4"/>
        <v>13</v>
      </c>
      <c r="E14" s="21">
        <f>IF(D13&lt;=$B$5,E13+$B$6,"")</f>
        <v>1.6000000000000003</v>
      </c>
      <c r="F14" s="20">
        <f t="shared" si="5"/>
        <v>4.9787363606732713</v>
      </c>
      <c r="G14" s="20">
        <f t="shared" si="6"/>
        <v>0</v>
      </c>
      <c r="H14" s="20">
        <f t="shared" si="7"/>
        <v>0</v>
      </c>
      <c r="I14" s="20">
        <f t="shared" si="8"/>
        <v>4.9787363606732713</v>
      </c>
      <c r="J14" s="20">
        <f t="shared" si="1"/>
        <v>0</v>
      </c>
      <c r="K14" s="20">
        <f t="shared" si="2"/>
        <v>0</v>
      </c>
      <c r="L14" s="20">
        <f t="shared" si="3"/>
        <v>4.9787363606732713</v>
      </c>
    </row>
    <row r="15" spans="1:12" x14ac:dyDescent="0.35">
      <c r="D15" s="20">
        <f t="shared" si="4"/>
        <v>14</v>
      </c>
      <c r="E15" s="21">
        <f>IF(D14&lt;=$B$5,E14+$B$6,"")</f>
        <v>1.9000000000000004</v>
      </c>
      <c r="F15" s="20">
        <f t="shared" si="5"/>
        <v>8.4715150148718692</v>
      </c>
      <c r="G15" s="20">
        <f t="shared" si="6"/>
        <v>0</v>
      </c>
      <c r="H15" s="20">
        <f t="shared" si="7"/>
        <v>8.4715150148718692</v>
      </c>
      <c r="I15" s="20">
        <f t="shared" si="8"/>
        <v>0</v>
      </c>
      <c r="J15" s="20">
        <f t="shared" si="1"/>
        <v>0</v>
      </c>
      <c r="K15" s="20">
        <f t="shared" si="2"/>
        <v>8.4715150148718692</v>
      </c>
      <c r="L15" s="20">
        <f t="shared" si="3"/>
        <v>0</v>
      </c>
    </row>
    <row r="16" spans="1:12" x14ac:dyDescent="0.35">
      <c r="A16" t="s">
        <v>30</v>
      </c>
      <c r="B16">
        <f>(1/3)*B6*(SUM(J2:J300))</f>
        <v>3.4932828411918071</v>
      </c>
      <c r="D16" s="20">
        <f t="shared" si="4"/>
        <v>15</v>
      </c>
      <c r="E16" s="21">
        <f>IF(D15&lt;=$B$5,E15+$B$6,"")</f>
        <v>2.2000000000000002</v>
      </c>
      <c r="F16" s="20">
        <f t="shared" si="5"/>
        <v>7.6278250041805133</v>
      </c>
      <c r="G16" s="20">
        <f t="shared" si="6"/>
        <v>0</v>
      </c>
      <c r="H16" s="20">
        <f t="shared" si="7"/>
        <v>0</v>
      </c>
      <c r="I16" s="20">
        <f t="shared" si="8"/>
        <v>7.6278250041805133</v>
      </c>
      <c r="J16" s="20">
        <f t="shared" si="1"/>
        <v>0</v>
      </c>
      <c r="K16" s="20">
        <f t="shared" si="2"/>
        <v>0</v>
      </c>
      <c r="L16" s="20">
        <f t="shared" si="3"/>
        <v>7.6278250041805133</v>
      </c>
    </row>
    <row r="17" spans="1:12" x14ac:dyDescent="0.35">
      <c r="D17" s="20">
        <f t="shared" si="4"/>
        <v>16</v>
      </c>
      <c r="E17" s="21">
        <f>IF(D16&lt;=$B$5,E16+$B$6,"")</f>
        <v>2.5</v>
      </c>
      <c r="F17" s="20">
        <f t="shared" si="5"/>
        <v>13.61013319162287</v>
      </c>
      <c r="G17" s="20">
        <f t="shared" si="6"/>
        <v>0</v>
      </c>
      <c r="H17" s="20">
        <f t="shared" si="7"/>
        <v>13.61013319162287</v>
      </c>
      <c r="I17" s="20">
        <f t="shared" si="8"/>
        <v>0</v>
      </c>
      <c r="J17" s="20">
        <f t="shared" si="1"/>
        <v>0</v>
      </c>
      <c r="K17" s="20">
        <f t="shared" si="2"/>
        <v>13.61013319162287</v>
      </c>
      <c r="L17" s="20">
        <f t="shared" si="3"/>
        <v>0</v>
      </c>
    </row>
    <row r="18" spans="1:12" x14ac:dyDescent="0.35">
      <c r="A18" t="s">
        <v>31</v>
      </c>
      <c r="B18">
        <f>(1/3)*4*B6*SUM(K2:K300)</f>
        <v>30.222436183340218</v>
      </c>
      <c r="D18" s="20">
        <f t="shared" si="4"/>
        <v>17</v>
      </c>
      <c r="E18" s="21">
        <f>IF(D17&lt;=$B$5,E17+$B$6,"")</f>
        <v>2.8</v>
      </c>
      <c r="F18" s="20">
        <f t="shared" si="5"/>
        <v>13.363497982080553</v>
      </c>
      <c r="G18" s="20">
        <f t="shared" si="6"/>
        <v>0</v>
      </c>
      <c r="H18" s="20">
        <f t="shared" si="7"/>
        <v>0</v>
      </c>
      <c r="I18" s="20">
        <f t="shared" si="8"/>
        <v>13.363497982080553</v>
      </c>
      <c r="J18" s="20">
        <f t="shared" si="1"/>
        <v>0</v>
      </c>
      <c r="K18" s="20">
        <f t="shared" si="2"/>
        <v>0</v>
      </c>
      <c r="L18" s="20">
        <f t="shared" si="3"/>
        <v>13.363497982080553</v>
      </c>
    </row>
    <row r="19" spans="1:12" x14ac:dyDescent="0.35">
      <c r="D19" s="20">
        <f t="shared" si="4"/>
        <v>18</v>
      </c>
      <c r="E19" s="21">
        <f>IF(D18&lt;=$B$5,E18+$B$6,"")</f>
        <v>3.0999999999999996</v>
      </c>
      <c r="F19" s="20">
        <f t="shared" si="5"/>
        <v>14.577470527379024</v>
      </c>
      <c r="G19" s="20">
        <f t="shared" si="6"/>
        <v>0</v>
      </c>
      <c r="H19" s="20">
        <f t="shared" si="7"/>
        <v>14.577470527379024</v>
      </c>
      <c r="I19" s="20">
        <f t="shared" si="8"/>
        <v>0</v>
      </c>
      <c r="J19" s="20">
        <f t="shared" si="1"/>
        <v>0</v>
      </c>
      <c r="K19" s="20">
        <f t="shared" si="2"/>
        <v>14.577470527379024</v>
      </c>
      <c r="L19" s="20">
        <f t="shared" si="3"/>
        <v>0</v>
      </c>
    </row>
    <row r="20" spans="1:12" x14ac:dyDescent="0.35">
      <c r="A20" t="s">
        <v>32</v>
      </c>
      <c r="B20">
        <f>(1/3)*2*B6*SUM(L2:L500)</f>
        <v>10.257718059862214</v>
      </c>
      <c r="D20" s="20">
        <f t="shared" si="4"/>
        <v>19</v>
      </c>
      <c r="E20" s="21">
        <f>IF(D19&lt;=$B$5,E19+$B$6,"")</f>
        <v>3.3999999999999995</v>
      </c>
      <c r="F20" s="20">
        <f t="shared" si="5"/>
        <v>13.708710443731142</v>
      </c>
      <c r="G20" s="20">
        <f t="shared" si="6"/>
        <v>0</v>
      </c>
      <c r="H20" s="20">
        <f t="shared" si="7"/>
        <v>0</v>
      </c>
      <c r="I20" s="20">
        <f t="shared" si="8"/>
        <v>13.708710443731142</v>
      </c>
      <c r="J20" s="20">
        <f t="shared" si="1"/>
        <v>0</v>
      </c>
      <c r="K20" s="20">
        <f t="shared" si="2"/>
        <v>0</v>
      </c>
      <c r="L20" s="20">
        <f t="shared" si="3"/>
        <v>13.708710443731142</v>
      </c>
    </row>
    <row r="21" spans="1:12" x14ac:dyDescent="0.35">
      <c r="D21" s="20">
        <f t="shared" si="4"/>
        <v>20</v>
      </c>
      <c r="E21" s="21">
        <f>IF(D20&lt;=$B$5,E20+$B$6,"")</f>
        <v>3.6999999999999993</v>
      </c>
      <c r="F21" s="20">
        <f t="shared" si="5"/>
        <v>16.943195998815714</v>
      </c>
      <c r="G21" s="20">
        <f t="shared" si="6"/>
        <v>0</v>
      </c>
      <c r="H21" s="20">
        <f t="shared" si="7"/>
        <v>16.943195998815714</v>
      </c>
      <c r="I21" s="20">
        <f t="shared" si="8"/>
        <v>0</v>
      </c>
      <c r="J21" s="20">
        <f t="shared" si="1"/>
        <v>0</v>
      </c>
      <c r="K21" s="20">
        <f t="shared" si="2"/>
        <v>16.943195998815714</v>
      </c>
      <c r="L21" s="20">
        <f t="shared" si="3"/>
        <v>0</v>
      </c>
    </row>
    <row r="22" spans="1:12" x14ac:dyDescent="0.35">
      <c r="A22" t="s">
        <v>33</v>
      </c>
      <c r="B22">
        <f>SUM(B16:B20)</f>
        <v>43.973437084394241</v>
      </c>
      <c r="D22" s="20">
        <f>IF(D21&lt;=$B$5,D21+1,"")</f>
        <v>21</v>
      </c>
      <c r="E22" s="21">
        <f>IF(D21&lt;=$B$5,E21+$B$6,"")</f>
        <v>3.9999999999999991</v>
      </c>
      <c r="F22" s="20">
        <f t="shared" si="5"/>
        <v>19.442239957580124</v>
      </c>
      <c r="G22" s="20">
        <f t="shared" si="6"/>
        <v>19.442239957580124</v>
      </c>
      <c r="H22" s="20">
        <f t="shared" si="7"/>
        <v>0</v>
      </c>
      <c r="I22" s="20">
        <f t="shared" si="8"/>
        <v>0</v>
      </c>
      <c r="J22" s="20">
        <f t="shared" si="1"/>
        <v>19.442239957580124</v>
      </c>
      <c r="K22" s="20">
        <f t="shared" si="2"/>
        <v>0</v>
      </c>
      <c r="L22" s="20">
        <f t="shared" si="3"/>
        <v>0</v>
      </c>
    </row>
    <row r="23" spans="1:12" x14ac:dyDescent="0.35">
      <c r="D23" s="20" t="str">
        <f t="shared" ref="D23:D86" si="9">IF(D22&lt;=$B$5,D22+1,"")</f>
        <v/>
      </c>
      <c r="E23" s="21" t="str">
        <f t="shared" ref="E23:E86" si="10">IF(D22&lt;=$B$5,E22+$B$6,"")</f>
        <v/>
      </c>
      <c r="F23" s="20" t="str">
        <f t="shared" si="5"/>
        <v/>
      </c>
      <c r="G23" s="20">
        <f t="shared" si="6"/>
        <v>0</v>
      </c>
      <c r="H23" s="20">
        <f t="shared" si="7"/>
        <v>0</v>
      </c>
      <c r="I23" s="20">
        <f t="shared" si="8"/>
        <v>0</v>
      </c>
      <c r="J23" s="20">
        <f t="shared" si="1"/>
        <v>0</v>
      </c>
      <c r="K23" s="20">
        <f t="shared" si="2"/>
        <v>0</v>
      </c>
      <c r="L23" s="20">
        <f t="shared" si="3"/>
        <v>0</v>
      </c>
    </row>
    <row r="24" spans="1:12" x14ac:dyDescent="0.35">
      <c r="D24" s="20" t="str">
        <f t="shared" si="9"/>
        <v/>
      </c>
      <c r="E24" s="21" t="str">
        <f t="shared" si="10"/>
        <v/>
      </c>
      <c r="F24" s="20" t="str">
        <f t="shared" si="5"/>
        <v/>
      </c>
      <c r="G24" s="20">
        <f t="shared" si="6"/>
        <v>0</v>
      </c>
      <c r="H24" s="20">
        <f t="shared" si="7"/>
        <v>0</v>
      </c>
      <c r="I24" s="20">
        <f t="shared" si="8"/>
        <v>0</v>
      </c>
      <c r="J24" s="20">
        <f t="shared" si="1"/>
        <v>0</v>
      </c>
      <c r="K24" s="20">
        <f t="shared" si="2"/>
        <v>0</v>
      </c>
      <c r="L24" s="20">
        <f t="shared" si="3"/>
        <v>0</v>
      </c>
    </row>
    <row r="25" spans="1:12" x14ac:dyDescent="0.35">
      <c r="D25" s="20" t="str">
        <f t="shared" si="9"/>
        <v/>
      </c>
      <c r="E25" s="21" t="str">
        <f t="shared" si="10"/>
        <v/>
      </c>
      <c r="F25" s="20" t="str">
        <f t="shared" si="5"/>
        <v/>
      </c>
      <c r="G25" s="20">
        <f t="shared" si="6"/>
        <v>0</v>
      </c>
      <c r="H25" s="20">
        <f t="shared" si="7"/>
        <v>0</v>
      </c>
      <c r="I25" s="20">
        <f t="shared" si="8"/>
        <v>0</v>
      </c>
      <c r="J25" s="20">
        <f t="shared" si="1"/>
        <v>0</v>
      </c>
      <c r="K25" s="20">
        <f t="shared" si="2"/>
        <v>0</v>
      </c>
      <c r="L25" s="20">
        <f t="shared" si="3"/>
        <v>0</v>
      </c>
    </row>
    <row r="26" spans="1:12" x14ac:dyDescent="0.35">
      <c r="D26" s="20" t="str">
        <f t="shared" si="9"/>
        <v/>
      </c>
      <c r="E26" s="21" t="str">
        <f t="shared" si="10"/>
        <v/>
      </c>
      <c r="F26" s="20" t="str">
        <f t="shared" si="5"/>
        <v/>
      </c>
      <c r="G26" s="20">
        <f t="shared" si="6"/>
        <v>0</v>
      </c>
      <c r="H26" s="20">
        <f t="shared" si="7"/>
        <v>0</v>
      </c>
      <c r="I26" s="20">
        <f t="shared" si="8"/>
        <v>0</v>
      </c>
      <c r="J26" s="20">
        <f t="shared" si="1"/>
        <v>0</v>
      </c>
      <c r="K26" s="20">
        <f t="shared" si="2"/>
        <v>0</v>
      </c>
      <c r="L26" s="20">
        <f t="shared" si="3"/>
        <v>0</v>
      </c>
    </row>
    <row r="27" spans="1:12" x14ac:dyDescent="0.35">
      <c r="D27" s="20" t="str">
        <f t="shared" si="9"/>
        <v/>
      </c>
      <c r="E27" s="21" t="str">
        <f t="shared" si="10"/>
        <v/>
      </c>
      <c r="F27" s="20" t="str">
        <f t="shared" si="5"/>
        <v/>
      </c>
      <c r="G27" s="20">
        <f t="shared" si="6"/>
        <v>0</v>
      </c>
      <c r="H27" s="20">
        <f t="shared" si="7"/>
        <v>0</v>
      </c>
      <c r="I27" s="20">
        <f t="shared" si="8"/>
        <v>0</v>
      </c>
      <c r="J27" s="20">
        <f t="shared" si="1"/>
        <v>0</v>
      </c>
      <c r="K27" s="20">
        <f t="shared" si="2"/>
        <v>0</v>
      </c>
      <c r="L27" s="20">
        <f t="shared" si="3"/>
        <v>0</v>
      </c>
    </row>
    <row r="28" spans="1:12" x14ac:dyDescent="0.35">
      <c r="D28" s="20" t="str">
        <f t="shared" si="9"/>
        <v/>
      </c>
      <c r="E28" s="21" t="str">
        <f t="shared" si="10"/>
        <v/>
      </c>
      <c r="F28" s="20" t="str">
        <f t="shared" si="5"/>
        <v/>
      </c>
      <c r="G28" s="20">
        <f t="shared" si="6"/>
        <v>0</v>
      </c>
      <c r="H28" s="20">
        <f t="shared" si="7"/>
        <v>0</v>
      </c>
      <c r="I28" s="20">
        <f t="shared" si="8"/>
        <v>0</v>
      </c>
      <c r="J28" s="20">
        <f t="shared" si="1"/>
        <v>0</v>
      </c>
      <c r="K28" s="20">
        <f t="shared" si="2"/>
        <v>0</v>
      </c>
      <c r="L28" s="20">
        <f t="shared" si="3"/>
        <v>0</v>
      </c>
    </row>
    <row r="29" spans="1:12" x14ac:dyDescent="0.35">
      <c r="D29" s="20" t="str">
        <f t="shared" si="9"/>
        <v/>
      </c>
      <c r="E29" s="21" t="str">
        <f t="shared" si="10"/>
        <v/>
      </c>
      <c r="F29" s="20" t="str">
        <f t="shared" si="5"/>
        <v/>
      </c>
      <c r="G29" s="20">
        <f t="shared" si="6"/>
        <v>0</v>
      </c>
      <c r="H29" s="20">
        <f t="shared" si="7"/>
        <v>0</v>
      </c>
      <c r="I29" s="20">
        <f t="shared" si="8"/>
        <v>0</v>
      </c>
      <c r="J29" s="20">
        <f t="shared" si="1"/>
        <v>0</v>
      </c>
      <c r="K29" s="20">
        <f t="shared" si="2"/>
        <v>0</v>
      </c>
      <c r="L29" s="20">
        <f t="shared" si="3"/>
        <v>0</v>
      </c>
    </row>
    <row r="30" spans="1:12" x14ac:dyDescent="0.35">
      <c r="D30" s="20" t="str">
        <f t="shared" si="9"/>
        <v/>
      </c>
      <c r="E30" s="21" t="str">
        <f t="shared" si="10"/>
        <v/>
      </c>
      <c r="F30" s="20" t="str">
        <f t="shared" si="5"/>
        <v/>
      </c>
      <c r="G30" s="20">
        <f t="shared" si="6"/>
        <v>0</v>
      </c>
      <c r="H30" s="20">
        <f t="shared" si="7"/>
        <v>0</v>
      </c>
      <c r="I30" s="20">
        <f t="shared" si="8"/>
        <v>0</v>
      </c>
      <c r="J30" s="20">
        <f t="shared" si="1"/>
        <v>0</v>
      </c>
      <c r="K30" s="20">
        <f t="shared" si="2"/>
        <v>0</v>
      </c>
      <c r="L30" s="20">
        <f t="shared" si="3"/>
        <v>0</v>
      </c>
    </row>
    <row r="31" spans="1:12" x14ac:dyDescent="0.35">
      <c r="D31" s="20" t="str">
        <f t="shared" si="9"/>
        <v/>
      </c>
      <c r="E31" s="21" t="str">
        <f t="shared" si="10"/>
        <v/>
      </c>
      <c r="F31" s="20" t="str">
        <f t="shared" si="5"/>
        <v/>
      </c>
      <c r="G31" s="20">
        <f t="shared" si="6"/>
        <v>0</v>
      </c>
      <c r="H31" s="20">
        <f t="shared" si="7"/>
        <v>0</v>
      </c>
      <c r="I31" s="20">
        <f t="shared" si="8"/>
        <v>0</v>
      </c>
      <c r="J31" s="20">
        <f t="shared" si="1"/>
        <v>0</v>
      </c>
      <c r="K31" s="20">
        <f t="shared" si="2"/>
        <v>0</v>
      </c>
      <c r="L31" s="20">
        <f t="shared" si="3"/>
        <v>0</v>
      </c>
    </row>
    <row r="32" spans="1:12" x14ac:dyDescent="0.35">
      <c r="D32" s="20" t="str">
        <f t="shared" si="9"/>
        <v/>
      </c>
      <c r="E32" s="21" t="str">
        <f t="shared" si="10"/>
        <v/>
      </c>
      <c r="F32" s="20" t="str">
        <f t="shared" si="5"/>
        <v/>
      </c>
      <c r="G32" s="20">
        <f t="shared" si="6"/>
        <v>0</v>
      </c>
      <c r="H32" s="20">
        <f t="shared" si="7"/>
        <v>0</v>
      </c>
      <c r="I32" s="20">
        <f t="shared" si="8"/>
        <v>0</v>
      </c>
      <c r="J32" s="20">
        <f t="shared" si="1"/>
        <v>0</v>
      </c>
      <c r="K32" s="20">
        <f t="shared" si="2"/>
        <v>0</v>
      </c>
      <c r="L32" s="20">
        <f t="shared" si="3"/>
        <v>0</v>
      </c>
    </row>
    <row r="33" spans="4:12" x14ac:dyDescent="0.35">
      <c r="D33" s="20" t="str">
        <f t="shared" si="9"/>
        <v/>
      </c>
      <c r="E33" s="21" t="str">
        <f t="shared" si="10"/>
        <v/>
      </c>
      <c r="F33" s="20" t="str">
        <f t="shared" si="5"/>
        <v/>
      </c>
      <c r="G33" s="20">
        <f t="shared" si="6"/>
        <v>0</v>
      </c>
      <c r="H33" s="20">
        <f t="shared" si="7"/>
        <v>0</v>
      </c>
      <c r="I33" s="20">
        <f t="shared" si="8"/>
        <v>0</v>
      </c>
      <c r="J33" s="20">
        <f t="shared" si="1"/>
        <v>0</v>
      </c>
      <c r="K33" s="20">
        <f t="shared" si="2"/>
        <v>0</v>
      </c>
      <c r="L33" s="20">
        <f t="shared" si="3"/>
        <v>0</v>
      </c>
    </row>
    <row r="34" spans="4:12" x14ac:dyDescent="0.35">
      <c r="D34" s="20" t="str">
        <f t="shared" si="9"/>
        <v/>
      </c>
      <c r="E34" s="21" t="str">
        <f t="shared" si="10"/>
        <v/>
      </c>
      <c r="F34" s="20" t="str">
        <f t="shared" si="5"/>
        <v/>
      </c>
      <c r="G34" s="20">
        <f t="shared" si="6"/>
        <v>0</v>
      </c>
      <c r="H34" s="20">
        <f t="shared" si="7"/>
        <v>0</v>
      </c>
      <c r="I34" s="20">
        <f t="shared" si="8"/>
        <v>0</v>
      </c>
      <c r="J34" s="20">
        <f t="shared" si="1"/>
        <v>0</v>
      </c>
      <c r="K34" s="20">
        <f t="shared" si="2"/>
        <v>0</v>
      </c>
      <c r="L34" s="20">
        <f t="shared" si="3"/>
        <v>0</v>
      </c>
    </row>
    <row r="35" spans="4:12" x14ac:dyDescent="0.35">
      <c r="D35" s="20" t="str">
        <f t="shared" si="9"/>
        <v/>
      </c>
      <c r="E35" s="21" t="str">
        <f t="shared" si="10"/>
        <v/>
      </c>
      <c r="F35" s="20" t="str">
        <f t="shared" si="5"/>
        <v/>
      </c>
      <c r="G35" s="20">
        <f t="shared" si="6"/>
        <v>0</v>
      </c>
      <c r="H35" s="20">
        <f t="shared" si="7"/>
        <v>0</v>
      </c>
      <c r="I35" s="20">
        <f t="shared" si="8"/>
        <v>0</v>
      </c>
      <c r="J35" s="20">
        <f t="shared" si="1"/>
        <v>0</v>
      </c>
      <c r="K35" s="20">
        <f t="shared" si="2"/>
        <v>0</v>
      </c>
      <c r="L35" s="20">
        <f t="shared" si="3"/>
        <v>0</v>
      </c>
    </row>
    <row r="36" spans="4:12" x14ac:dyDescent="0.35">
      <c r="D36" s="20" t="str">
        <f t="shared" si="9"/>
        <v/>
      </c>
      <c r="E36" s="21" t="str">
        <f t="shared" si="10"/>
        <v/>
      </c>
      <c r="F36" s="20" t="str">
        <f t="shared" si="5"/>
        <v/>
      </c>
      <c r="G36" s="20">
        <f t="shared" si="6"/>
        <v>0</v>
      </c>
      <c r="H36" s="20">
        <f t="shared" si="7"/>
        <v>0</v>
      </c>
      <c r="I36" s="20">
        <f t="shared" si="8"/>
        <v>0</v>
      </c>
      <c r="J36" s="20">
        <f t="shared" si="1"/>
        <v>0</v>
      </c>
      <c r="K36" s="20">
        <f t="shared" si="2"/>
        <v>0</v>
      </c>
      <c r="L36" s="20">
        <f t="shared" si="3"/>
        <v>0</v>
      </c>
    </row>
    <row r="37" spans="4:12" x14ac:dyDescent="0.35">
      <c r="D37" s="20" t="str">
        <f t="shared" si="9"/>
        <v/>
      </c>
      <c r="E37" s="21" t="str">
        <f t="shared" si="10"/>
        <v/>
      </c>
      <c r="F37" s="20" t="str">
        <f t="shared" si="5"/>
        <v/>
      </c>
      <c r="G37" s="20">
        <f t="shared" si="6"/>
        <v>0</v>
      </c>
      <c r="H37" s="20">
        <f t="shared" si="7"/>
        <v>0</v>
      </c>
      <c r="I37" s="20">
        <f t="shared" si="8"/>
        <v>0</v>
      </c>
      <c r="J37" s="20">
        <f t="shared" si="1"/>
        <v>0</v>
      </c>
      <c r="K37" s="20">
        <f t="shared" si="2"/>
        <v>0</v>
      </c>
      <c r="L37" s="20">
        <f t="shared" si="3"/>
        <v>0</v>
      </c>
    </row>
    <row r="38" spans="4:12" x14ac:dyDescent="0.35">
      <c r="D38" s="20" t="str">
        <f t="shared" si="9"/>
        <v/>
      </c>
      <c r="E38" s="21" t="str">
        <f t="shared" si="10"/>
        <v/>
      </c>
      <c r="F38" s="20" t="str">
        <f t="shared" si="5"/>
        <v/>
      </c>
      <c r="G38" s="20">
        <f t="shared" si="6"/>
        <v>0</v>
      </c>
      <c r="H38" s="20">
        <f t="shared" si="7"/>
        <v>0</v>
      </c>
      <c r="I38" s="20">
        <f t="shared" si="8"/>
        <v>0</v>
      </c>
      <c r="J38" s="20">
        <f t="shared" si="1"/>
        <v>0</v>
      </c>
      <c r="K38" s="20">
        <f t="shared" si="2"/>
        <v>0</v>
      </c>
      <c r="L38" s="20">
        <f t="shared" si="3"/>
        <v>0</v>
      </c>
    </row>
    <row r="39" spans="4:12" x14ac:dyDescent="0.35">
      <c r="D39" s="20" t="str">
        <f t="shared" si="9"/>
        <v/>
      </c>
      <c r="E39" s="21" t="str">
        <f t="shared" si="10"/>
        <v/>
      </c>
      <c r="F39" s="20" t="str">
        <f t="shared" si="5"/>
        <v/>
      </c>
      <c r="G39" s="20">
        <f t="shared" si="6"/>
        <v>0</v>
      </c>
      <c r="H39" s="20">
        <f t="shared" si="7"/>
        <v>0</v>
      </c>
      <c r="I39" s="20">
        <f t="shared" si="8"/>
        <v>0</v>
      </c>
      <c r="J39" s="20">
        <f t="shared" si="1"/>
        <v>0</v>
      </c>
      <c r="K39" s="20">
        <f t="shared" si="2"/>
        <v>0</v>
      </c>
      <c r="L39" s="20">
        <f t="shared" si="3"/>
        <v>0</v>
      </c>
    </row>
    <row r="40" spans="4:12" x14ac:dyDescent="0.35">
      <c r="D40" s="20" t="str">
        <f t="shared" si="9"/>
        <v/>
      </c>
      <c r="E40" s="21" t="str">
        <f t="shared" si="10"/>
        <v/>
      </c>
      <c r="F40" s="20" t="str">
        <f t="shared" si="5"/>
        <v/>
      </c>
      <c r="G40" s="20">
        <f t="shared" si="6"/>
        <v>0</v>
      </c>
      <c r="H40" s="20">
        <f t="shared" si="7"/>
        <v>0</v>
      </c>
      <c r="I40" s="20">
        <f t="shared" si="8"/>
        <v>0</v>
      </c>
      <c r="J40" s="20">
        <f t="shared" si="1"/>
        <v>0</v>
      </c>
      <c r="K40" s="20">
        <f t="shared" si="2"/>
        <v>0</v>
      </c>
      <c r="L40" s="20">
        <f t="shared" si="3"/>
        <v>0</v>
      </c>
    </row>
    <row r="41" spans="4:12" x14ac:dyDescent="0.35">
      <c r="D41" s="20" t="str">
        <f t="shared" si="9"/>
        <v/>
      </c>
      <c r="E41" s="21" t="str">
        <f t="shared" si="10"/>
        <v/>
      </c>
      <c r="F41" s="20" t="str">
        <f t="shared" si="5"/>
        <v/>
      </c>
      <c r="G41" s="20">
        <f t="shared" si="6"/>
        <v>0</v>
      </c>
      <c r="H41" s="20">
        <f t="shared" si="7"/>
        <v>0</v>
      </c>
      <c r="I41" s="20">
        <f t="shared" si="8"/>
        <v>0</v>
      </c>
      <c r="J41" s="20">
        <f t="shared" si="1"/>
        <v>0</v>
      </c>
      <c r="K41" s="20">
        <f t="shared" si="2"/>
        <v>0</v>
      </c>
      <c r="L41" s="20">
        <f t="shared" si="3"/>
        <v>0</v>
      </c>
    </row>
    <row r="42" spans="4:12" x14ac:dyDescent="0.35">
      <c r="D42" s="20" t="str">
        <f t="shared" si="9"/>
        <v/>
      </c>
      <c r="E42" s="21" t="str">
        <f t="shared" si="10"/>
        <v/>
      </c>
      <c r="F42" s="20" t="str">
        <f t="shared" si="5"/>
        <v/>
      </c>
      <c r="G42" s="20">
        <f t="shared" si="6"/>
        <v>0</v>
      </c>
      <c r="H42" s="20">
        <f t="shared" si="7"/>
        <v>0</v>
      </c>
      <c r="I42" s="20">
        <f t="shared" si="8"/>
        <v>0</v>
      </c>
      <c r="J42" s="20">
        <f t="shared" si="1"/>
        <v>0</v>
      </c>
      <c r="K42" s="20">
        <f t="shared" si="2"/>
        <v>0</v>
      </c>
      <c r="L42" s="20">
        <f t="shared" si="3"/>
        <v>0</v>
      </c>
    </row>
    <row r="43" spans="4:12" x14ac:dyDescent="0.35">
      <c r="D43" s="20" t="str">
        <f t="shared" si="9"/>
        <v/>
      </c>
      <c r="E43" s="21" t="str">
        <f t="shared" si="10"/>
        <v/>
      </c>
      <c r="F43" s="20" t="str">
        <f t="shared" si="5"/>
        <v/>
      </c>
      <c r="G43" s="20">
        <f t="shared" si="6"/>
        <v>0</v>
      </c>
      <c r="H43" s="20">
        <f t="shared" si="7"/>
        <v>0</v>
      </c>
      <c r="I43" s="20">
        <f t="shared" si="8"/>
        <v>0</v>
      </c>
      <c r="J43" s="20">
        <f t="shared" si="1"/>
        <v>0</v>
      </c>
      <c r="K43" s="20">
        <f t="shared" si="2"/>
        <v>0</v>
      </c>
      <c r="L43" s="20">
        <f t="shared" si="3"/>
        <v>0</v>
      </c>
    </row>
    <row r="44" spans="4:12" x14ac:dyDescent="0.35">
      <c r="D44" s="20" t="str">
        <f t="shared" si="9"/>
        <v/>
      </c>
      <c r="E44" s="21" t="str">
        <f t="shared" si="10"/>
        <v/>
      </c>
      <c r="F44" s="20" t="str">
        <f t="shared" si="5"/>
        <v/>
      </c>
      <c r="G44" s="20">
        <f t="shared" si="6"/>
        <v>0</v>
      </c>
      <c r="H44" s="20">
        <f t="shared" si="7"/>
        <v>0</v>
      </c>
      <c r="I44" s="20">
        <f t="shared" si="8"/>
        <v>0</v>
      </c>
      <c r="J44" s="20">
        <f t="shared" si="1"/>
        <v>0</v>
      </c>
      <c r="K44" s="20">
        <f t="shared" si="2"/>
        <v>0</v>
      </c>
      <c r="L44" s="20">
        <f t="shared" si="3"/>
        <v>0</v>
      </c>
    </row>
    <row r="45" spans="4:12" x14ac:dyDescent="0.35">
      <c r="D45" s="20" t="str">
        <f t="shared" si="9"/>
        <v/>
      </c>
      <c r="E45" s="21" t="str">
        <f t="shared" si="10"/>
        <v/>
      </c>
      <c r="F45" s="20" t="str">
        <f t="shared" si="5"/>
        <v/>
      </c>
      <c r="G45" s="20">
        <f t="shared" si="6"/>
        <v>0</v>
      </c>
      <c r="H45" s="20">
        <f t="shared" si="7"/>
        <v>0</v>
      </c>
      <c r="I45" s="20">
        <f t="shared" si="8"/>
        <v>0</v>
      </c>
      <c r="J45" s="20">
        <f t="shared" si="1"/>
        <v>0</v>
      </c>
      <c r="K45" s="20">
        <f t="shared" si="2"/>
        <v>0</v>
      </c>
      <c r="L45" s="20">
        <f t="shared" si="3"/>
        <v>0</v>
      </c>
    </row>
    <row r="46" spans="4:12" x14ac:dyDescent="0.35">
      <c r="D46" s="20" t="str">
        <f t="shared" si="9"/>
        <v/>
      </c>
      <c r="E46" s="21" t="str">
        <f t="shared" si="10"/>
        <v/>
      </c>
      <c r="F46" s="20" t="str">
        <f t="shared" si="5"/>
        <v/>
      </c>
      <c r="G46" s="20">
        <f t="shared" si="6"/>
        <v>0</v>
      </c>
      <c r="H46" s="20">
        <f t="shared" si="7"/>
        <v>0</v>
      </c>
      <c r="I46" s="20">
        <f t="shared" si="8"/>
        <v>0</v>
      </c>
      <c r="J46" s="20">
        <f t="shared" si="1"/>
        <v>0</v>
      </c>
      <c r="K46" s="20">
        <f t="shared" si="2"/>
        <v>0</v>
      </c>
      <c r="L46" s="20">
        <f t="shared" si="3"/>
        <v>0</v>
      </c>
    </row>
    <row r="47" spans="4:12" x14ac:dyDescent="0.35">
      <c r="D47" s="20" t="str">
        <f t="shared" si="9"/>
        <v/>
      </c>
      <c r="E47" s="21" t="str">
        <f t="shared" si="10"/>
        <v/>
      </c>
      <c r="F47" s="20" t="str">
        <f t="shared" si="5"/>
        <v/>
      </c>
      <c r="G47" s="20">
        <f t="shared" si="6"/>
        <v>0</v>
      </c>
      <c r="H47" s="20">
        <f t="shared" si="7"/>
        <v>0</v>
      </c>
      <c r="I47" s="20">
        <f t="shared" si="8"/>
        <v>0</v>
      </c>
      <c r="J47" s="20">
        <f t="shared" si="1"/>
        <v>0</v>
      </c>
      <c r="K47" s="20">
        <f t="shared" si="2"/>
        <v>0</v>
      </c>
      <c r="L47" s="20">
        <f t="shared" si="3"/>
        <v>0</v>
      </c>
    </row>
    <row r="48" spans="4:12" x14ac:dyDescent="0.35">
      <c r="D48" s="20" t="str">
        <f t="shared" si="9"/>
        <v/>
      </c>
      <c r="E48" s="21" t="str">
        <f t="shared" si="10"/>
        <v/>
      </c>
      <c r="F48" s="20" t="str">
        <f t="shared" si="5"/>
        <v/>
      </c>
      <c r="G48" s="20">
        <f t="shared" si="6"/>
        <v>0</v>
      </c>
      <c r="H48" s="20">
        <f t="shared" si="7"/>
        <v>0</v>
      </c>
      <c r="I48" s="20">
        <f t="shared" si="8"/>
        <v>0</v>
      </c>
      <c r="J48" s="20">
        <f t="shared" si="1"/>
        <v>0</v>
      </c>
      <c r="K48" s="20">
        <f t="shared" si="2"/>
        <v>0</v>
      </c>
      <c r="L48" s="20">
        <f t="shared" si="3"/>
        <v>0</v>
      </c>
    </row>
    <row r="49" spans="4:12" x14ac:dyDescent="0.35">
      <c r="D49" s="20" t="str">
        <f t="shared" si="9"/>
        <v/>
      </c>
      <c r="E49" s="21" t="str">
        <f t="shared" si="10"/>
        <v/>
      </c>
      <c r="F49" s="20" t="str">
        <f t="shared" si="5"/>
        <v/>
      </c>
      <c r="G49" s="20">
        <f t="shared" si="6"/>
        <v>0</v>
      </c>
      <c r="H49" s="20">
        <f t="shared" si="7"/>
        <v>0</v>
      </c>
      <c r="I49" s="20">
        <f t="shared" si="8"/>
        <v>0</v>
      </c>
      <c r="J49" s="20">
        <f t="shared" si="1"/>
        <v>0</v>
      </c>
      <c r="K49" s="20">
        <f t="shared" si="2"/>
        <v>0</v>
      </c>
      <c r="L49" s="20">
        <f t="shared" si="3"/>
        <v>0</v>
      </c>
    </row>
    <row r="50" spans="4:12" x14ac:dyDescent="0.35">
      <c r="D50" s="20" t="str">
        <f t="shared" si="9"/>
        <v/>
      </c>
      <c r="E50" s="21" t="str">
        <f t="shared" si="10"/>
        <v/>
      </c>
      <c r="F50" s="20" t="str">
        <f t="shared" si="5"/>
        <v/>
      </c>
      <c r="G50" s="20">
        <f t="shared" si="6"/>
        <v>0</v>
      </c>
      <c r="H50" s="20">
        <f t="shared" si="7"/>
        <v>0</v>
      </c>
      <c r="I50" s="20">
        <f t="shared" si="8"/>
        <v>0</v>
      </c>
      <c r="J50" s="20">
        <f t="shared" si="1"/>
        <v>0</v>
      </c>
      <c r="K50" s="20">
        <f t="shared" si="2"/>
        <v>0</v>
      </c>
      <c r="L50" s="20">
        <f t="shared" si="3"/>
        <v>0</v>
      </c>
    </row>
    <row r="51" spans="4:12" x14ac:dyDescent="0.35">
      <c r="D51" s="20" t="str">
        <f t="shared" si="9"/>
        <v/>
      </c>
      <c r="E51" s="21" t="str">
        <f t="shared" si="10"/>
        <v/>
      </c>
      <c r="F51" s="20" t="str">
        <f t="shared" si="5"/>
        <v/>
      </c>
      <c r="G51" s="20">
        <f t="shared" si="6"/>
        <v>0</v>
      </c>
      <c r="H51" s="20">
        <f t="shared" si="7"/>
        <v>0</v>
      </c>
      <c r="I51" s="20">
        <f t="shared" si="8"/>
        <v>0</v>
      </c>
      <c r="J51" s="20">
        <f t="shared" si="1"/>
        <v>0</v>
      </c>
      <c r="K51" s="20">
        <f t="shared" si="2"/>
        <v>0</v>
      </c>
      <c r="L51" s="20">
        <f t="shared" si="3"/>
        <v>0</v>
      </c>
    </row>
    <row r="52" spans="4:12" x14ac:dyDescent="0.35">
      <c r="D52" s="20" t="str">
        <f t="shared" si="9"/>
        <v/>
      </c>
      <c r="E52" s="21" t="str">
        <f t="shared" si="10"/>
        <v/>
      </c>
      <c r="F52" s="20" t="str">
        <f t="shared" si="5"/>
        <v/>
      </c>
      <c r="G52" s="20">
        <f t="shared" si="6"/>
        <v>0</v>
      </c>
      <c r="H52" s="20">
        <f t="shared" si="7"/>
        <v>0</v>
      </c>
      <c r="I52" s="20">
        <f t="shared" si="8"/>
        <v>0</v>
      </c>
      <c r="J52" s="20">
        <f t="shared" si="1"/>
        <v>0</v>
      </c>
      <c r="K52" s="20">
        <f t="shared" si="2"/>
        <v>0</v>
      </c>
      <c r="L52" s="20">
        <f t="shared" si="3"/>
        <v>0</v>
      </c>
    </row>
    <row r="53" spans="4:12" x14ac:dyDescent="0.35">
      <c r="D53" s="20" t="str">
        <f t="shared" si="9"/>
        <v/>
      </c>
      <c r="E53" s="21" t="str">
        <f t="shared" si="10"/>
        <v/>
      </c>
      <c r="F53" s="20" t="str">
        <f t="shared" si="5"/>
        <v/>
      </c>
      <c r="G53" s="20">
        <f t="shared" si="6"/>
        <v>0</v>
      </c>
      <c r="H53" s="20">
        <f t="shared" si="7"/>
        <v>0</v>
      </c>
      <c r="I53" s="20">
        <f t="shared" si="8"/>
        <v>0</v>
      </c>
      <c r="J53" s="20">
        <f t="shared" si="1"/>
        <v>0</v>
      </c>
      <c r="K53" s="20">
        <f t="shared" si="2"/>
        <v>0</v>
      </c>
      <c r="L53" s="20">
        <f t="shared" si="3"/>
        <v>0</v>
      </c>
    </row>
    <row r="54" spans="4:12" x14ac:dyDescent="0.35">
      <c r="D54" s="20" t="str">
        <f t="shared" si="9"/>
        <v/>
      </c>
      <c r="E54" s="21" t="str">
        <f t="shared" si="10"/>
        <v/>
      </c>
      <c r="F54" s="20" t="str">
        <f t="shared" si="5"/>
        <v/>
      </c>
      <c r="G54" s="20">
        <f t="shared" si="6"/>
        <v>0</v>
      </c>
      <c r="H54" s="20">
        <f t="shared" si="7"/>
        <v>0</v>
      </c>
      <c r="I54" s="20">
        <f t="shared" si="8"/>
        <v>0</v>
      </c>
      <c r="J54" s="20">
        <f t="shared" si="1"/>
        <v>0</v>
      </c>
      <c r="K54" s="20">
        <f t="shared" si="2"/>
        <v>0</v>
      </c>
      <c r="L54" s="20">
        <f t="shared" si="3"/>
        <v>0</v>
      </c>
    </row>
    <row r="55" spans="4:12" x14ac:dyDescent="0.35">
      <c r="D55" s="20" t="str">
        <f t="shared" si="9"/>
        <v/>
      </c>
      <c r="E55" s="21" t="str">
        <f t="shared" si="10"/>
        <v/>
      </c>
      <c r="F55" s="20" t="str">
        <f t="shared" si="5"/>
        <v/>
      </c>
      <c r="G55" s="20">
        <f t="shared" si="6"/>
        <v>0</v>
      </c>
      <c r="H55" s="20">
        <f t="shared" si="7"/>
        <v>0</v>
      </c>
      <c r="I55" s="20">
        <f t="shared" si="8"/>
        <v>0</v>
      </c>
      <c r="J55" s="20">
        <f t="shared" si="1"/>
        <v>0</v>
      </c>
      <c r="K55" s="20">
        <f t="shared" si="2"/>
        <v>0</v>
      </c>
      <c r="L55" s="20">
        <f t="shared" si="3"/>
        <v>0</v>
      </c>
    </row>
    <row r="56" spans="4:12" x14ac:dyDescent="0.35">
      <c r="D56" s="20" t="str">
        <f t="shared" si="9"/>
        <v/>
      </c>
      <c r="E56" s="21" t="str">
        <f t="shared" si="10"/>
        <v/>
      </c>
      <c r="F56" s="20" t="str">
        <f t="shared" si="5"/>
        <v/>
      </c>
      <c r="G56" s="20">
        <f t="shared" si="6"/>
        <v>0</v>
      </c>
      <c r="H56" s="20">
        <f t="shared" si="7"/>
        <v>0</v>
      </c>
      <c r="I56" s="20">
        <f t="shared" si="8"/>
        <v>0</v>
      </c>
      <c r="J56" s="20">
        <f t="shared" si="1"/>
        <v>0</v>
      </c>
      <c r="K56" s="20">
        <f t="shared" si="2"/>
        <v>0</v>
      </c>
      <c r="L56" s="20">
        <f t="shared" si="3"/>
        <v>0</v>
      </c>
    </row>
    <row r="57" spans="4:12" x14ac:dyDescent="0.35">
      <c r="D57" s="20" t="str">
        <f t="shared" si="9"/>
        <v/>
      </c>
      <c r="E57" s="21" t="str">
        <f t="shared" si="10"/>
        <v/>
      </c>
      <c r="F57" s="20" t="str">
        <f t="shared" si="5"/>
        <v/>
      </c>
      <c r="G57" s="20">
        <f t="shared" si="6"/>
        <v>0</v>
      </c>
      <c r="H57" s="20">
        <f t="shared" si="7"/>
        <v>0</v>
      </c>
      <c r="I57" s="20">
        <f t="shared" si="8"/>
        <v>0</v>
      </c>
      <c r="J57" s="20">
        <f t="shared" si="1"/>
        <v>0</v>
      </c>
      <c r="K57" s="20">
        <f t="shared" si="2"/>
        <v>0</v>
      </c>
      <c r="L57" s="20">
        <f t="shared" si="3"/>
        <v>0</v>
      </c>
    </row>
    <row r="58" spans="4:12" x14ac:dyDescent="0.35">
      <c r="D58" s="20" t="str">
        <f t="shared" si="9"/>
        <v/>
      </c>
      <c r="E58" s="21" t="str">
        <f t="shared" si="10"/>
        <v/>
      </c>
      <c r="F58" s="20" t="str">
        <f t="shared" si="5"/>
        <v/>
      </c>
      <c r="G58" s="20">
        <f t="shared" si="6"/>
        <v>0</v>
      </c>
      <c r="H58" s="20">
        <f t="shared" si="7"/>
        <v>0</v>
      </c>
      <c r="I58" s="20">
        <f t="shared" si="8"/>
        <v>0</v>
      </c>
      <c r="J58" s="20">
        <f t="shared" si="1"/>
        <v>0</v>
      </c>
      <c r="K58" s="20">
        <f t="shared" si="2"/>
        <v>0</v>
      </c>
      <c r="L58" s="20">
        <f t="shared" si="3"/>
        <v>0</v>
      </c>
    </row>
    <row r="59" spans="4:12" x14ac:dyDescent="0.35">
      <c r="D59" s="20" t="str">
        <f t="shared" si="9"/>
        <v/>
      </c>
      <c r="E59" s="21" t="str">
        <f t="shared" si="10"/>
        <v/>
      </c>
      <c r="F59" s="20" t="str">
        <f t="shared" si="5"/>
        <v/>
      </c>
      <c r="G59" s="20">
        <f t="shared" si="6"/>
        <v>0</v>
      </c>
      <c r="H59" s="20">
        <f t="shared" si="7"/>
        <v>0</v>
      </c>
      <c r="I59" s="20">
        <f t="shared" si="8"/>
        <v>0</v>
      </c>
      <c r="J59" s="20">
        <f t="shared" si="1"/>
        <v>0</v>
      </c>
      <c r="K59" s="20">
        <f t="shared" si="2"/>
        <v>0</v>
      </c>
      <c r="L59" s="20">
        <f t="shared" si="3"/>
        <v>0</v>
      </c>
    </row>
    <row r="60" spans="4:12" x14ac:dyDescent="0.35">
      <c r="D60" s="20" t="str">
        <f t="shared" si="9"/>
        <v/>
      </c>
      <c r="E60" s="21" t="str">
        <f t="shared" si="10"/>
        <v/>
      </c>
      <c r="F60" s="20" t="str">
        <f t="shared" si="5"/>
        <v/>
      </c>
      <c r="G60" s="20">
        <f t="shared" si="6"/>
        <v>0</v>
      </c>
      <c r="H60" s="20">
        <f t="shared" si="7"/>
        <v>0</v>
      </c>
      <c r="I60" s="20">
        <f t="shared" si="8"/>
        <v>0</v>
      </c>
      <c r="J60" s="20">
        <f t="shared" si="1"/>
        <v>0</v>
      </c>
      <c r="K60" s="20">
        <f t="shared" si="2"/>
        <v>0</v>
      </c>
      <c r="L60" s="20">
        <f t="shared" si="3"/>
        <v>0</v>
      </c>
    </row>
    <row r="61" spans="4:12" x14ac:dyDescent="0.35">
      <c r="D61" s="20" t="str">
        <f t="shared" si="9"/>
        <v/>
      </c>
      <c r="E61" s="21" t="str">
        <f t="shared" si="10"/>
        <v/>
      </c>
      <c r="F61" s="20" t="str">
        <f t="shared" si="5"/>
        <v/>
      </c>
      <c r="G61" s="20">
        <f t="shared" si="6"/>
        <v>0</v>
      </c>
      <c r="H61" s="20">
        <f t="shared" si="7"/>
        <v>0</v>
      </c>
      <c r="I61" s="20">
        <f t="shared" si="8"/>
        <v>0</v>
      </c>
      <c r="J61" s="20">
        <f t="shared" si="1"/>
        <v>0</v>
      </c>
      <c r="K61" s="20">
        <f t="shared" si="2"/>
        <v>0</v>
      </c>
      <c r="L61" s="20">
        <f t="shared" si="3"/>
        <v>0</v>
      </c>
    </row>
    <row r="62" spans="4:12" x14ac:dyDescent="0.35">
      <c r="D62" s="20" t="str">
        <f t="shared" si="9"/>
        <v/>
      </c>
      <c r="E62" s="21" t="str">
        <f t="shared" si="10"/>
        <v/>
      </c>
      <c r="F62" s="20" t="str">
        <f t="shared" si="5"/>
        <v/>
      </c>
      <c r="G62" s="20">
        <f t="shared" si="6"/>
        <v>0</v>
      </c>
      <c r="H62" s="20">
        <f t="shared" si="7"/>
        <v>0</v>
      </c>
      <c r="I62" s="20">
        <f t="shared" si="8"/>
        <v>0</v>
      </c>
      <c r="J62" s="20">
        <f t="shared" si="1"/>
        <v>0</v>
      </c>
      <c r="K62" s="20">
        <f t="shared" si="2"/>
        <v>0</v>
      </c>
      <c r="L62" s="20">
        <f t="shared" si="3"/>
        <v>0</v>
      </c>
    </row>
    <row r="63" spans="4:12" x14ac:dyDescent="0.35">
      <c r="D63" s="20" t="str">
        <f t="shared" si="9"/>
        <v/>
      </c>
      <c r="E63" s="21" t="str">
        <f t="shared" si="10"/>
        <v/>
      </c>
      <c r="F63" s="20" t="str">
        <f t="shared" si="5"/>
        <v/>
      </c>
      <c r="G63" s="20">
        <f t="shared" si="6"/>
        <v>0</v>
      </c>
      <c r="H63" s="20">
        <f t="shared" si="7"/>
        <v>0</v>
      </c>
      <c r="I63" s="20">
        <f t="shared" si="8"/>
        <v>0</v>
      </c>
      <c r="J63" s="20">
        <f t="shared" si="1"/>
        <v>0</v>
      </c>
      <c r="K63" s="20">
        <f t="shared" si="2"/>
        <v>0</v>
      </c>
      <c r="L63" s="20">
        <f t="shared" si="3"/>
        <v>0</v>
      </c>
    </row>
    <row r="64" spans="4:12" x14ac:dyDescent="0.35">
      <c r="D64" s="20" t="str">
        <f t="shared" si="9"/>
        <v/>
      </c>
      <c r="E64" s="21" t="str">
        <f t="shared" si="10"/>
        <v/>
      </c>
      <c r="F64" s="20" t="str">
        <f t="shared" si="5"/>
        <v/>
      </c>
      <c r="G64" s="20">
        <f t="shared" si="6"/>
        <v>0</v>
      </c>
      <c r="H64" s="20">
        <f t="shared" si="7"/>
        <v>0</v>
      </c>
      <c r="I64" s="20">
        <f t="shared" si="8"/>
        <v>0</v>
      </c>
      <c r="J64" s="20">
        <f t="shared" si="1"/>
        <v>0</v>
      </c>
      <c r="K64" s="20">
        <f t="shared" si="2"/>
        <v>0</v>
      </c>
      <c r="L64" s="20">
        <f t="shared" si="3"/>
        <v>0</v>
      </c>
    </row>
    <row r="65" spans="4:12" x14ac:dyDescent="0.35">
      <c r="D65" s="20" t="str">
        <f t="shared" si="9"/>
        <v/>
      </c>
      <c r="E65" s="21" t="str">
        <f t="shared" si="10"/>
        <v/>
      </c>
      <c r="F65" s="20" t="str">
        <f t="shared" si="5"/>
        <v/>
      </c>
      <c r="G65" s="20">
        <f t="shared" si="6"/>
        <v>0</v>
      </c>
      <c r="H65" s="20">
        <f t="shared" si="7"/>
        <v>0</v>
      </c>
      <c r="I65" s="20">
        <f t="shared" si="8"/>
        <v>0</v>
      </c>
      <c r="J65" s="20">
        <f t="shared" si="1"/>
        <v>0</v>
      </c>
      <c r="K65" s="20">
        <f t="shared" si="2"/>
        <v>0</v>
      </c>
      <c r="L65" s="20">
        <f t="shared" si="3"/>
        <v>0</v>
      </c>
    </row>
    <row r="66" spans="4:12" x14ac:dyDescent="0.35">
      <c r="D66" s="20" t="str">
        <f t="shared" si="9"/>
        <v/>
      </c>
      <c r="E66" s="21" t="str">
        <f t="shared" si="10"/>
        <v/>
      </c>
      <c r="F66" s="20" t="str">
        <f t="shared" si="5"/>
        <v/>
      </c>
      <c r="G66" s="20">
        <f t="shared" si="6"/>
        <v>0</v>
      </c>
      <c r="H66" s="20">
        <f t="shared" si="7"/>
        <v>0</v>
      </c>
      <c r="I66" s="20">
        <f t="shared" si="8"/>
        <v>0</v>
      </c>
      <c r="J66" s="20">
        <f t="shared" si="1"/>
        <v>0</v>
      </c>
      <c r="K66" s="20">
        <f t="shared" si="2"/>
        <v>0</v>
      </c>
      <c r="L66" s="20">
        <f t="shared" si="3"/>
        <v>0</v>
      </c>
    </row>
    <row r="67" spans="4:12" x14ac:dyDescent="0.35">
      <c r="D67" s="20" t="str">
        <f t="shared" si="9"/>
        <v/>
      </c>
      <c r="E67" s="21" t="str">
        <f t="shared" si="10"/>
        <v/>
      </c>
      <c r="F67" s="20" t="str">
        <f t="shared" si="5"/>
        <v/>
      </c>
      <c r="G67" s="20">
        <f t="shared" si="6"/>
        <v>0</v>
      </c>
      <c r="H67" s="20">
        <f t="shared" si="7"/>
        <v>0</v>
      </c>
      <c r="I67" s="20">
        <f t="shared" si="8"/>
        <v>0</v>
      </c>
      <c r="J67" s="20">
        <f t="shared" ref="J67:J130" si="11">ABS(G67)</f>
        <v>0</v>
      </c>
      <c r="K67" s="20">
        <f t="shared" ref="K67:K130" si="12">ABS(H67)</f>
        <v>0</v>
      </c>
      <c r="L67" s="20">
        <f t="shared" ref="L67:L130" si="13">ABS(I67)</f>
        <v>0</v>
      </c>
    </row>
    <row r="68" spans="4:12" x14ac:dyDescent="0.35">
      <c r="D68" s="20" t="str">
        <f t="shared" si="9"/>
        <v/>
      </c>
      <c r="E68" s="21" t="str">
        <f t="shared" si="10"/>
        <v/>
      </c>
      <c r="F68" s="20" t="str">
        <f t="shared" ref="F68:F131" si="14">IF(D67&lt;=$B$5,((3*E68^2)-(4*E68)*(SIN(1.4*E68^3)^2))/((0.4*E68^2+1)^(1/4)),"")</f>
        <v/>
      </c>
      <c r="G68" s="20">
        <f t="shared" ref="G68:G131" si="15">IF(D68=$B$5+1,F68,0)</f>
        <v>0</v>
      </c>
      <c r="H68" s="20">
        <f t="shared" ref="H68:H131" si="16">IF(D67&lt;$B$5,F68*MOD(D67,2),0)</f>
        <v>0</v>
      </c>
      <c r="I68" s="20">
        <f t="shared" ref="I68:I131" si="17">IF(D67&lt;$B$5,F68*MOD(D68,2),0)</f>
        <v>0</v>
      </c>
      <c r="J68" s="20">
        <f t="shared" si="11"/>
        <v>0</v>
      </c>
      <c r="K68" s="20">
        <f t="shared" si="12"/>
        <v>0</v>
      </c>
      <c r="L68" s="20">
        <f t="shared" si="13"/>
        <v>0</v>
      </c>
    </row>
    <row r="69" spans="4:12" x14ac:dyDescent="0.35">
      <c r="D69" s="20" t="str">
        <f t="shared" si="9"/>
        <v/>
      </c>
      <c r="E69" s="21" t="str">
        <f t="shared" si="10"/>
        <v/>
      </c>
      <c r="F69" s="20" t="str">
        <f t="shared" si="14"/>
        <v/>
      </c>
      <c r="G69" s="20">
        <f t="shared" si="15"/>
        <v>0</v>
      </c>
      <c r="H69" s="20">
        <f t="shared" si="16"/>
        <v>0</v>
      </c>
      <c r="I69" s="20">
        <f t="shared" si="17"/>
        <v>0</v>
      </c>
      <c r="J69" s="20">
        <f t="shared" si="11"/>
        <v>0</v>
      </c>
      <c r="K69" s="20">
        <f t="shared" si="12"/>
        <v>0</v>
      </c>
      <c r="L69" s="20">
        <f t="shared" si="13"/>
        <v>0</v>
      </c>
    </row>
    <row r="70" spans="4:12" x14ac:dyDescent="0.35">
      <c r="D70" s="20" t="str">
        <f t="shared" si="9"/>
        <v/>
      </c>
      <c r="E70" s="21" t="str">
        <f t="shared" si="10"/>
        <v/>
      </c>
      <c r="F70" s="20" t="str">
        <f t="shared" si="14"/>
        <v/>
      </c>
      <c r="G70" s="20">
        <f t="shared" si="15"/>
        <v>0</v>
      </c>
      <c r="H70" s="20">
        <f t="shared" si="16"/>
        <v>0</v>
      </c>
      <c r="I70" s="20">
        <f t="shared" si="17"/>
        <v>0</v>
      </c>
      <c r="J70" s="20">
        <f t="shared" si="11"/>
        <v>0</v>
      </c>
      <c r="K70" s="20">
        <f t="shared" si="12"/>
        <v>0</v>
      </c>
      <c r="L70" s="20">
        <f t="shared" si="13"/>
        <v>0</v>
      </c>
    </row>
    <row r="71" spans="4:12" x14ac:dyDescent="0.35">
      <c r="D71" s="20" t="str">
        <f t="shared" si="9"/>
        <v/>
      </c>
      <c r="E71" s="21" t="str">
        <f t="shared" si="10"/>
        <v/>
      </c>
      <c r="F71" s="20" t="str">
        <f t="shared" si="14"/>
        <v/>
      </c>
      <c r="G71" s="20">
        <f t="shared" si="15"/>
        <v>0</v>
      </c>
      <c r="H71" s="20">
        <f t="shared" si="16"/>
        <v>0</v>
      </c>
      <c r="I71" s="20">
        <f t="shared" si="17"/>
        <v>0</v>
      </c>
      <c r="J71" s="20">
        <f t="shared" si="11"/>
        <v>0</v>
      </c>
      <c r="K71" s="20">
        <f t="shared" si="12"/>
        <v>0</v>
      </c>
      <c r="L71" s="20">
        <f t="shared" si="13"/>
        <v>0</v>
      </c>
    </row>
    <row r="72" spans="4:12" x14ac:dyDescent="0.35">
      <c r="D72" s="20" t="str">
        <f t="shared" si="9"/>
        <v/>
      </c>
      <c r="E72" s="21" t="str">
        <f t="shared" si="10"/>
        <v/>
      </c>
      <c r="F72" s="20" t="str">
        <f t="shared" si="14"/>
        <v/>
      </c>
      <c r="G72" s="20">
        <f t="shared" si="15"/>
        <v>0</v>
      </c>
      <c r="H72" s="20">
        <f t="shared" si="16"/>
        <v>0</v>
      </c>
      <c r="I72" s="20">
        <f t="shared" si="17"/>
        <v>0</v>
      </c>
      <c r="J72" s="20">
        <f t="shared" si="11"/>
        <v>0</v>
      </c>
      <c r="K72" s="20">
        <f t="shared" si="12"/>
        <v>0</v>
      </c>
      <c r="L72" s="20">
        <f t="shared" si="13"/>
        <v>0</v>
      </c>
    </row>
    <row r="73" spans="4:12" x14ac:dyDescent="0.35">
      <c r="D73" s="20" t="str">
        <f t="shared" si="9"/>
        <v/>
      </c>
      <c r="E73" s="21" t="str">
        <f t="shared" si="10"/>
        <v/>
      </c>
      <c r="F73" s="20" t="str">
        <f t="shared" si="14"/>
        <v/>
      </c>
      <c r="G73" s="20">
        <f t="shared" si="15"/>
        <v>0</v>
      </c>
      <c r="H73" s="20">
        <f t="shared" si="16"/>
        <v>0</v>
      </c>
      <c r="I73" s="20">
        <f t="shared" si="17"/>
        <v>0</v>
      </c>
      <c r="J73" s="20">
        <f t="shared" si="11"/>
        <v>0</v>
      </c>
      <c r="K73" s="20">
        <f t="shared" si="12"/>
        <v>0</v>
      </c>
      <c r="L73" s="20">
        <f t="shared" si="13"/>
        <v>0</v>
      </c>
    </row>
    <row r="74" spans="4:12" x14ac:dyDescent="0.35">
      <c r="D74" s="20" t="str">
        <f t="shared" si="9"/>
        <v/>
      </c>
      <c r="E74" s="21" t="str">
        <f t="shared" si="10"/>
        <v/>
      </c>
      <c r="F74" s="20" t="str">
        <f t="shared" si="14"/>
        <v/>
      </c>
      <c r="G74" s="20">
        <f t="shared" si="15"/>
        <v>0</v>
      </c>
      <c r="H74" s="20">
        <f t="shared" si="16"/>
        <v>0</v>
      </c>
      <c r="I74" s="20">
        <f t="shared" si="17"/>
        <v>0</v>
      </c>
      <c r="J74" s="20">
        <f t="shared" si="11"/>
        <v>0</v>
      </c>
      <c r="K74" s="20">
        <f t="shared" si="12"/>
        <v>0</v>
      </c>
      <c r="L74" s="20">
        <f t="shared" si="13"/>
        <v>0</v>
      </c>
    </row>
    <row r="75" spans="4:12" x14ac:dyDescent="0.35">
      <c r="D75" s="20" t="str">
        <f t="shared" si="9"/>
        <v/>
      </c>
      <c r="E75" s="21" t="str">
        <f t="shared" si="10"/>
        <v/>
      </c>
      <c r="F75" s="20" t="str">
        <f t="shared" si="14"/>
        <v/>
      </c>
      <c r="G75" s="20">
        <f t="shared" si="15"/>
        <v>0</v>
      </c>
      <c r="H75" s="20">
        <f t="shared" si="16"/>
        <v>0</v>
      </c>
      <c r="I75" s="20">
        <f t="shared" si="17"/>
        <v>0</v>
      </c>
      <c r="J75" s="20">
        <f t="shared" si="11"/>
        <v>0</v>
      </c>
      <c r="K75" s="20">
        <f t="shared" si="12"/>
        <v>0</v>
      </c>
      <c r="L75" s="20">
        <f t="shared" si="13"/>
        <v>0</v>
      </c>
    </row>
    <row r="76" spans="4:12" x14ac:dyDescent="0.35">
      <c r="D76" s="20" t="str">
        <f t="shared" si="9"/>
        <v/>
      </c>
      <c r="E76" s="21" t="str">
        <f t="shared" si="10"/>
        <v/>
      </c>
      <c r="F76" s="20" t="str">
        <f t="shared" si="14"/>
        <v/>
      </c>
      <c r="G76" s="20">
        <f t="shared" si="15"/>
        <v>0</v>
      </c>
      <c r="H76" s="20">
        <f t="shared" si="16"/>
        <v>0</v>
      </c>
      <c r="I76" s="20">
        <f t="shared" si="17"/>
        <v>0</v>
      </c>
      <c r="J76" s="20">
        <f t="shared" si="11"/>
        <v>0</v>
      </c>
      <c r="K76" s="20">
        <f t="shared" si="12"/>
        <v>0</v>
      </c>
      <c r="L76" s="20">
        <f t="shared" si="13"/>
        <v>0</v>
      </c>
    </row>
    <row r="77" spans="4:12" x14ac:dyDescent="0.35">
      <c r="D77" s="20" t="str">
        <f t="shared" si="9"/>
        <v/>
      </c>
      <c r="E77" s="21" t="str">
        <f t="shared" si="10"/>
        <v/>
      </c>
      <c r="F77" s="20" t="str">
        <f t="shared" si="14"/>
        <v/>
      </c>
      <c r="G77" s="20">
        <f t="shared" si="15"/>
        <v>0</v>
      </c>
      <c r="H77" s="20">
        <f t="shared" si="16"/>
        <v>0</v>
      </c>
      <c r="I77" s="20">
        <f t="shared" si="17"/>
        <v>0</v>
      </c>
      <c r="J77" s="20">
        <f t="shared" si="11"/>
        <v>0</v>
      </c>
      <c r="K77" s="20">
        <f t="shared" si="12"/>
        <v>0</v>
      </c>
      <c r="L77" s="20">
        <f t="shared" si="13"/>
        <v>0</v>
      </c>
    </row>
    <row r="78" spans="4:12" x14ac:dyDescent="0.35">
      <c r="D78" s="20" t="str">
        <f t="shared" si="9"/>
        <v/>
      </c>
      <c r="E78" s="21" t="str">
        <f t="shared" si="10"/>
        <v/>
      </c>
      <c r="F78" s="20" t="str">
        <f t="shared" si="14"/>
        <v/>
      </c>
      <c r="G78" s="20">
        <f t="shared" si="15"/>
        <v>0</v>
      </c>
      <c r="H78" s="20">
        <f t="shared" si="16"/>
        <v>0</v>
      </c>
      <c r="I78" s="20">
        <f t="shared" si="17"/>
        <v>0</v>
      </c>
      <c r="J78" s="20">
        <f t="shared" si="11"/>
        <v>0</v>
      </c>
      <c r="K78" s="20">
        <f t="shared" si="12"/>
        <v>0</v>
      </c>
      <c r="L78" s="20">
        <f t="shared" si="13"/>
        <v>0</v>
      </c>
    </row>
    <row r="79" spans="4:12" x14ac:dyDescent="0.35">
      <c r="D79" s="20" t="str">
        <f t="shared" si="9"/>
        <v/>
      </c>
      <c r="E79" s="21" t="str">
        <f t="shared" si="10"/>
        <v/>
      </c>
      <c r="F79" s="20" t="str">
        <f t="shared" si="14"/>
        <v/>
      </c>
      <c r="G79" s="20">
        <f t="shared" si="15"/>
        <v>0</v>
      </c>
      <c r="H79" s="20">
        <f t="shared" si="16"/>
        <v>0</v>
      </c>
      <c r="I79" s="20">
        <f t="shared" si="17"/>
        <v>0</v>
      </c>
      <c r="J79" s="20">
        <f t="shared" si="11"/>
        <v>0</v>
      </c>
      <c r="K79" s="20">
        <f t="shared" si="12"/>
        <v>0</v>
      </c>
      <c r="L79" s="20">
        <f t="shared" si="13"/>
        <v>0</v>
      </c>
    </row>
    <row r="80" spans="4:12" x14ac:dyDescent="0.35">
      <c r="D80" s="20" t="str">
        <f t="shared" si="9"/>
        <v/>
      </c>
      <c r="E80" s="21" t="str">
        <f t="shared" si="10"/>
        <v/>
      </c>
      <c r="F80" s="20" t="str">
        <f t="shared" si="14"/>
        <v/>
      </c>
      <c r="G80" s="20">
        <f t="shared" si="15"/>
        <v>0</v>
      </c>
      <c r="H80" s="20">
        <f t="shared" si="16"/>
        <v>0</v>
      </c>
      <c r="I80" s="20">
        <f t="shared" si="17"/>
        <v>0</v>
      </c>
      <c r="J80" s="20">
        <f t="shared" si="11"/>
        <v>0</v>
      </c>
      <c r="K80" s="20">
        <f t="shared" si="12"/>
        <v>0</v>
      </c>
      <c r="L80" s="20">
        <f t="shared" si="13"/>
        <v>0</v>
      </c>
    </row>
    <row r="81" spans="4:12" x14ac:dyDescent="0.35">
      <c r="D81" s="20" t="str">
        <f t="shared" si="9"/>
        <v/>
      </c>
      <c r="E81" s="21" t="str">
        <f t="shared" si="10"/>
        <v/>
      </c>
      <c r="F81" s="20" t="str">
        <f t="shared" si="14"/>
        <v/>
      </c>
      <c r="G81" s="20">
        <f t="shared" si="15"/>
        <v>0</v>
      </c>
      <c r="H81" s="20">
        <f t="shared" si="16"/>
        <v>0</v>
      </c>
      <c r="I81" s="20">
        <f t="shared" si="17"/>
        <v>0</v>
      </c>
      <c r="J81" s="20">
        <f t="shared" si="11"/>
        <v>0</v>
      </c>
      <c r="K81" s="20">
        <f t="shared" si="12"/>
        <v>0</v>
      </c>
      <c r="L81" s="20">
        <f t="shared" si="13"/>
        <v>0</v>
      </c>
    </row>
    <row r="82" spans="4:12" x14ac:dyDescent="0.35">
      <c r="D82" s="20" t="str">
        <f t="shared" si="9"/>
        <v/>
      </c>
      <c r="E82" s="21" t="str">
        <f t="shared" si="10"/>
        <v/>
      </c>
      <c r="F82" s="20" t="str">
        <f t="shared" si="14"/>
        <v/>
      </c>
      <c r="G82" s="20">
        <f t="shared" si="15"/>
        <v>0</v>
      </c>
      <c r="H82" s="20">
        <f t="shared" si="16"/>
        <v>0</v>
      </c>
      <c r="I82" s="20">
        <f t="shared" si="17"/>
        <v>0</v>
      </c>
      <c r="J82" s="20">
        <f t="shared" si="11"/>
        <v>0</v>
      </c>
      <c r="K82" s="20">
        <f t="shared" si="12"/>
        <v>0</v>
      </c>
      <c r="L82" s="20">
        <f t="shared" si="13"/>
        <v>0</v>
      </c>
    </row>
    <row r="83" spans="4:12" x14ac:dyDescent="0.35">
      <c r="D83" s="20" t="str">
        <f t="shared" si="9"/>
        <v/>
      </c>
      <c r="E83" s="21" t="str">
        <f t="shared" si="10"/>
        <v/>
      </c>
      <c r="F83" s="20" t="str">
        <f t="shared" si="14"/>
        <v/>
      </c>
      <c r="G83" s="20">
        <f t="shared" si="15"/>
        <v>0</v>
      </c>
      <c r="H83" s="20">
        <f t="shared" si="16"/>
        <v>0</v>
      </c>
      <c r="I83" s="20">
        <f t="shared" si="17"/>
        <v>0</v>
      </c>
      <c r="J83" s="20">
        <f t="shared" si="11"/>
        <v>0</v>
      </c>
      <c r="K83" s="20">
        <f t="shared" si="12"/>
        <v>0</v>
      </c>
      <c r="L83" s="20">
        <f t="shared" si="13"/>
        <v>0</v>
      </c>
    </row>
    <row r="84" spans="4:12" x14ac:dyDescent="0.35">
      <c r="D84" s="20" t="str">
        <f t="shared" si="9"/>
        <v/>
      </c>
      <c r="E84" s="21" t="str">
        <f t="shared" si="10"/>
        <v/>
      </c>
      <c r="F84" s="20" t="str">
        <f t="shared" si="14"/>
        <v/>
      </c>
      <c r="G84" s="20">
        <f t="shared" si="15"/>
        <v>0</v>
      </c>
      <c r="H84" s="20">
        <f t="shared" si="16"/>
        <v>0</v>
      </c>
      <c r="I84" s="20">
        <f t="shared" si="17"/>
        <v>0</v>
      </c>
      <c r="J84" s="20">
        <f t="shared" si="11"/>
        <v>0</v>
      </c>
      <c r="K84" s="20">
        <f t="shared" si="12"/>
        <v>0</v>
      </c>
      <c r="L84" s="20">
        <f t="shared" si="13"/>
        <v>0</v>
      </c>
    </row>
    <row r="85" spans="4:12" x14ac:dyDescent="0.35">
      <c r="D85" s="20" t="str">
        <f t="shared" si="9"/>
        <v/>
      </c>
      <c r="E85" s="21" t="str">
        <f t="shared" si="10"/>
        <v/>
      </c>
      <c r="F85" s="20" t="str">
        <f t="shared" si="14"/>
        <v/>
      </c>
      <c r="G85" s="20">
        <f t="shared" si="15"/>
        <v>0</v>
      </c>
      <c r="H85" s="20">
        <f t="shared" si="16"/>
        <v>0</v>
      </c>
      <c r="I85" s="20">
        <f t="shared" si="17"/>
        <v>0</v>
      </c>
      <c r="J85" s="20">
        <f t="shared" si="11"/>
        <v>0</v>
      </c>
      <c r="K85" s="20">
        <f t="shared" si="12"/>
        <v>0</v>
      </c>
      <c r="L85" s="20">
        <f t="shared" si="13"/>
        <v>0</v>
      </c>
    </row>
    <row r="86" spans="4:12" x14ac:dyDescent="0.35">
      <c r="D86" s="20" t="str">
        <f t="shared" si="9"/>
        <v/>
      </c>
      <c r="E86" s="21" t="str">
        <f t="shared" si="10"/>
        <v/>
      </c>
      <c r="F86" s="20" t="str">
        <f t="shared" si="14"/>
        <v/>
      </c>
      <c r="G86" s="20">
        <f t="shared" si="15"/>
        <v>0</v>
      </c>
      <c r="H86" s="20">
        <f t="shared" si="16"/>
        <v>0</v>
      </c>
      <c r="I86" s="20">
        <f t="shared" si="17"/>
        <v>0</v>
      </c>
      <c r="J86" s="20">
        <f t="shared" si="11"/>
        <v>0</v>
      </c>
      <c r="K86" s="20">
        <f t="shared" si="12"/>
        <v>0</v>
      </c>
      <c r="L86" s="20">
        <f t="shared" si="13"/>
        <v>0</v>
      </c>
    </row>
    <row r="87" spans="4:12" x14ac:dyDescent="0.35">
      <c r="D87" s="20" t="str">
        <f t="shared" ref="D87:D150" si="18">IF(D86&lt;=$B$5,D86+1,"")</f>
        <v/>
      </c>
      <c r="E87" s="21" t="str">
        <f t="shared" ref="E87:E150" si="19">IF(D86&lt;=$B$5,E86+$B$6,"")</f>
        <v/>
      </c>
      <c r="F87" s="20" t="str">
        <f t="shared" si="14"/>
        <v/>
      </c>
      <c r="G87" s="20">
        <f t="shared" si="15"/>
        <v>0</v>
      </c>
      <c r="H87" s="20">
        <f t="shared" si="16"/>
        <v>0</v>
      </c>
      <c r="I87" s="20">
        <f t="shared" si="17"/>
        <v>0</v>
      </c>
      <c r="J87" s="20">
        <f t="shared" si="11"/>
        <v>0</v>
      </c>
      <c r="K87" s="20">
        <f t="shared" si="12"/>
        <v>0</v>
      </c>
      <c r="L87" s="20">
        <f t="shared" si="13"/>
        <v>0</v>
      </c>
    </row>
    <row r="88" spans="4:12" x14ac:dyDescent="0.35">
      <c r="D88" s="20" t="str">
        <f t="shared" si="18"/>
        <v/>
      </c>
      <c r="E88" s="21" t="str">
        <f t="shared" si="19"/>
        <v/>
      </c>
      <c r="F88" s="20" t="str">
        <f t="shared" si="14"/>
        <v/>
      </c>
      <c r="G88" s="20">
        <f t="shared" si="15"/>
        <v>0</v>
      </c>
      <c r="H88" s="20">
        <f t="shared" si="16"/>
        <v>0</v>
      </c>
      <c r="I88" s="20">
        <f t="shared" si="17"/>
        <v>0</v>
      </c>
      <c r="J88" s="20">
        <f t="shared" si="11"/>
        <v>0</v>
      </c>
      <c r="K88" s="20">
        <f t="shared" si="12"/>
        <v>0</v>
      </c>
      <c r="L88" s="20">
        <f t="shared" si="13"/>
        <v>0</v>
      </c>
    </row>
    <row r="89" spans="4:12" x14ac:dyDescent="0.35">
      <c r="D89" s="20" t="str">
        <f t="shared" si="18"/>
        <v/>
      </c>
      <c r="E89" s="21" t="str">
        <f t="shared" si="19"/>
        <v/>
      </c>
      <c r="F89" s="20" t="str">
        <f t="shared" si="14"/>
        <v/>
      </c>
      <c r="G89" s="20">
        <f t="shared" si="15"/>
        <v>0</v>
      </c>
      <c r="H89" s="20">
        <f t="shared" si="16"/>
        <v>0</v>
      </c>
      <c r="I89" s="20">
        <f t="shared" si="17"/>
        <v>0</v>
      </c>
      <c r="J89" s="20">
        <f t="shared" si="11"/>
        <v>0</v>
      </c>
      <c r="K89" s="20">
        <f t="shared" si="12"/>
        <v>0</v>
      </c>
      <c r="L89" s="20">
        <f t="shared" si="13"/>
        <v>0</v>
      </c>
    </row>
    <row r="90" spans="4:12" x14ac:dyDescent="0.35">
      <c r="D90" s="20" t="str">
        <f t="shared" si="18"/>
        <v/>
      </c>
      <c r="E90" s="21" t="str">
        <f t="shared" si="19"/>
        <v/>
      </c>
      <c r="F90" s="20" t="str">
        <f t="shared" si="14"/>
        <v/>
      </c>
      <c r="G90" s="20">
        <f t="shared" si="15"/>
        <v>0</v>
      </c>
      <c r="H90" s="20">
        <f t="shared" si="16"/>
        <v>0</v>
      </c>
      <c r="I90" s="20">
        <f t="shared" si="17"/>
        <v>0</v>
      </c>
      <c r="J90" s="20">
        <f t="shared" si="11"/>
        <v>0</v>
      </c>
      <c r="K90" s="20">
        <f t="shared" si="12"/>
        <v>0</v>
      </c>
      <c r="L90" s="20">
        <f t="shared" si="13"/>
        <v>0</v>
      </c>
    </row>
    <row r="91" spans="4:12" x14ac:dyDescent="0.35">
      <c r="D91" s="20" t="str">
        <f t="shared" si="18"/>
        <v/>
      </c>
      <c r="E91" s="21" t="str">
        <f t="shared" si="19"/>
        <v/>
      </c>
      <c r="F91" s="20" t="str">
        <f t="shared" si="14"/>
        <v/>
      </c>
      <c r="G91" s="20">
        <f t="shared" si="15"/>
        <v>0</v>
      </c>
      <c r="H91" s="20">
        <f t="shared" si="16"/>
        <v>0</v>
      </c>
      <c r="I91" s="20">
        <f t="shared" si="17"/>
        <v>0</v>
      </c>
      <c r="J91" s="20">
        <f t="shared" si="11"/>
        <v>0</v>
      </c>
      <c r="K91" s="20">
        <f t="shared" si="12"/>
        <v>0</v>
      </c>
      <c r="L91" s="20">
        <f t="shared" si="13"/>
        <v>0</v>
      </c>
    </row>
    <row r="92" spans="4:12" x14ac:dyDescent="0.35">
      <c r="D92" s="20" t="str">
        <f t="shared" si="18"/>
        <v/>
      </c>
      <c r="E92" s="21" t="str">
        <f t="shared" si="19"/>
        <v/>
      </c>
      <c r="F92" s="20" t="str">
        <f t="shared" si="14"/>
        <v/>
      </c>
      <c r="G92" s="20">
        <f t="shared" si="15"/>
        <v>0</v>
      </c>
      <c r="H92" s="20">
        <f t="shared" si="16"/>
        <v>0</v>
      </c>
      <c r="I92" s="20">
        <f t="shared" si="17"/>
        <v>0</v>
      </c>
      <c r="J92" s="20">
        <f t="shared" si="11"/>
        <v>0</v>
      </c>
      <c r="K92" s="20">
        <f t="shared" si="12"/>
        <v>0</v>
      </c>
      <c r="L92" s="20">
        <f t="shared" si="13"/>
        <v>0</v>
      </c>
    </row>
    <row r="93" spans="4:12" x14ac:dyDescent="0.35">
      <c r="D93" s="20" t="str">
        <f t="shared" si="18"/>
        <v/>
      </c>
      <c r="E93" s="21" t="str">
        <f t="shared" si="19"/>
        <v/>
      </c>
      <c r="F93" s="20" t="str">
        <f t="shared" si="14"/>
        <v/>
      </c>
      <c r="G93" s="20">
        <f t="shared" si="15"/>
        <v>0</v>
      </c>
      <c r="H93" s="20">
        <f t="shared" si="16"/>
        <v>0</v>
      </c>
      <c r="I93" s="20">
        <f t="shared" si="17"/>
        <v>0</v>
      </c>
      <c r="J93" s="20">
        <f t="shared" si="11"/>
        <v>0</v>
      </c>
      <c r="K93" s="20">
        <f t="shared" si="12"/>
        <v>0</v>
      </c>
      <c r="L93" s="20">
        <f t="shared" si="13"/>
        <v>0</v>
      </c>
    </row>
    <row r="94" spans="4:12" x14ac:dyDescent="0.35">
      <c r="D94" s="20" t="str">
        <f t="shared" si="18"/>
        <v/>
      </c>
      <c r="E94" s="21" t="str">
        <f t="shared" si="19"/>
        <v/>
      </c>
      <c r="F94" s="20" t="str">
        <f t="shared" si="14"/>
        <v/>
      </c>
      <c r="G94" s="20">
        <f t="shared" si="15"/>
        <v>0</v>
      </c>
      <c r="H94" s="20">
        <f t="shared" si="16"/>
        <v>0</v>
      </c>
      <c r="I94" s="20">
        <f t="shared" si="17"/>
        <v>0</v>
      </c>
      <c r="J94" s="20">
        <f t="shared" si="11"/>
        <v>0</v>
      </c>
      <c r="K94" s="20">
        <f t="shared" si="12"/>
        <v>0</v>
      </c>
      <c r="L94" s="20">
        <f t="shared" si="13"/>
        <v>0</v>
      </c>
    </row>
    <row r="95" spans="4:12" x14ac:dyDescent="0.35">
      <c r="D95" s="20" t="str">
        <f t="shared" si="18"/>
        <v/>
      </c>
      <c r="E95" s="21" t="str">
        <f t="shared" si="19"/>
        <v/>
      </c>
      <c r="F95" s="20" t="str">
        <f t="shared" si="14"/>
        <v/>
      </c>
      <c r="G95" s="20">
        <f t="shared" si="15"/>
        <v>0</v>
      </c>
      <c r="H95" s="20">
        <f t="shared" si="16"/>
        <v>0</v>
      </c>
      <c r="I95" s="20">
        <f t="shared" si="17"/>
        <v>0</v>
      </c>
      <c r="J95" s="20">
        <f t="shared" si="11"/>
        <v>0</v>
      </c>
      <c r="K95" s="20">
        <f t="shared" si="12"/>
        <v>0</v>
      </c>
      <c r="L95" s="20">
        <f t="shared" si="13"/>
        <v>0</v>
      </c>
    </row>
    <row r="96" spans="4:12" x14ac:dyDescent="0.35">
      <c r="D96" s="20" t="str">
        <f t="shared" si="18"/>
        <v/>
      </c>
      <c r="E96" s="21" t="str">
        <f t="shared" si="19"/>
        <v/>
      </c>
      <c r="F96" s="20" t="str">
        <f t="shared" si="14"/>
        <v/>
      </c>
      <c r="G96" s="20">
        <f t="shared" si="15"/>
        <v>0</v>
      </c>
      <c r="H96" s="20">
        <f t="shared" si="16"/>
        <v>0</v>
      </c>
      <c r="I96" s="20">
        <f t="shared" si="17"/>
        <v>0</v>
      </c>
      <c r="J96" s="20">
        <f t="shared" si="11"/>
        <v>0</v>
      </c>
      <c r="K96" s="20">
        <f t="shared" si="12"/>
        <v>0</v>
      </c>
      <c r="L96" s="20">
        <f t="shared" si="13"/>
        <v>0</v>
      </c>
    </row>
    <row r="97" spans="4:12" x14ac:dyDescent="0.35">
      <c r="D97" s="20" t="str">
        <f t="shared" si="18"/>
        <v/>
      </c>
      <c r="E97" s="21" t="str">
        <f t="shared" si="19"/>
        <v/>
      </c>
      <c r="F97" s="20" t="str">
        <f t="shared" si="14"/>
        <v/>
      </c>
      <c r="G97" s="20">
        <f t="shared" si="15"/>
        <v>0</v>
      </c>
      <c r="H97" s="20">
        <f t="shared" si="16"/>
        <v>0</v>
      </c>
      <c r="I97" s="20">
        <f t="shared" si="17"/>
        <v>0</v>
      </c>
      <c r="J97" s="20">
        <f t="shared" si="11"/>
        <v>0</v>
      </c>
      <c r="K97" s="20">
        <f t="shared" si="12"/>
        <v>0</v>
      </c>
      <c r="L97" s="20">
        <f t="shared" si="13"/>
        <v>0</v>
      </c>
    </row>
    <row r="98" spans="4:12" x14ac:dyDescent="0.35">
      <c r="D98" s="20" t="str">
        <f t="shared" si="18"/>
        <v/>
      </c>
      <c r="E98" s="21" t="str">
        <f t="shared" si="19"/>
        <v/>
      </c>
      <c r="F98" s="20" t="str">
        <f t="shared" si="14"/>
        <v/>
      </c>
      <c r="G98" s="20">
        <f t="shared" si="15"/>
        <v>0</v>
      </c>
      <c r="H98" s="20">
        <f t="shared" si="16"/>
        <v>0</v>
      </c>
      <c r="I98" s="20">
        <f t="shared" si="17"/>
        <v>0</v>
      </c>
      <c r="J98" s="20">
        <f t="shared" si="11"/>
        <v>0</v>
      </c>
      <c r="K98" s="20">
        <f t="shared" si="12"/>
        <v>0</v>
      </c>
      <c r="L98" s="20">
        <f t="shared" si="13"/>
        <v>0</v>
      </c>
    </row>
    <row r="99" spans="4:12" x14ac:dyDescent="0.35">
      <c r="D99" s="20" t="str">
        <f t="shared" si="18"/>
        <v/>
      </c>
      <c r="E99" s="21" t="str">
        <f t="shared" si="19"/>
        <v/>
      </c>
      <c r="F99" s="20" t="str">
        <f t="shared" si="14"/>
        <v/>
      </c>
      <c r="G99" s="20">
        <f t="shared" si="15"/>
        <v>0</v>
      </c>
      <c r="H99" s="20">
        <f t="shared" si="16"/>
        <v>0</v>
      </c>
      <c r="I99" s="20">
        <f t="shared" si="17"/>
        <v>0</v>
      </c>
      <c r="J99" s="20">
        <f t="shared" si="11"/>
        <v>0</v>
      </c>
      <c r="K99" s="20">
        <f t="shared" si="12"/>
        <v>0</v>
      </c>
      <c r="L99" s="20">
        <f t="shared" si="13"/>
        <v>0</v>
      </c>
    </row>
    <row r="100" spans="4:12" x14ac:dyDescent="0.35">
      <c r="D100" s="20" t="str">
        <f t="shared" si="18"/>
        <v/>
      </c>
      <c r="E100" s="21" t="str">
        <f t="shared" si="19"/>
        <v/>
      </c>
      <c r="F100" s="20" t="str">
        <f t="shared" si="14"/>
        <v/>
      </c>
      <c r="G100" s="20">
        <f t="shared" si="15"/>
        <v>0</v>
      </c>
      <c r="H100" s="20">
        <f t="shared" si="16"/>
        <v>0</v>
      </c>
      <c r="I100" s="20">
        <f t="shared" si="17"/>
        <v>0</v>
      </c>
      <c r="J100" s="20">
        <f t="shared" si="11"/>
        <v>0</v>
      </c>
      <c r="K100" s="20">
        <f t="shared" si="12"/>
        <v>0</v>
      </c>
      <c r="L100" s="20">
        <f t="shared" si="13"/>
        <v>0</v>
      </c>
    </row>
    <row r="101" spans="4:12" x14ac:dyDescent="0.35">
      <c r="D101" s="20" t="str">
        <f t="shared" si="18"/>
        <v/>
      </c>
      <c r="E101" s="21" t="str">
        <f t="shared" si="19"/>
        <v/>
      </c>
      <c r="F101" s="20" t="str">
        <f t="shared" si="14"/>
        <v/>
      </c>
      <c r="G101" s="20">
        <f t="shared" si="15"/>
        <v>0</v>
      </c>
      <c r="H101" s="20">
        <f t="shared" si="16"/>
        <v>0</v>
      </c>
      <c r="I101" s="20">
        <f t="shared" si="17"/>
        <v>0</v>
      </c>
      <c r="J101" s="20">
        <f t="shared" si="11"/>
        <v>0</v>
      </c>
      <c r="K101" s="20">
        <f t="shared" si="12"/>
        <v>0</v>
      </c>
      <c r="L101" s="20">
        <f t="shared" si="13"/>
        <v>0</v>
      </c>
    </row>
    <row r="102" spans="4:12" x14ac:dyDescent="0.35">
      <c r="D102" s="20" t="str">
        <f t="shared" si="18"/>
        <v/>
      </c>
      <c r="E102" s="21" t="str">
        <f t="shared" si="19"/>
        <v/>
      </c>
      <c r="F102" s="20" t="str">
        <f t="shared" si="14"/>
        <v/>
      </c>
      <c r="G102" s="20">
        <f t="shared" si="15"/>
        <v>0</v>
      </c>
      <c r="H102" s="20">
        <f t="shared" si="16"/>
        <v>0</v>
      </c>
      <c r="I102" s="20">
        <f t="shared" si="17"/>
        <v>0</v>
      </c>
      <c r="J102" s="20">
        <f t="shared" si="11"/>
        <v>0</v>
      </c>
      <c r="K102" s="20">
        <f t="shared" si="12"/>
        <v>0</v>
      </c>
      <c r="L102" s="20">
        <f t="shared" si="13"/>
        <v>0</v>
      </c>
    </row>
    <row r="103" spans="4:12" x14ac:dyDescent="0.35">
      <c r="D103" s="20" t="str">
        <f t="shared" si="18"/>
        <v/>
      </c>
      <c r="E103" s="21" t="str">
        <f t="shared" si="19"/>
        <v/>
      </c>
      <c r="F103" s="20" t="str">
        <f t="shared" si="14"/>
        <v/>
      </c>
      <c r="G103" s="20">
        <f t="shared" si="15"/>
        <v>0</v>
      </c>
      <c r="H103" s="20">
        <f t="shared" si="16"/>
        <v>0</v>
      </c>
      <c r="I103" s="20">
        <f t="shared" si="17"/>
        <v>0</v>
      </c>
      <c r="J103" s="20">
        <f t="shared" si="11"/>
        <v>0</v>
      </c>
      <c r="K103" s="20">
        <f t="shared" si="12"/>
        <v>0</v>
      </c>
      <c r="L103" s="20">
        <f t="shared" si="13"/>
        <v>0</v>
      </c>
    </row>
    <row r="104" spans="4:12" x14ac:dyDescent="0.35">
      <c r="D104" s="20" t="str">
        <f t="shared" si="18"/>
        <v/>
      </c>
      <c r="E104" s="21" t="str">
        <f t="shared" si="19"/>
        <v/>
      </c>
      <c r="F104" s="20" t="str">
        <f t="shared" si="14"/>
        <v/>
      </c>
      <c r="G104" s="20">
        <f t="shared" si="15"/>
        <v>0</v>
      </c>
      <c r="H104" s="20">
        <f t="shared" si="16"/>
        <v>0</v>
      </c>
      <c r="I104" s="20">
        <f t="shared" si="17"/>
        <v>0</v>
      </c>
      <c r="J104" s="20">
        <f t="shared" si="11"/>
        <v>0</v>
      </c>
      <c r="K104" s="20">
        <f t="shared" si="12"/>
        <v>0</v>
      </c>
      <c r="L104" s="20">
        <f t="shared" si="13"/>
        <v>0</v>
      </c>
    </row>
    <row r="105" spans="4:12" x14ac:dyDescent="0.35">
      <c r="D105" s="20" t="str">
        <f t="shared" si="18"/>
        <v/>
      </c>
      <c r="E105" s="21" t="str">
        <f t="shared" si="19"/>
        <v/>
      </c>
      <c r="F105" s="20" t="str">
        <f t="shared" si="14"/>
        <v/>
      </c>
      <c r="G105" s="20">
        <f t="shared" si="15"/>
        <v>0</v>
      </c>
      <c r="H105" s="20">
        <f t="shared" si="16"/>
        <v>0</v>
      </c>
      <c r="I105" s="20">
        <f t="shared" si="17"/>
        <v>0</v>
      </c>
      <c r="J105" s="20">
        <f t="shared" si="11"/>
        <v>0</v>
      </c>
      <c r="K105" s="20">
        <f t="shared" si="12"/>
        <v>0</v>
      </c>
      <c r="L105" s="20">
        <f t="shared" si="13"/>
        <v>0</v>
      </c>
    </row>
    <row r="106" spans="4:12" x14ac:dyDescent="0.35">
      <c r="D106" s="20" t="str">
        <f t="shared" si="18"/>
        <v/>
      </c>
      <c r="E106" s="21" t="str">
        <f t="shared" si="19"/>
        <v/>
      </c>
      <c r="F106" s="20" t="str">
        <f t="shared" si="14"/>
        <v/>
      </c>
      <c r="G106" s="20">
        <f t="shared" si="15"/>
        <v>0</v>
      </c>
      <c r="H106" s="20">
        <f t="shared" si="16"/>
        <v>0</v>
      </c>
      <c r="I106" s="20">
        <f t="shared" si="17"/>
        <v>0</v>
      </c>
      <c r="J106" s="20">
        <f t="shared" si="11"/>
        <v>0</v>
      </c>
      <c r="K106" s="20">
        <f t="shared" si="12"/>
        <v>0</v>
      </c>
      <c r="L106" s="20">
        <f t="shared" si="13"/>
        <v>0</v>
      </c>
    </row>
    <row r="107" spans="4:12" x14ac:dyDescent="0.35">
      <c r="D107" s="20" t="str">
        <f t="shared" si="18"/>
        <v/>
      </c>
      <c r="E107" s="21" t="str">
        <f t="shared" si="19"/>
        <v/>
      </c>
      <c r="F107" s="20" t="str">
        <f t="shared" si="14"/>
        <v/>
      </c>
      <c r="G107" s="20">
        <f t="shared" si="15"/>
        <v>0</v>
      </c>
      <c r="H107" s="20">
        <f t="shared" si="16"/>
        <v>0</v>
      </c>
      <c r="I107" s="20">
        <f t="shared" si="17"/>
        <v>0</v>
      </c>
      <c r="J107" s="20">
        <f t="shared" si="11"/>
        <v>0</v>
      </c>
      <c r="K107" s="20">
        <f t="shared" si="12"/>
        <v>0</v>
      </c>
      <c r="L107" s="20">
        <f t="shared" si="13"/>
        <v>0</v>
      </c>
    </row>
    <row r="108" spans="4:12" x14ac:dyDescent="0.35">
      <c r="D108" s="20" t="str">
        <f t="shared" si="18"/>
        <v/>
      </c>
      <c r="E108" s="21" t="str">
        <f t="shared" si="19"/>
        <v/>
      </c>
      <c r="F108" s="20" t="str">
        <f t="shared" si="14"/>
        <v/>
      </c>
      <c r="G108" s="20">
        <f t="shared" si="15"/>
        <v>0</v>
      </c>
      <c r="H108" s="20">
        <f t="shared" si="16"/>
        <v>0</v>
      </c>
      <c r="I108" s="20">
        <f t="shared" si="17"/>
        <v>0</v>
      </c>
      <c r="J108" s="20">
        <f t="shared" si="11"/>
        <v>0</v>
      </c>
      <c r="K108" s="20">
        <f t="shared" si="12"/>
        <v>0</v>
      </c>
      <c r="L108" s="20">
        <f t="shared" si="13"/>
        <v>0</v>
      </c>
    </row>
    <row r="109" spans="4:12" x14ac:dyDescent="0.35">
      <c r="D109" s="20" t="str">
        <f t="shared" si="18"/>
        <v/>
      </c>
      <c r="E109" s="21" t="str">
        <f t="shared" si="19"/>
        <v/>
      </c>
      <c r="F109" s="20" t="str">
        <f t="shared" si="14"/>
        <v/>
      </c>
      <c r="G109" s="20">
        <f t="shared" si="15"/>
        <v>0</v>
      </c>
      <c r="H109" s="20">
        <f t="shared" si="16"/>
        <v>0</v>
      </c>
      <c r="I109" s="20">
        <f t="shared" si="17"/>
        <v>0</v>
      </c>
      <c r="J109" s="20">
        <f t="shared" si="11"/>
        <v>0</v>
      </c>
      <c r="K109" s="20">
        <f t="shared" si="12"/>
        <v>0</v>
      </c>
      <c r="L109" s="20">
        <f t="shared" si="13"/>
        <v>0</v>
      </c>
    </row>
    <row r="110" spans="4:12" x14ac:dyDescent="0.35">
      <c r="D110" s="20" t="str">
        <f t="shared" si="18"/>
        <v/>
      </c>
      <c r="E110" s="21" t="str">
        <f t="shared" si="19"/>
        <v/>
      </c>
      <c r="F110" s="20" t="str">
        <f t="shared" si="14"/>
        <v/>
      </c>
      <c r="G110" s="20">
        <f t="shared" si="15"/>
        <v>0</v>
      </c>
      <c r="H110" s="20">
        <f t="shared" si="16"/>
        <v>0</v>
      </c>
      <c r="I110" s="20">
        <f t="shared" si="17"/>
        <v>0</v>
      </c>
      <c r="J110" s="20">
        <f t="shared" si="11"/>
        <v>0</v>
      </c>
      <c r="K110" s="20">
        <f t="shared" si="12"/>
        <v>0</v>
      </c>
      <c r="L110" s="20">
        <f t="shared" si="13"/>
        <v>0</v>
      </c>
    </row>
    <row r="111" spans="4:12" x14ac:dyDescent="0.35">
      <c r="D111" s="20" t="str">
        <f t="shared" si="18"/>
        <v/>
      </c>
      <c r="E111" s="21" t="str">
        <f t="shared" si="19"/>
        <v/>
      </c>
      <c r="F111" s="20" t="str">
        <f t="shared" si="14"/>
        <v/>
      </c>
      <c r="G111" s="20">
        <f t="shared" si="15"/>
        <v>0</v>
      </c>
      <c r="H111" s="20">
        <f t="shared" si="16"/>
        <v>0</v>
      </c>
      <c r="I111" s="20">
        <f t="shared" si="17"/>
        <v>0</v>
      </c>
      <c r="J111" s="20">
        <f t="shared" si="11"/>
        <v>0</v>
      </c>
      <c r="K111" s="20">
        <f t="shared" si="12"/>
        <v>0</v>
      </c>
      <c r="L111" s="20">
        <f t="shared" si="13"/>
        <v>0</v>
      </c>
    </row>
    <row r="112" spans="4:12" x14ac:dyDescent="0.35">
      <c r="D112" s="20" t="str">
        <f t="shared" si="18"/>
        <v/>
      </c>
      <c r="E112" s="21" t="str">
        <f t="shared" si="19"/>
        <v/>
      </c>
      <c r="F112" s="20" t="str">
        <f t="shared" si="14"/>
        <v/>
      </c>
      <c r="G112" s="20">
        <f t="shared" si="15"/>
        <v>0</v>
      </c>
      <c r="H112" s="20">
        <f t="shared" si="16"/>
        <v>0</v>
      </c>
      <c r="I112" s="20">
        <f t="shared" si="17"/>
        <v>0</v>
      </c>
      <c r="J112" s="20">
        <f t="shared" si="11"/>
        <v>0</v>
      </c>
      <c r="K112" s="20">
        <f t="shared" si="12"/>
        <v>0</v>
      </c>
      <c r="L112" s="20">
        <f t="shared" si="13"/>
        <v>0</v>
      </c>
    </row>
    <row r="113" spans="4:12" x14ac:dyDescent="0.35">
      <c r="D113" s="20" t="str">
        <f t="shared" si="18"/>
        <v/>
      </c>
      <c r="E113" s="21" t="str">
        <f t="shared" si="19"/>
        <v/>
      </c>
      <c r="F113" s="20" t="str">
        <f t="shared" si="14"/>
        <v/>
      </c>
      <c r="G113" s="20">
        <f t="shared" si="15"/>
        <v>0</v>
      </c>
      <c r="H113" s="20">
        <f t="shared" si="16"/>
        <v>0</v>
      </c>
      <c r="I113" s="20">
        <f t="shared" si="17"/>
        <v>0</v>
      </c>
      <c r="J113" s="20">
        <f t="shared" si="11"/>
        <v>0</v>
      </c>
      <c r="K113" s="20">
        <f t="shared" si="12"/>
        <v>0</v>
      </c>
      <c r="L113" s="20">
        <f t="shared" si="13"/>
        <v>0</v>
      </c>
    </row>
    <row r="114" spans="4:12" x14ac:dyDescent="0.35">
      <c r="D114" s="20" t="str">
        <f t="shared" si="18"/>
        <v/>
      </c>
      <c r="E114" s="21" t="str">
        <f t="shared" si="19"/>
        <v/>
      </c>
      <c r="F114" s="20" t="str">
        <f t="shared" si="14"/>
        <v/>
      </c>
      <c r="G114" s="20">
        <f t="shared" si="15"/>
        <v>0</v>
      </c>
      <c r="H114" s="20">
        <f t="shared" si="16"/>
        <v>0</v>
      </c>
      <c r="I114" s="20">
        <f t="shared" si="17"/>
        <v>0</v>
      </c>
      <c r="J114" s="20">
        <f t="shared" si="11"/>
        <v>0</v>
      </c>
      <c r="K114" s="20">
        <f t="shared" si="12"/>
        <v>0</v>
      </c>
      <c r="L114" s="20">
        <f t="shared" si="13"/>
        <v>0</v>
      </c>
    </row>
    <row r="115" spans="4:12" x14ac:dyDescent="0.35">
      <c r="D115" s="20" t="str">
        <f t="shared" si="18"/>
        <v/>
      </c>
      <c r="E115" s="21" t="str">
        <f t="shared" si="19"/>
        <v/>
      </c>
      <c r="F115" s="20" t="str">
        <f t="shared" si="14"/>
        <v/>
      </c>
      <c r="G115" s="20">
        <f t="shared" si="15"/>
        <v>0</v>
      </c>
      <c r="H115" s="20">
        <f t="shared" si="16"/>
        <v>0</v>
      </c>
      <c r="I115" s="20">
        <f t="shared" si="17"/>
        <v>0</v>
      </c>
      <c r="J115" s="20">
        <f t="shared" si="11"/>
        <v>0</v>
      </c>
      <c r="K115" s="20">
        <f t="shared" si="12"/>
        <v>0</v>
      </c>
      <c r="L115" s="20">
        <f t="shared" si="13"/>
        <v>0</v>
      </c>
    </row>
    <row r="116" spans="4:12" x14ac:dyDescent="0.35">
      <c r="D116" s="20" t="str">
        <f t="shared" si="18"/>
        <v/>
      </c>
      <c r="E116" s="21" t="str">
        <f t="shared" si="19"/>
        <v/>
      </c>
      <c r="F116" s="20" t="str">
        <f t="shared" si="14"/>
        <v/>
      </c>
      <c r="G116" s="20">
        <f t="shared" si="15"/>
        <v>0</v>
      </c>
      <c r="H116" s="20">
        <f t="shared" si="16"/>
        <v>0</v>
      </c>
      <c r="I116" s="20">
        <f t="shared" si="17"/>
        <v>0</v>
      </c>
      <c r="J116" s="20">
        <f t="shared" si="11"/>
        <v>0</v>
      </c>
      <c r="K116" s="20">
        <f t="shared" si="12"/>
        <v>0</v>
      </c>
      <c r="L116" s="20">
        <f t="shared" si="13"/>
        <v>0</v>
      </c>
    </row>
    <row r="117" spans="4:12" x14ac:dyDescent="0.35">
      <c r="D117" s="20" t="str">
        <f t="shared" si="18"/>
        <v/>
      </c>
      <c r="E117" s="21" t="str">
        <f t="shared" si="19"/>
        <v/>
      </c>
      <c r="F117" s="20" t="str">
        <f t="shared" si="14"/>
        <v/>
      </c>
      <c r="G117" s="20">
        <f t="shared" si="15"/>
        <v>0</v>
      </c>
      <c r="H117" s="20">
        <f t="shared" si="16"/>
        <v>0</v>
      </c>
      <c r="I117" s="20">
        <f t="shared" si="17"/>
        <v>0</v>
      </c>
      <c r="J117" s="20">
        <f t="shared" si="11"/>
        <v>0</v>
      </c>
      <c r="K117" s="20">
        <f t="shared" si="12"/>
        <v>0</v>
      </c>
      <c r="L117" s="20">
        <f t="shared" si="13"/>
        <v>0</v>
      </c>
    </row>
    <row r="118" spans="4:12" x14ac:dyDescent="0.35">
      <c r="D118" s="20" t="str">
        <f t="shared" si="18"/>
        <v/>
      </c>
      <c r="E118" s="21" t="str">
        <f t="shared" si="19"/>
        <v/>
      </c>
      <c r="F118" s="20" t="str">
        <f t="shared" si="14"/>
        <v/>
      </c>
      <c r="G118" s="20">
        <f t="shared" si="15"/>
        <v>0</v>
      </c>
      <c r="H118" s="20">
        <f t="shared" si="16"/>
        <v>0</v>
      </c>
      <c r="I118" s="20">
        <f t="shared" si="17"/>
        <v>0</v>
      </c>
      <c r="J118" s="20">
        <f t="shared" si="11"/>
        <v>0</v>
      </c>
      <c r="K118" s="20">
        <f t="shared" si="12"/>
        <v>0</v>
      </c>
      <c r="L118" s="20">
        <f t="shared" si="13"/>
        <v>0</v>
      </c>
    </row>
    <row r="119" spans="4:12" x14ac:dyDescent="0.35">
      <c r="D119" s="20" t="str">
        <f t="shared" si="18"/>
        <v/>
      </c>
      <c r="E119" s="21" t="str">
        <f t="shared" si="19"/>
        <v/>
      </c>
      <c r="F119" s="20" t="str">
        <f t="shared" si="14"/>
        <v/>
      </c>
      <c r="G119" s="20">
        <f t="shared" si="15"/>
        <v>0</v>
      </c>
      <c r="H119" s="20">
        <f t="shared" si="16"/>
        <v>0</v>
      </c>
      <c r="I119" s="20">
        <f t="shared" si="17"/>
        <v>0</v>
      </c>
      <c r="J119" s="20">
        <f t="shared" si="11"/>
        <v>0</v>
      </c>
      <c r="K119" s="20">
        <f t="shared" si="12"/>
        <v>0</v>
      </c>
      <c r="L119" s="20">
        <f t="shared" si="13"/>
        <v>0</v>
      </c>
    </row>
    <row r="120" spans="4:12" x14ac:dyDescent="0.35">
      <c r="D120" s="20" t="str">
        <f t="shared" si="18"/>
        <v/>
      </c>
      <c r="E120" s="21" t="str">
        <f t="shared" si="19"/>
        <v/>
      </c>
      <c r="F120" s="20" t="str">
        <f t="shared" si="14"/>
        <v/>
      </c>
      <c r="G120" s="20">
        <f t="shared" si="15"/>
        <v>0</v>
      </c>
      <c r="H120" s="20">
        <f t="shared" si="16"/>
        <v>0</v>
      </c>
      <c r="I120" s="20">
        <f t="shared" si="17"/>
        <v>0</v>
      </c>
      <c r="J120" s="20">
        <f t="shared" si="11"/>
        <v>0</v>
      </c>
      <c r="K120" s="20">
        <f t="shared" si="12"/>
        <v>0</v>
      </c>
      <c r="L120" s="20">
        <f t="shared" si="13"/>
        <v>0</v>
      </c>
    </row>
    <row r="121" spans="4:12" x14ac:dyDescent="0.35">
      <c r="D121" s="20" t="str">
        <f t="shared" si="18"/>
        <v/>
      </c>
      <c r="E121" s="21" t="str">
        <f t="shared" si="19"/>
        <v/>
      </c>
      <c r="F121" s="20" t="str">
        <f t="shared" si="14"/>
        <v/>
      </c>
      <c r="G121" s="20">
        <f t="shared" si="15"/>
        <v>0</v>
      </c>
      <c r="H121" s="20">
        <f t="shared" si="16"/>
        <v>0</v>
      </c>
      <c r="I121" s="20">
        <f t="shared" si="17"/>
        <v>0</v>
      </c>
      <c r="J121" s="20">
        <f t="shared" si="11"/>
        <v>0</v>
      </c>
      <c r="K121" s="20">
        <f t="shared" si="12"/>
        <v>0</v>
      </c>
      <c r="L121" s="20">
        <f t="shared" si="13"/>
        <v>0</v>
      </c>
    </row>
    <row r="122" spans="4:12" x14ac:dyDescent="0.35">
      <c r="D122" s="20" t="str">
        <f t="shared" si="18"/>
        <v/>
      </c>
      <c r="E122" s="21" t="str">
        <f t="shared" si="19"/>
        <v/>
      </c>
      <c r="F122" s="20" t="str">
        <f t="shared" si="14"/>
        <v/>
      </c>
      <c r="G122" s="20">
        <f t="shared" si="15"/>
        <v>0</v>
      </c>
      <c r="H122" s="20">
        <f t="shared" si="16"/>
        <v>0</v>
      </c>
      <c r="I122" s="20">
        <f t="shared" si="17"/>
        <v>0</v>
      </c>
      <c r="J122" s="20">
        <f t="shared" si="11"/>
        <v>0</v>
      </c>
      <c r="K122" s="20">
        <f t="shared" si="12"/>
        <v>0</v>
      </c>
      <c r="L122" s="20">
        <f t="shared" si="13"/>
        <v>0</v>
      </c>
    </row>
    <row r="123" spans="4:12" x14ac:dyDescent="0.35">
      <c r="D123" s="20" t="str">
        <f t="shared" si="18"/>
        <v/>
      </c>
      <c r="E123" s="21" t="str">
        <f t="shared" si="19"/>
        <v/>
      </c>
      <c r="F123" s="20" t="str">
        <f t="shared" si="14"/>
        <v/>
      </c>
      <c r="G123" s="20">
        <f t="shared" si="15"/>
        <v>0</v>
      </c>
      <c r="H123" s="20">
        <f t="shared" si="16"/>
        <v>0</v>
      </c>
      <c r="I123" s="20">
        <f t="shared" si="17"/>
        <v>0</v>
      </c>
      <c r="J123" s="20">
        <f t="shared" si="11"/>
        <v>0</v>
      </c>
      <c r="K123" s="20">
        <f t="shared" si="12"/>
        <v>0</v>
      </c>
      <c r="L123" s="20">
        <f t="shared" si="13"/>
        <v>0</v>
      </c>
    </row>
    <row r="124" spans="4:12" x14ac:dyDescent="0.35">
      <c r="D124" s="20" t="str">
        <f t="shared" si="18"/>
        <v/>
      </c>
      <c r="E124" s="21" t="str">
        <f t="shared" si="19"/>
        <v/>
      </c>
      <c r="F124" s="20" t="str">
        <f t="shared" si="14"/>
        <v/>
      </c>
      <c r="G124" s="20">
        <f t="shared" si="15"/>
        <v>0</v>
      </c>
      <c r="H124" s="20">
        <f t="shared" si="16"/>
        <v>0</v>
      </c>
      <c r="I124" s="20">
        <f t="shared" si="17"/>
        <v>0</v>
      </c>
      <c r="J124" s="20">
        <f t="shared" si="11"/>
        <v>0</v>
      </c>
      <c r="K124" s="20">
        <f t="shared" si="12"/>
        <v>0</v>
      </c>
      <c r="L124" s="20">
        <f t="shared" si="13"/>
        <v>0</v>
      </c>
    </row>
    <row r="125" spans="4:12" x14ac:dyDescent="0.35">
      <c r="D125" s="20" t="str">
        <f t="shared" si="18"/>
        <v/>
      </c>
      <c r="E125" s="21" t="str">
        <f t="shared" si="19"/>
        <v/>
      </c>
      <c r="F125" s="20" t="str">
        <f t="shared" si="14"/>
        <v/>
      </c>
      <c r="G125" s="20">
        <f t="shared" si="15"/>
        <v>0</v>
      </c>
      <c r="H125" s="20">
        <f t="shared" si="16"/>
        <v>0</v>
      </c>
      <c r="I125" s="20">
        <f t="shared" si="17"/>
        <v>0</v>
      </c>
      <c r="J125" s="20">
        <f t="shared" si="11"/>
        <v>0</v>
      </c>
      <c r="K125" s="20">
        <f t="shared" si="12"/>
        <v>0</v>
      </c>
      <c r="L125" s="20">
        <f t="shared" si="13"/>
        <v>0</v>
      </c>
    </row>
    <row r="126" spans="4:12" x14ac:dyDescent="0.35">
      <c r="D126" s="20" t="str">
        <f t="shared" si="18"/>
        <v/>
      </c>
      <c r="E126" s="21" t="str">
        <f t="shared" si="19"/>
        <v/>
      </c>
      <c r="F126" s="20" t="str">
        <f t="shared" si="14"/>
        <v/>
      </c>
      <c r="G126" s="20">
        <f t="shared" si="15"/>
        <v>0</v>
      </c>
      <c r="H126" s="20">
        <f t="shared" si="16"/>
        <v>0</v>
      </c>
      <c r="I126" s="20">
        <f t="shared" si="17"/>
        <v>0</v>
      </c>
      <c r="J126" s="20">
        <f t="shared" si="11"/>
        <v>0</v>
      </c>
      <c r="K126" s="20">
        <f t="shared" si="12"/>
        <v>0</v>
      </c>
      <c r="L126" s="20">
        <f t="shared" si="13"/>
        <v>0</v>
      </c>
    </row>
    <row r="127" spans="4:12" x14ac:dyDescent="0.35">
      <c r="D127" s="20" t="str">
        <f t="shared" si="18"/>
        <v/>
      </c>
      <c r="E127" s="21" t="str">
        <f t="shared" si="19"/>
        <v/>
      </c>
      <c r="F127" s="20" t="str">
        <f t="shared" si="14"/>
        <v/>
      </c>
      <c r="G127" s="20">
        <f t="shared" si="15"/>
        <v>0</v>
      </c>
      <c r="H127" s="20">
        <f t="shared" si="16"/>
        <v>0</v>
      </c>
      <c r="I127" s="20">
        <f t="shared" si="17"/>
        <v>0</v>
      </c>
      <c r="J127" s="20">
        <f t="shared" si="11"/>
        <v>0</v>
      </c>
      <c r="K127" s="20">
        <f t="shared" si="12"/>
        <v>0</v>
      </c>
      <c r="L127" s="20">
        <f t="shared" si="13"/>
        <v>0</v>
      </c>
    </row>
    <row r="128" spans="4:12" x14ac:dyDescent="0.35">
      <c r="D128" s="20" t="str">
        <f t="shared" si="18"/>
        <v/>
      </c>
      <c r="E128" s="21" t="str">
        <f t="shared" si="19"/>
        <v/>
      </c>
      <c r="F128" s="20" t="str">
        <f t="shared" si="14"/>
        <v/>
      </c>
      <c r="G128" s="20">
        <f t="shared" si="15"/>
        <v>0</v>
      </c>
      <c r="H128" s="20">
        <f t="shared" si="16"/>
        <v>0</v>
      </c>
      <c r="I128" s="20">
        <f t="shared" si="17"/>
        <v>0</v>
      </c>
      <c r="J128" s="20">
        <f t="shared" si="11"/>
        <v>0</v>
      </c>
      <c r="K128" s="20">
        <f t="shared" si="12"/>
        <v>0</v>
      </c>
      <c r="L128" s="20">
        <f t="shared" si="13"/>
        <v>0</v>
      </c>
    </row>
    <row r="129" spans="4:12" x14ac:dyDescent="0.35">
      <c r="D129" s="20" t="str">
        <f t="shared" si="18"/>
        <v/>
      </c>
      <c r="E129" s="21" t="str">
        <f t="shared" si="19"/>
        <v/>
      </c>
      <c r="F129" s="20" t="str">
        <f t="shared" si="14"/>
        <v/>
      </c>
      <c r="G129" s="20">
        <f t="shared" si="15"/>
        <v>0</v>
      </c>
      <c r="H129" s="20">
        <f t="shared" si="16"/>
        <v>0</v>
      </c>
      <c r="I129" s="20">
        <f t="shared" si="17"/>
        <v>0</v>
      </c>
      <c r="J129" s="20">
        <f t="shared" si="11"/>
        <v>0</v>
      </c>
      <c r="K129" s="20">
        <f t="shared" si="12"/>
        <v>0</v>
      </c>
      <c r="L129" s="20">
        <f t="shared" si="13"/>
        <v>0</v>
      </c>
    </row>
    <row r="130" spans="4:12" x14ac:dyDescent="0.35">
      <c r="D130" s="20" t="str">
        <f t="shared" si="18"/>
        <v/>
      </c>
      <c r="E130" s="21" t="str">
        <f t="shared" si="19"/>
        <v/>
      </c>
      <c r="F130" s="20" t="str">
        <f t="shared" si="14"/>
        <v/>
      </c>
      <c r="G130" s="20">
        <f t="shared" si="15"/>
        <v>0</v>
      </c>
      <c r="H130" s="20">
        <f t="shared" si="16"/>
        <v>0</v>
      </c>
      <c r="I130" s="20">
        <f t="shared" si="17"/>
        <v>0</v>
      </c>
      <c r="J130" s="20">
        <f t="shared" si="11"/>
        <v>0</v>
      </c>
      <c r="K130" s="20">
        <f t="shared" si="12"/>
        <v>0</v>
      </c>
      <c r="L130" s="20">
        <f t="shared" si="13"/>
        <v>0</v>
      </c>
    </row>
    <row r="131" spans="4:12" x14ac:dyDescent="0.35">
      <c r="D131" s="20" t="str">
        <f t="shared" si="18"/>
        <v/>
      </c>
      <c r="E131" s="21" t="str">
        <f t="shared" si="19"/>
        <v/>
      </c>
      <c r="F131" s="20" t="str">
        <f t="shared" si="14"/>
        <v/>
      </c>
      <c r="G131" s="20">
        <f t="shared" si="15"/>
        <v>0</v>
      </c>
      <c r="H131" s="20">
        <f t="shared" si="16"/>
        <v>0</v>
      </c>
      <c r="I131" s="20">
        <f t="shared" si="17"/>
        <v>0</v>
      </c>
      <c r="J131" s="20">
        <f t="shared" ref="J131:J194" si="20">ABS(G131)</f>
        <v>0</v>
      </c>
      <c r="K131" s="20">
        <f t="shared" ref="K131:K194" si="21">ABS(H131)</f>
        <v>0</v>
      </c>
      <c r="L131" s="20">
        <f t="shared" ref="L131:L194" si="22">ABS(I131)</f>
        <v>0</v>
      </c>
    </row>
    <row r="132" spans="4:12" x14ac:dyDescent="0.35">
      <c r="D132" s="20" t="str">
        <f t="shared" si="18"/>
        <v/>
      </c>
      <c r="E132" s="21" t="str">
        <f t="shared" si="19"/>
        <v/>
      </c>
      <c r="F132" s="20" t="str">
        <f t="shared" ref="F132:F195" si="23">IF(D131&lt;=$B$5,((3*E132^2)-(4*E132)*(SIN(1.4*E132^3)^2))/((0.4*E132^2+1)^(1/4)),"")</f>
        <v/>
      </c>
      <c r="G132" s="20">
        <f t="shared" ref="G132:G195" si="24">IF(D132=$B$5+1,F132,0)</f>
        <v>0</v>
      </c>
      <c r="H132" s="20">
        <f t="shared" ref="H132:H195" si="25">IF(D131&lt;$B$5,F132*MOD(D131,2),0)</f>
        <v>0</v>
      </c>
      <c r="I132" s="20">
        <f t="shared" ref="I132:I195" si="26">IF(D131&lt;$B$5,F132*MOD(D132,2),0)</f>
        <v>0</v>
      </c>
      <c r="J132" s="20">
        <f t="shared" si="20"/>
        <v>0</v>
      </c>
      <c r="K132" s="20">
        <f t="shared" si="21"/>
        <v>0</v>
      </c>
      <c r="L132" s="20">
        <f t="shared" si="22"/>
        <v>0</v>
      </c>
    </row>
    <row r="133" spans="4:12" x14ac:dyDescent="0.35">
      <c r="D133" s="20" t="str">
        <f t="shared" si="18"/>
        <v/>
      </c>
      <c r="E133" s="21" t="str">
        <f t="shared" si="19"/>
        <v/>
      </c>
      <c r="F133" s="20" t="str">
        <f t="shared" si="23"/>
        <v/>
      </c>
      <c r="G133" s="20">
        <f t="shared" si="24"/>
        <v>0</v>
      </c>
      <c r="H133" s="20">
        <f t="shared" si="25"/>
        <v>0</v>
      </c>
      <c r="I133" s="20">
        <f t="shared" si="26"/>
        <v>0</v>
      </c>
      <c r="J133" s="20">
        <f t="shared" si="20"/>
        <v>0</v>
      </c>
      <c r="K133" s="20">
        <f t="shared" si="21"/>
        <v>0</v>
      </c>
      <c r="L133" s="20">
        <f t="shared" si="22"/>
        <v>0</v>
      </c>
    </row>
    <row r="134" spans="4:12" x14ac:dyDescent="0.35">
      <c r="D134" s="20" t="str">
        <f t="shared" si="18"/>
        <v/>
      </c>
      <c r="E134" s="21" t="str">
        <f t="shared" si="19"/>
        <v/>
      </c>
      <c r="F134" s="20" t="str">
        <f t="shared" si="23"/>
        <v/>
      </c>
      <c r="G134" s="20">
        <f t="shared" si="24"/>
        <v>0</v>
      </c>
      <c r="H134" s="20">
        <f t="shared" si="25"/>
        <v>0</v>
      </c>
      <c r="I134" s="20">
        <f t="shared" si="26"/>
        <v>0</v>
      </c>
      <c r="J134" s="20">
        <f t="shared" si="20"/>
        <v>0</v>
      </c>
      <c r="K134" s="20">
        <f t="shared" si="21"/>
        <v>0</v>
      </c>
      <c r="L134" s="20">
        <f t="shared" si="22"/>
        <v>0</v>
      </c>
    </row>
    <row r="135" spans="4:12" x14ac:dyDescent="0.35">
      <c r="D135" s="20" t="str">
        <f t="shared" si="18"/>
        <v/>
      </c>
      <c r="E135" s="21" t="str">
        <f t="shared" si="19"/>
        <v/>
      </c>
      <c r="F135" s="20" t="str">
        <f t="shared" si="23"/>
        <v/>
      </c>
      <c r="G135" s="20">
        <f t="shared" si="24"/>
        <v>0</v>
      </c>
      <c r="H135" s="20">
        <f t="shared" si="25"/>
        <v>0</v>
      </c>
      <c r="I135" s="20">
        <f t="shared" si="26"/>
        <v>0</v>
      </c>
      <c r="J135" s="20">
        <f t="shared" si="20"/>
        <v>0</v>
      </c>
      <c r="K135" s="20">
        <f t="shared" si="21"/>
        <v>0</v>
      </c>
      <c r="L135" s="20">
        <f t="shared" si="22"/>
        <v>0</v>
      </c>
    </row>
    <row r="136" spans="4:12" x14ac:dyDescent="0.35">
      <c r="D136" s="20" t="str">
        <f t="shared" si="18"/>
        <v/>
      </c>
      <c r="E136" s="21" t="str">
        <f t="shared" si="19"/>
        <v/>
      </c>
      <c r="F136" s="20" t="str">
        <f t="shared" si="23"/>
        <v/>
      </c>
      <c r="G136" s="20">
        <f t="shared" si="24"/>
        <v>0</v>
      </c>
      <c r="H136" s="20">
        <f t="shared" si="25"/>
        <v>0</v>
      </c>
      <c r="I136" s="20">
        <f t="shared" si="26"/>
        <v>0</v>
      </c>
      <c r="J136" s="20">
        <f t="shared" si="20"/>
        <v>0</v>
      </c>
      <c r="K136" s="20">
        <f t="shared" si="21"/>
        <v>0</v>
      </c>
      <c r="L136" s="20">
        <f t="shared" si="22"/>
        <v>0</v>
      </c>
    </row>
    <row r="137" spans="4:12" x14ac:dyDescent="0.35">
      <c r="D137" s="20" t="str">
        <f t="shared" si="18"/>
        <v/>
      </c>
      <c r="E137" s="21" t="str">
        <f t="shared" si="19"/>
        <v/>
      </c>
      <c r="F137" s="20" t="str">
        <f t="shared" si="23"/>
        <v/>
      </c>
      <c r="G137" s="20">
        <f t="shared" si="24"/>
        <v>0</v>
      </c>
      <c r="H137" s="20">
        <f t="shared" si="25"/>
        <v>0</v>
      </c>
      <c r="I137" s="20">
        <f t="shared" si="26"/>
        <v>0</v>
      </c>
      <c r="J137" s="20">
        <f t="shared" si="20"/>
        <v>0</v>
      </c>
      <c r="K137" s="20">
        <f t="shared" si="21"/>
        <v>0</v>
      </c>
      <c r="L137" s="20">
        <f t="shared" si="22"/>
        <v>0</v>
      </c>
    </row>
    <row r="138" spans="4:12" x14ac:dyDescent="0.35">
      <c r="D138" s="20" t="str">
        <f t="shared" si="18"/>
        <v/>
      </c>
      <c r="E138" s="21" t="str">
        <f t="shared" si="19"/>
        <v/>
      </c>
      <c r="F138" s="20" t="str">
        <f t="shared" si="23"/>
        <v/>
      </c>
      <c r="G138" s="20">
        <f t="shared" si="24"/>
        <v>0</v>
      </c>
      <c r="H138" s="20">
        <f t="shared" si="25"/>
        <v>0</v>
      </c>
      <c r="I138" s="20">
        <f t="shared" si="26"/>
        <v>0</v>
      </c>
      <c r="J138" s="20">
        <f t="shared" si="20"/>
        <v>0</v>
      </c>
      <c r="K138" s="20">
        <f t="shared" si="21"/>
        <v>0</v>
      </c>
      <c r="L138" s="20">
        <f t="shared" si="22"/>
        <v>0</v>
      </c>
    </row>
    <row r="139" spans="4:12" x14ac:dyDescent="0.35">
      <c r="D139" s="20" t="str">
        <f t="shared" si="18"/>
        <v/>
      </c>
      <c r="E139" s="21" t="str">
        <f t="shared" si="19"/>
        <v/>
      </c>
      <c r="F139" s="20" t="str">
        <f t="shared" si="23"/>
        <v/>
      </c>
      <c r="G139" s="20">
        <f t="shared" si="24"/>
        <v>0</v>
      </c>
      <c r="H139" s="20">
        <f t="shared" si="25"/>
        <v>0</v>
      </c>
      <c r="I139" s="20">
        <f t="shared" si="26"/>
        <v>0</v>
      </c>
      <c r="J139" s="20">
        <f t="shared" si="20"/>
        <v>0</v>
      </c>
      <c r="K139" s="20">
        <f t="shared" si="21"/>
        <v>0</v>
      </c>
      <c r="L139" s="20">
        <f t="shared" si="22"/>
        <v>0</v>
      </c>
    </row>
    <row r="140" spans="4:12" x14ac:dyDescent="0.35">
      <c r="D140" s="20" t="str">
        <f t="shared" si="18"/>
        <v/>
      </c>
      <c r="E140" s="21" t="str">
        <f t="shared" si="19"/>
        <v/>
      </c>
      <c r="F140" s="20" t="str">
        <f t="shared" si="23"/>
        <v/>
      </c>
      <c r="G140" s="20">
        <f t="shared" si="24"/>
        <v>0</v>
      </c>
      <c r="H140" s="20">
        <f t="shared" si="25"/>
        <v>0</v>
      </c>
      <c r="I140" s="20">
        <f t="shared" si="26"/>
        <v>0</v>
      </c>
      <c r="J140" s="20">
        <f t="shared" si="20"/>
        <v>0</v>
      </c>
      <c r="K140" s="20">
        <f t="shared" si="21"/>
        <v>0</v>
      </c>
      <c r="L140" s="20">
        <f t="shared" si="22"/>
        <v>0</v>
      </c>
    </row>
    <row r="141" spans="4:12" x14ac:dyDescent="0.35">
      <c r="D141" s="20" t="str">
        <f t="shared" si="18"/>
        <v/>
      </c>
      <c r="E141" s="21" t="str">
        <f t="shared" si="19"/>
        <v/>
      </c>
      <c r="F141" s="20" t="str">
        <f t="shared" si="23"/>
        <v/>
      </c>
      <c r="G141" s="20">
        <f t="shared" si="24"/>
        <v>0</v>
      </c>
      <c r="H141" s="20">
        <f t="shared" si="25"/>
        <v>0</v>
      </c>
      <c r="I141" s="20">
        <f t="shared" si="26"/>
        <v>0</v>
      </c>
      <c r="J141" s="20">
        <f t="shared" si="20"/>
        <v>0</v>
      </c>
      <c r="K141" s="20">
        <f t="shared" si="21"/>
        <v>0</v>
      </c>
      <c r="L141" s="20">
        <f t="shared" si="22"/>
        <v>0</v>
      </c>
    </row>
    <row r="142" spans="4:12" x14ac:dyDescent="0.35">
      <c r="D142" s="20" t="str">
        <f t="shared" si="18"/>
        <v/>
      </c>
      <c r="E142" s="21" t="str">
        <f t="shared" si="19"/>
        <v/>
      </c>
      <c r="F142" s="20" t="str">
        <f t="shared" si="23"/>
        <v/>
      </c>
      <c r="G142" s="20">
        <f t="shared" si="24"/>
        <v>0</v>
      </c>
      <c r="H142" s="20">
        <f t="shared" si="25"/>
        <v>0</v>
      </c>
      <c r="I142" s="20">
        <f t="shared" si="26"/>
        <v>0</v>
      </c>
      <c r="J142" s="20">
        <f t="shared" si="20"/>
        <v>0</v>
      </c>
      <c r="K142" s="20">
        <f t="shared" si="21"/>
        <v>0</v>
      </c>
      <c r="L142" s="20">
        <f t="shared" si="22"/>
        <v>0</v>
      </c>
    </row>
    <row r="143" spans="4:12" x14ac:dyDescent="0.35">
      <c r="D143" s="20" t="str">
        <f t="shared" si="18"/>
        <v/>
      </c>
      <c r="E143" s="21" t="str">
        <f t="shared" si="19"/>
        <v/>
      </c>
      <c r="F143" s="20" t="str">
        <f t="shared" si="23"/>
        <v/>
      </c>
      <c r="G143" s="20">
        <f t="shared" si="24"/>
        <v>0</v>
      </c>
      <c r="H143" s="20">
        <f t="shared" si="25"/>
        <v>0</v>
      </c>
      <c r="I143" s="20">
        <f t="shared" si="26"/>
        <v>0</v>
      </c>
      <c r="J143" s="20">
        <f t="shared" si="20"/>
        <v>0</v>
      </c>
      <c r="K143" s="20">
        <f t="shared" si="21"/>
        <v>0</v>
      </c>
      <c r="L143" s="20">
        <f t="shared" si="22"/>
        <v>0</v>
      </c>
    </row>
    <row r="144" spans="4:12" x14ac:dyDescent="0.35">
      <c r="D144" s="20" t="str">
        <f t="shared" si="18"/>
        <v/>
      </c>
      <c r="E144" s="21" t="str">
        <f t="shared" si="19"/>
        <v/>
      </c>
      <c r="F144" s="20" t="str">
        <f t="shared" si="23"/>
        <v/>
      </c>
      <c r="G144" s="20">
        <f t="shared" si="24"/>
        <v>0</v>
      </c>
      <c r="H144" s="20">
        <f t="shared" si="25"/>
        <v>0</v>
      </c>
      <c r="I144" s="20">
        <f t="shared" si="26"/>
        <v>0</v>
      </c>
      <c r="J144" s="20">
        <f t="shared" si="20"/>
        <v>0</v>
      </c>
      <c r="K144" s="20">
        <f t="shared" si="21"/>
        <v>0</v>
      </c>
      <c r="L144" s="20">
        <f t="shared" si="22"/>
        <v>0</v>
      </c>
    </row>
    <row r="145" spans="4:12" x14ac:dyDescent="0.35">
      <c r="D145" s="20" t="str">
        <f t="shared" si="18"/>
        <v/>
      </c>
      <c r="E145" s="21" t="str">
        <f t="shared" si="19"/>
        <v/>
      </c>
      <c r="F145" s="20" t="str">
        <f t="shared" si="23"/>
        <v/>
      </c>
      <c r="G145" s="20">
        <f t="shared" si="24"/>
        <v>0</v>
      </c>
      <c r="H145" s="20">
        <f t="shared" si="25"/>
        <v>0</v>
      </c>
      <c r="I145" s="20">
        <f t="shared" si="26"/>
        <v>0</v>
      </c>
      <c r="J145" s="20">
        <f t="shared" si="20"/>
        <v>0</v>
      </c>
      <c r="K145" s="20">
        <f t="shared" si="21"/>
        <v>0</v>
      </c>
      <c r="L145" s="20">
        <f t="shared" si="22"/>
        <v>0</v>
      </c>
    </row>
    <row r="146" spans="4:12" x14ac:dyDescent="0.35">
      <c r="D146" s="20" t="str">
        <f t="shared" si="18"/>
        <v/>
      </c>
      <c r="E146" s="21" t="str">
        <f t="shared" si="19"/>
        <v/>
      </c>
      <c r="F146" s="20" t="str">
        <f t="shared" si="23"/>
        <v/>
      </c>
      <c r="G146" s="20">
        <f t="shared" si="24"/>
        <v>0</v>
      </c>
      <c r="H146" s="20">
        <f t="shared" si="25"/>
        <v>0</v>
      </c>
      <c r="I146" s="20">
        <f t="shared" si="26"/>
        <v>0</v>
      </c>
      <c r="J146" s="20">
        <f t="shared" si="20"/>
        <v>0</v>
      </c>
      <c r="K146" s="20">
        <f t="shared" si="21"/>
        <v>0</v>
      </c>
      <c r="L146" s="20">
        <f t="shared" si="22"/>
        <v>0</v>
      </c>
    </row>
    <row r="147" spans="4:12" x14ac:dyDescent="0.35">
      <c r="D147" s="20" t="str">
        <f t="shared" si="18"/>
        <v/>
      </c>
      <c r="E147" s="21" t="str">
        <f t="shared" si="19"/>
        <v/>
      </c>
      <c r="F147" s="20" t="str">
        <f t="shared" si="23"/>
        <v/>
      </c>
      <c r="G147" s="20">
        <f t="shared" si="24"/>
        <v>0</v>
      </c>
      <c r="H147" s="20">
        <f t="shared" si="25"/>
        <v>0</v>
      </c>
      <c r="I147" s="20">
        <f t="shared" si="26"/>
        <v>0</v>
      </c>
      <c r="J147" s="20">
        <f t="shared" si="20"/>
        <v>0</v>
      </c>
      <c r="K147" s="20">
        <f t="shared" si="21"/>
        <v>0</v>
      </c>
      <c r="L147" s="20">
        <f t="shared" si="22"/>
        <v>0</v>
      </c>
    </row>
    <row r="148" spans="4:12" x14ac:dyDescent="0.35">
      <c r="D148" s="20" t="str">
        <f t="shared" si="18"/>
        <v/>
      </c>
      <c r="E148" s="21" t="str">
        <f t="shared" si="19"/>
        <v/>
      </c>
      <c r="F148" s="20" t="str">
        <f t="shared" si="23"/>
        <v/>
      </c>
      <c r="G148" s="20">
        <f t="shared" si="24"/>
        <v>0</v>
      </c>
      <c r="H148" s="20">
        <f t="shared" si="25"/>
        <v>0</v>
      </c>
      <c r="I148" s="20">
        <f t="shared" si="26"/>
        <v>0</v>
      </c>
      <c r="J148" s="20">
        <f t="shared" si="20"/>
        <v>0</v>
      </c>
      <c r="K148" s="20">
        <f t="shared" si="21"/>
        <v>0</v>
      </c>
      <c r="L148" s="20">
        <f t="shared" si="22"/>
        <v>0</v>
      </c>
    </row>
    <row r="149" spans="4:12" x14ac:dyDescent="0.35">
      <c r="D149" s="20" t="str">
        <f t="shared" si="18"/>
        <v/>
      </c>
      <c r="E149" s="21" t="str">
        <f t="shared" si="19"/>
        <v/>
      </c>
      <c r="F149" s="20" t="str">
        <f t="shared" si="23"/>
        <v/>
      </c>
      <c r="G149" s="20">
        <f t="shared" si="24"/>
        <v>0</v>
      </c>
      <c r="H149" s="20">
        <f t="shared" si="25"/>
        <v>0</v>
      </c>
      <c r="I149" s="20">
        <f t="shared" si="26"/>
        <v>0</v>
      </c>
      <c r="J149" s="20">
        <f t="shared" si="20"/>
        <v>0</v>
      </c>
      <c r="K149" s="20">
        <f t="shared" si="21"/>
        <v>0</v>
      </c>
      <c r="L149" s="20">
        <f t="shared" si="22"/>
        <v>0</v>
      </c>
    </row>
    <row r="150" spans="4:12" x14ac:dyDescent="0.35">
      <c r="D150" s="20" t="str">
        <f t="shared" si="18"/>
        <v/>
      </c>
      <c r="E150" s="21" t="str">
        <f t="shared" si="19"/>
        <v/>
      </c>
      <c r="F150" s="20" t="str">
        <f t="shared" si="23"/>
        <v/>
      </c>
      <c r="G150" s="20">
        <f t="shared" si="24"/>
        <v>0</v>
      </c>
      <c r="H150" s="20">
        <f t="shared" si="25"/>
        <v>0</v>
      </c>
      <c r="I150" s="20">
        <f t="shared" si="26"/>
        <v>0</v>
      </c>
      <c r="J150" s="20">
        <f t="shared" si="20"/>
        <v>0</v>
      </c>
      <c r="K150" s="20">
        <f t="shared" si="21"/>
        <v>0</v>
      </c>
      <c r="L150" s="20">
        <f t="shared" si="22"/>
        <v>0</v>
      </c>
    </row>
    <row r="151" spans="4:12" x14ac:dyDescent="0.35">
      <c r="D151" s="20" t="str">
        <f t="shared" ref="D151:D214" si="27">IF(D150&lt;=$B$5,D150+1,"")</f>
        <v/>
      </c>
      <c r="E151" s="21" t="str">
        <f t="shared" ref="E151:E214" si="28">IF(D150&lt;=$B$5,E150+$B$6,"")</f>
        <v/>
      </c>
      <c r="F151" s="20" t="str">
        <f t="shared" si="23"/>
        <v/>
      </c>
      <c r="G151" s="20">
        <f t="shared" si="24"/>
        <v>0</v>
      </c>
      <c r="H151" s="20">
        <f t="shared" si="25"/>
        <v>0</v>
      </c>
      <c r="I151" s="20">
        <f t="shared" si="26"/>
        <v>0</v>
      </c>
      <c r="J151" s="20">
        <f t="shared" si="20"/>
        <v>0</v>
      </c>
      <c r="K151" s="20">
        <f t="shared" si="21"/>
        <v>0</v>
      </c>
      <c r="L151" s="20">
        <f t="shared" si="22"/>
        <v>0</v>
      </c>
    </row>
    <row r="152" spans="4:12" x14ac:dyDescent="0.35">
      <c r="D152" s="20" t="str">
        <f t="shared" si="27"/>
        <v/>
      </c>
      <c r="E152" s="21" t="str">
        <f t="shared" si="28"/>
        <v/>
      </c>
      <c r="F152" s="20" t="str">
        <f t="shared" si="23"/>
        <v/>
      </c>
      <c r="G152" s="20">
        <f t="shared" si="24"/>
        <v>0</v>
      </c>
      <c r="H152" s="20">
        <f t="shared" si="25"/>
        <v>0</v>
      </c>
      <c r="I152" s="20">
        <f t="shared" si="26"/>
        <v>0</v>
      </c>
      <c r="J152" s="20">
        <f t="shared" si="20"/>
        <v>0</v>
      </c>
      <c r="K152" s="20">
        <f t="shared" si="21"/>
        <v>0</v>
      </c>
      <c r="L152" s="20">
        <f t="shared" si="22"/>
        <v>0</v>
      </c>
    </row>
    <row r="153" spans="4:12" x14ac:dyDescent="0.35">
      <c r="D153" s="20" t="str">
        <f t="shared" si="27"/>
        <v/>
      </c>
      <c r="E153" s="21" t="str">
        <f t="shared" si="28"/>
        <v/>
      </c>
      <c r="F153" s="20" t="str">
        <f t="shared" si="23"/>
        <v/>
      </c>
      <c r="G153" s="20">
        <f t="shared" si="24"/>
        <v>0</v>
      </c>
      <c r="H153" s="20">
        <f t="shared" si="25"/>
        <v>0</v>
      </c>
      <c r="I153" s="20">
        <f t="shared" si="26"/>
        <v>0</v>
      </c>
      <c r="J153" s="20">
        <f t="shared" si="20"/>
        <v>0</v>
      </c>
      <c r="K153" s="20">
        <f t="shared" si="21"/>
        <v>0</v>
      </c>
      <c r="L153" s="20">
        <f t="shared" si="22"/>
        <v>0</v>
      </c>
    </row>
    <row r="154" spans="4:12" x14ac:dyDescent="0.35">
      <c r="D154" s="20" t="str">
        <f t="shared" si="27"/>
        <v/>
      </c>
      <c r="E154" s="21" t="str">
        <f t="shared" si="28"/>
        <v/>
      </c>
      <c r="F154" s="20" t="str">
        <f t="shared" si="23"/>
        <v/>
      </c>
      <c r="G154" s="20">
        <f t="shared" si="24"/>
        <v>0</v>
      </c>
      <c r="H154" s="20">
        <f t="shared" si="25"/>
        <v>0</v>
      </c>
      <c r="I154" s="20">
        <f t="shared" si="26"/>
        <v>0</v>
      </c>
      <c r="J154" s="20">
        <f t="shared" si="20"/>
        <v>0</v>
      </c>
      <c r="K154" s="20">
        <f t="shared" si="21"/>
        <v>0</v>
      </c>
      <c r="L154" s="20">
        <f t="shared" si="22"/>
        <v>0</v>
      </c>
    </row>
    <row r="155" spans="4:12" x14ac:dyDescent="0.35">
      <c r="D155" s="20" t="str">
        <f t="shared" si="27"/>
        <v/>
      </c>
      <c r="E155" s="21" t="str">
        <f t="shared" si="28"/>
        <v/>
      </c>
      <c r="F155" s="20" t="str">
        <f t="shared" si="23"/>
        <v/>
      </c>
      <c r="G155" s="20">
        <f t="shared" si="24"/>
        <v>0</v>
      </c>
      <c r="H155" s="20">
        <f t="shared" si="25"/>
        <v>0</v>
      </c>
      <c r="I155" s="20">
        <f t="shared" si="26"/>
        <v>0</v>
      </c>
      <c r="J155" s="20">
        <f t="shared" si="20"/>
        <v>0</v>
      </c>
      <c r="K155" s="20">
        <f t="shared" si="21"/>
        <v>0</v>
      </c>
      <c r="L155" s="20">
        <f t="shared" si="22"/>
        <v>0</v>
      </c>
    </row>
    <row r="156" spans="4:12" x14ac:dyDescent="0.35">
      <c r="D156" s="20" t="str">
        <f t="shared" si="27"/>
        <v/>
      </c>
      <c r="E156" s="21" t="str">
        <f t="shared" si="28"/>
        <v/>
      </c>
      <c r="F156" s="20" t="str">
        <f t="shared" si="23"/>
        <v/>
      </c>
      <c r="G156" s="20">
        <f t="shared" si="24"/>
        <v>0</v>
      </c>
      <c r="H156" s="20">
        <f t="shared" si="25"/>
        <v>0</v>
      </c>
      <c r="I156" s="20">
        <f t="shared" si="26"/>
        <v>0</v>
      </c>
      <c r="J156" s="20">
        <f t="shared" si="20"/>
        <v>0</v>
      </c>
      <c r="K156" s="20">
        <f t="shared" si="21"/>
        <v>0</v>
      </c>
      <c r="L156" s="20">
        <f t="shared" si="22"/>
        <v>0</v>
      </c>
    </row>
    <row r="157" spans="4:12" x14ac:dyDescent="0.35">
      <c r="D157" s="20" t="str">
        <f t="shared" si="27"/>
        <v/>
      </c>
      <c r="E157" s="21" t="str">
        <f t="shared" si="28"/>
        <v/>
      </c>
      <c r="F157" s="20" t="str">
        <f t="shared" si="23"/>
        <v/>
      </c>
      <c r="G157" s="20">
        <f t="shared" si="24"/>
        <v>0</v>
      </c>
      <c r="H157" s="20">
        <f t="shared" si="25"/>
        <v>0</v>
      </c>
      <c r="I157" s="20">
        <f t="shared" si="26"/>
        <v>0</v>
      </c>
      <c r="J157" s="20">
        <f t="shared" si="20"/>
        <v>0</v>
      </c>
      <c r="K157" s="20">
        <f t="shared" si="21"/>
        <v>0</v>
      </c>
      <c r="L157" s="20">
        <f t="shared" si="22"/>
        <v>0</v>
      </c>
    </row>
    <row r="158" spans="4:12" x14ac:dyDescent="0.35">
      <c r="D158" s="20" t="str">
        <f t="shared" si="27"/>
        <v/>
      </c>
      <c r="E158" s="21" t="str">
        <f t="shared" si="28"/>
        <v/>
      </c>
      <c r="F158" s="20" t="str">
        <f t="shared" si="23"/>
        <v/>
      </c>
      <c r="G158" s="20">
        <f t="shared" si="24"/>
        <v>0</v>
      </c>
      <c r="H158" s="20">
        <f t="shared" si="25"/>
        <v>0</v>
      </c>
      <c r="I158" s="20">
        <f t="shared" si="26"/>
        <v>0</v>
      </c>
      <c r="J158" s="20">
        <f t="shared" si="20"/>
        <v>0</v>
      </c>
      <c r="K158" s="20">
        <f t="shared" si="21"/>
        <v>0</v>
      </c>
      <c r="L158" s="20">
        <f t="shared" si="22"/>
        <v>0</v>
      </c>
    </row>
    <row r="159" spans="4:12" x14ac:dyDescent="0.35">
      <c r="D159" s="20" t="str">
        <f t="shared" si="27"/>
        <v/>
      </c>
      <c r="E159" s="21" t="str">
        <f t="shared" si="28"/>
        <v/>
      </c>
      <c r="F159" s="20" t="str">
        <f t="shared" si="23"/>
        <v/>
      </c>
      <c r="G159" s="20">
        <f t="shared" si="24"/>
        <v>0</v>
      </c>
      <c r="H159" s="20">
        <f t="shared" si="25"/>
        <v>0</v>
      </c>
      <c r="I159" s="20">
        <f t="shared" si="26"/>
        <v>0</v>
      </c>
      <c r="J159" s="20">
        <f t="shared" si="20"/>
        <v>0</v>
      </c>
      <c r="K159" s="20">
        <f t="shared" si="21"/>
        <v>0</v>
      </c>
      <c r="L159" s="20">
        <f t="shared" si="22"/>
        <v>0</v>
      </c>
    </row>
    <row r="160" spans="4:12" x14ac:dyDescent="0.35">
      <c r="D160" s="20" t="str">
        <f t="shared" si="27"/>
        <v/>
      </c>
      <c r="E160" s="21" t="str">
        <f t="shared" si="28"/>
        <v/>
      </c>
      <c r="F160" s="20" t="str">
        <f t="shared" si="23"/>
        <v/>
      </c>
      <c r="G160" s="20">
        <f t="shared" si="24"/>
        <v>0</v>
      </c>
      <c r="H160" s="20">
        <f t="shared" si="25"/>
        <v>0</v>
      </c>
      <c r="I160" s="20">
        <f t="shared" si="26"/>
        <v>0</v>
      </c>
      <c r="J160" s="20">
        <f t="shared" si="20"/>
        <v>0</v>
      </c>
      <c r="K160" s="20">
        <f t="shared" si="21"/>
        <v>0</v>
      </c>
      <c r="L160" s="20">
        <f t="shared" si="22"/>
        <v>0</v>
      </c>
    </row>
    <row r="161" spans="4:12" x14ac:dyDescent="0.35">
      <c r="D161" s="20" t="str">
        <f t="shared" si="27"/>
        <v/>
      </c>
      <c r="E161" s="21" t="str">
        <f t="shared" si="28"/>
        <v/>
      </c>
      <c r="F161" s="20" t="str">
        <f t="shared" si="23"/>
        <v/>
      </c>
      <c r="G161" s="20">
        <f t="shared" si="24"/>
        <v>0</v>
      </c>
      <c r="H161" s="20">
        <f t="shared" si="25"/>
        <v>0</v>
      </c>
      <c r="I161" s="20">
        <f t="shared" si="26"/>
        <v>0</v>
      </c>
      <c r="J161" s="20">
        <f t="shared" si="20"/>
        <v>0</v>
      </c>
      <c r="K161" s="20">
        <f t="shared" si="21"/>
        <v>0</v>
      </c>
      <c r="L161" s="20">
        <f t="shared" si="22"/>
        <v>0</v>
      </c>
    </row>
    <row r="162" spans="4:12" x14ac:dyDescent="0.35">
      <c r="D162" s="20" t="str">
        <f t="shared" si="27"/>
        <v/>
      </c>
      <c r="E162" s="21" t="str">
        <f t="shared" si="28"/>
        <v/>
      </c>
      <c r="F162" s="20" t="str">
        <f t="shared" si="23"/>
        <v/>
      </c>
      <c r="G162" s="20">
        <f t="shared" si="24"/>
        <v>0</v>
      </c>
      <c r="H162" s="20">
        <f t="shared" si="25"/>
        <v>0</v>
      </c>
      <c r="I162" s="20">
        <f t="shared" si="26"/>
        <v>0</v>
      </c>
      <c r="J162" s="20">
        <f t="shared" si="20"/>
        <v>0</v>
      </c>
      <c r="K162" s="20">
        <f t="shared" si="21"/>
        <v>0</v>
      </c>
      <c r="L162" s="20">
        <f t="shared" si="22"/>
        <v>0</v>
      </c>
    </row>
    <row r="163" spans="4:12" x14ac:dyDescent="0.35">
      <c r="D163" s="20" t="str">
        <f t="shared" si="27"/>
        <v/>
      </c>
      <c r="E163" s="21" t="str">
        <f t="shared" si="28"/>
        <v/>
      </c>
      <c r="F163" s="20" t="str">
        <f t="shared" si="23"/>
        <v/>
      </c>
      <c r="G163" s="20">
        <f t="shared" si="24"/>
        <v>0</v>
      </c>
      <c r="H163" s="20">
        <f t="shared" si="25"/>
        <v>0</v>
      </c>
      <c r="I163" s="20">
        <f t="shared" si="26"/>
        <v>0</v>
      </c>
      <c r="J163" s="20">
        <f t="shared" si="20"/>
        <v>0</v>
      </c>
      <c r="K163" s="20">
        <f t="shared" si="21"/>
        <v>0</v>
      </c>
      <c r="L163" s="20">
        <f t="shared" si="22"/>
        <v>0</v>
      </c>
    </row>
    <row r="164" spans="4:12" x14ac:dyDescent="0.35">
      <c r="D164" s="20" t="str">
        <f t="shared" si="27"/>
        <v/>
      </c>
      <c r="E164" s="21" t="str">
        <f t="shared" si="28"/>
        <v/>
      </c>
      <c r="F164" s="20" t="str">
        <f t="shared" si="23"/>
        <v/>
      </c>
      <c r="G164" s="20">
        <f t="shared" si="24"/>
        <v>0</v>
      </c>
      <c r="H164" s="20">
        <f t="shared" si="25"/>
        <v>0</v>
      </c>
      <c r="I164" s="20">
        <f t="shared" si="26"/>
        <v>0</v>
      </c>
      <c r="J164" s="20">
        <f t="shared" si="20"/>
        <v>0</v>
      </c>
      <c r="K164" s="20">
        <f t="shared" si="21"/>
        <v>0</v>
      </c>
      <c r="L164" s="20">
        <f t="shared" si="22"/>
        <v>0</v>
      </c>
    </row>
    <row r="165" spans="4:12" x14ac:dyDescent="0.35">
      <c r="D165" s="20" t="str">
        <f t="shared" si="27"/>
        <v/>
      </c>
      <c r="E165" s="21" t="str">
        <f t="shared" si="28"/>
        <v/>
      </c>
      <c r="F165" s="20" t="str">
        <f t="shared" si="23"/>
        <v/>
      </c>
      <c r="G165" s="20">
        <f t="shared" si="24"/>
        <v>0</v>
      </c>
      <c r="H165" s="20">
        <f t="shared" si="25"/>
        <v>0</v>
      </c>
      <c r="I165" s="20">
        <f t="shared" si="26"/>
        <v>0</v>
      </c>
      <c r="J165" s="20">
        <f t="shared" si="20"/>
        <v>0</v>
      </c>
      <c r="K165" s="20">
        <f t="shared" si="21"/>
        <v>0</v>
      </c>
      <c r="L165" s="20">
        <f t="shared" si="22"/>
        <v>0</v>
      </c>
    </row>
    <row r="166" spans="4:12" x14ac:dyDescent="0.35">
      <c r="D166" s="20" t="str">
        <f t="shared" si="27"/>
        <v/>
      </c>
      <c r="E166" s="21" t="str">
        <f t="shared" si="28"/>
        <v/>
      </c>
      <c r="F166" s="20" t="str">
        <f t="shared" si="23"/>
        <v/>
      </c>
      <c r="G166" s="20">
        <f t="shared" si="24"/>
        <v>0</v>
      </c>
      <c r="H166" s="20">
        <f t="shared" si="25"/>
        <v>0</v>
      </c>
      <c r="I166" s="20">
        <f t="shared" si="26"/>
        <v>0</v>
      </c>
      <c r="J166" s="20">
        <f t="shared" si="20"/>
        <v>0</v>
      </c>
      <c r="K166" s="20">
        <f t="shared" si="21"/>
        <v>0</v>
      </c>
      <c r="L166" s="20">
        <f t="shared" si="22"/>
        <v>0</v>
      </c>
    </row>
    <row r="167" spans="4:12" x14ac:dyDescent="0.35">
      <c r="D167" s="20" t="str">
        <f t="shared" si="27"/>
        <v/>
      </c>
      <c r="E167" s="21" t="str">
        <f t="shared" si="28"/>
        <v/>
      </c>
      <c r="F167" s="20" t="str">
        <f t="shared" si="23"/>
        <v/>
      </c>
      <c r="G167" s="20">
        <f t="shared" si="24"/>
        <v>0</v>
      </c>
      <c r="H167" s="20">
        <f t="shared" si="25"/>
        <v>0</v>
      </c>
      <c r="I167" s="20">
        <f t="shared" si="26"/>
        <v>0</v>
      </c>
      <c r="J167" s="20">
        <f t="shared" si="20"/>
        <v>0</v>
      </c>
      <c r="K167" s="20">
        <f t="shared" si="21"/>
        <v>0</v>
      </c>
      <c r="L167" s="20">
        <f t="shared" si="22"/>
        <v>0</v>
      </c>
    </row>
    <row r="168" spans="4:12" x14ac:dyDescent="0.35">
      <c r="D168" s="20" t="str">
        <f t="shared" si="27"/>
        <v/>
      </c>
      <c r="E168" s="21" t="str">
        <f t="shared" si="28"/>
        <v/>
      </c>
      <c r="F168" s="20" t="str">
        <f t="shared" si="23"/>
        <v/>
      </c>
      <c r="G168" s="20">
        <f t="shared" si="24"/>
        <v>0</v>
      </c>
      <c r="H168" s="20">
        <f t="shared" si="25"/>
        <v>0</v>
      </c>
      <c r="I168" s="20">
        <f t="shared" si="26"/>
        <v>0</v>
      </c>
      <c r="J168" s="20">
        <f t="shared" si="20"/>
        <v>0</v>
      </c>
      <c r="K168" s="20">
        <f t="shared" si="21"/>
        <v>0</v>
      </c>
      <c r="L168" s="20">
        <f t="shared" si="22"/>
        <v>0</v>
      </c>
    </row>
    <row r="169" spans="4:12" x14ac:dyDescent="0.35">
      <c r="D169" s="20" t="str">
        <f t="shared" si="27"/>
        <v/>
      </c>
      <c r="E169" s="21" t="str">
        <f t="shared" si="28"/>
        <v/>
      </c>
      <c r="F169" s="20" t="str">
        <f t="shared" si="23"/>
        <v/>
      </c>
      <c r="G169" s="20">
        <f t="shared" si="24"/>
        <v>0</v>
      </c>
      <c r="H169" s="20">
        <f t="shared" si="25"/>
        <v>0</v>
      </c>
      <c r="I169" s="20">
        <f t="shared" si="26"/>
        <v>0</v>
      </c>
      <c r="J169" s="20">
        <f t="shared" si="20"/>
        <v>0</v>
      </c>
      <c r="K169" s="20">
        <f t="shared" si="21"/>
        <v>0</v>
      </c>
      <c r="L169" s="20">
        <f t="shared" si="22"/>
        <v>0</v>
      </c>
    </row>
    <row r="170" spans="4:12" x14ac:dyDescent="0.35">
      <c r="D170" s="20" t="str">
        <f t="shared" si="27"/>
        <v/>
      </c>
      <c r="E170" s="21" t="str">
        <f t="shared" si="28"/>
        <v/>
      </c>
      <c r="F170" s="20" t="str">
        <f t="shared" si="23"/>
        <v/>
      </c>
      <c r="G170" s="20">
        <f t="shared" si="24"/>
        <v>0</v>
      </c>
      <c r="H170" s="20">
        <f t="shared" si="25"/>
        <v>0</v>
      </c>
      <c r="I170" s="20">
        <f t="shared" si="26"/>
        <v>0</v>
      </c>
      <c r="J170" s="20">
        <f t="shared" si="20"/>
        <v>0</v>
      </c>
      <c r="K170" s="20">
        <f t="shared" si="21"/>
        <v>0</v>
      </c>
      <c r="L170" s="20">
        <f t="shared" si="22"/>
        <v>0</v>
      </c>
    </row>
    <row r="171" spans="4:12" x14ac:dyDescent="0.35">
      <c r="D171" s="20" t="str">
        <f t="shared" si="27"/>
        <v/>
      </c>
      <c r="E171" s="21" t="str">
        <f t="shared" si="28"/>
        <v/>
      </c>
      <c r="F171" s="20" t="str">
        <f t="shared" si="23"/>
        <v/>
      </c>
      <c r="G171" s="20">
        <f t="shared" si="24"/>
        <v>0</v>
      </c>
      <c r="H171" s="20">
        <f t="shared" si="25"/>
        <v>0</v>
      </c>
      <c r="I171" s="20">
        <f t="shared" si="26"/>
        <v>0</v>
      </c>
      <c r="J171" s="20">
        <f t="shared" si="20"/>
        <v>0</v>
      </c>
      <c r="K171" s="20">
        <f t="shared" si="21"/>
        <v>0</v>
      </c>
      <c r="L171" s="20">
        <f t="shared" si="22"/>
        <v>0</v>
      </c>
    </row>
    <row r="172" spans="4:12" x14ac:dyDescent="0.35">
      <c r="D172" s="20" t="str">
        <f t="shared" si="27"/>
        <v/>
      </c>
      <c r="E172" s="21" t="str">
        <f t="shared" si="28"/>
        <v/>
      </c>
      <c r="F172" s="20" t="str">
        <f t="shared" si="23"/>
        <v/>
      </c>
      <c r="G172" s="20">
        <f t="shared" si="24"/>
        <v>0</v>
      </c>
      <c r="H172" s="20">
        <f t="shared" si="25"/>
        <v>0</v>
      </c>
      <c r="I172" s="20">
        <f t="shared" si="26"/>
        <v>0</v>
      </c>
      <c r="J172" s="20">
        <f t="shared" si="20"/>
        <v>0</v>
      </c>
      <c r="K172" s="20">
        <f t="shared" si="21"/>
        <v>0</v>
      </c>
      <c r="L172" s="20">
        <f t="shared" si="22"/>
        <v>0</v>
      </c>
    </row>
    <row r="173" spans="4:12" x14ac:dyDescent="0.35">
      <c r="D173" s="20" t="str">
        <f t="shared" si="27"/>
        <v/>
      </c>
      <c r="E173" s="21" t="str">
        <f t="shared" si="28"/>
        <v/>
      </c>
      <c r="F173" s="20" t="str">
        <f t="shared" si="23"/>
        <v/>
      </c>
      <c r="G173" s="20">
        <f t="shared" si="24"/>
        <v>0</v>
      </c>
      <c r="H173" s="20">
        <f t="shared" si="25"/>
        <v>0</v>
      </c>
      <c r="I173" s="20">
        <f t="shared" si="26"/>
        <v>0</v>
      </c>
      <c r="J173" s="20">
        <f t="shared" si="20"/>
        <v>0</v>
      </c>
      <c r="K173" s="20">
        <f t="shared" si="21"/>
        <v>0</v>
      </c>
      <c r="L173" s="20">
        <f t="shared" si="22"/>
        <v>0</v>
      </c>
    </row>
    <row r="174" spans="4:12" x14ac:dyDescent="0.35">
      <c r="D174" s="20" t="str">
        <f t="shared" si="27"/>
        <v/>
      </c>
      <c r="E174" s="21" t="str">
        <f t="shared" si="28"/>
        <v/>
      </c>
      <c r="F174" s="20" t="str">
        <f t="shared" si="23"/>
        <v/>
      </c>
      <c r="G174" s="20">
        <f t="shared" si="24"/>
        <v>0</v>
      </c>
      <c r="H174" s="20">
        <f t="shared" si="25"/>
        <v>0</v>
      </c>
      <c r="I174" s="20">
        <f t="shared" si="26"/>
        <v>0</v>
      </c>
      <c r="J174" s="20">
        <f t="shared" si="20"/>
        <v>0</v>
      </c>
      <c r="K174" s="20">
        <f t="shared" si="21"/>
        <v>0</v>
      </c>
      <c r="L174" s="20">
        <f t="shared" si="22"/>
        <v>0</v>
      </c>
    </row>
    <row r="175" spans="4:12" x14ac:dyDescent="0.35">
      <c r="D175" s="20" t="str">
        <f t="shared" si="27"/>
        <v/>
      </c>
      <c r="E175" s="21" t="str">
        <f t="shared" si="28"/>
        <v/>
      </c>
      <c r="F175" s="20" t="str">
        <f t="shared" si="23"/>
        <v/>
      </c>
      <c r="G175" s="20">
        <f t="shared" si="24"/>
        <v>0</v>
      </c>
      <c r="H175" s="20">
        <f t="shared" si="25"/>
        <v>0</v>
      </c>
      <c r="I175" s="20">
        <f t="shared" si="26"/>
        <v>0</v>
      </c>
      <c r="J175" s="20">
        <f t="shared" si="20"/>
        <v>0</v>
      </c>
      <c r="K175" s="20">
        <f t="shared" si="21"/>
        <v>0</v>
      </c>
      <c r="L175" s="20">
        <f t="shared" si="22"/>
        <v>0</v>
      </c>
    </row>
    <row r="176" spans="4:12" x14ac:dyDescent="0.35">
      <c r="D176" s="20" t="str">
        <f t="shared" si="27"/>
        <v/>
      </c>
      <c r="E176" s="21" t="str">
        <f t="shared" si="28"/>
        <v/>
      </c>
      <c r="F176" s="20" t="str">
        <f t="shared" si="23"/>
        <v/>
      </c>
      <c r="G176" s="20">
        <f t="shared" si="24"/>
        <v>0</v>
      </c>
      <c r="H176" s="20">
        <f t="shared" si="25"/>
        <v>0</v>
      </c>
      <c r="I176" s="20">
        <f t="shared" si="26"/>
        <v>0</v>
      </c>
      <c r="J176" s="20">
        <f t="shared" si="20"/>
        <v>0</v>
      </c>
      <c r="K176" s="20">
        <f t="shared" si="21"/>
        <v>0</v>
      </c>
      <c r="L176" s="20">
        <f t="shared" si="22"/>
        <v>0</v>
      </c>
    </row>
    <row r="177" spans="4:12" x14ac:dyDescent="0.35">
      <c r="D177" s="20" t="str">
        <f t="shared" si="27"/>
        <v/>
      </c>
      <c r="E177" s="21" t="str">
        <f t="shared" si="28"/>
        <v/>
      </c>
      <c r="F177" s="20" t="str">
        <f t="shared" si="23"/>
        <v/>
      </c>
      <c r="G177" s="20">
        <f t="shared" si="24"/>
        <v>0</v>
      </c>
      <c r="H177" s="20">
        <f t="shared" si="25"/>
        <v>0</v>
      </c>
      <c r="I177" s="20">
        <f t="shared" si="26"/>
        <v>0</v>
      </c>
      <c r="J177" s="20">
        <f t="shared" si="20"/>
        <v>0</v>
      </c>
      <c r="K177" s="20">
        <f t="shared" si="21"/>
        <v>0</v>
      </c>
      <c r="L177" s="20">
        <f t="shared" si="22"/>
        <v>0</v>
      </c>
    </row>
    <row r="178" spans="4:12" x14ac:dyDescent="0.35">
      <c r="D178" s="20" t="str">
        <f t="shared" si="27"/>
        <v/>
      </c>
      <c r="E178" s="21" t="str">
        <f t="shared" si="28"/>
        <v/>
      </c>
      <c r="F178" s="20" t="str">
        <f t="shared" si="23"/>
        <v/>
      </c>
      <c r="G178" s="20">
        <f t="shared" si="24"/>
        <v>0</v>
      </c>
      <c r="H178" s="20">
        <f t="shared" si="25"/>
        <v>0</v>
      </c>
      <c r="I178" s="20">
        <f t="shared" si="26"/>
        <v>0</v>
      </c>
      <c r="J178" s="20">
        <f t="shared" si="20"/>
        <v>0</v>
      </c>
      <c r="K178" s="20">
        <f t="shared" si="21"/>
        <v>0</v>
      </c>
      <c r="L178" s="20">
        <f t="shared" si="22"/>
        <v>0</v>
      </c>
    </row>
    <row r="179" spans="4:12" x14ac:dyDescent="0.35">
      <c r="D179" s="20" t="str">
        <f t="shared" si="27"/>
        <v/>
      </c>
      <c r="E179" s="21" t="str">
        <f t="shared" si="28"/>
        <v/>
      </c>
      <c r="F179" s="20" t="str">
        <f t="shared" si="23"/>
        <v/>
      </c>
      <c r="G179" s="20">
        <f t="shared" si="24"/>
        <v>0</v>
      </c>
      <c r="H179" s="20">
        <f t="shared" si="25"/>
        <v>0</v>
      </c>
      <c r="I179" s="20">
        <f t="shared" si="26"/>
        <v>0</v>
      </c>
      <c r="J179" s="20">
        <f t="shared" si="20"/>
        <v>0</v>
      </c>
      <c r="K179" s="20">
        <f t="shared" si="21"/>
        <v>0</v>
      </c>
      <c r="L179" s="20">
        <f t="shared" si="22"/>
        <v>0</v>
      </c>
    </row>
    <row r="180" spans="4:12" x14ac:dyDescent="0.35">
      <c r="D180" s="20" t="str">
        <f t="shared" si="27"/>
        <v/>
      </c>
      <c r="E180" s="21" t="str">
        <f t="shared" si="28"/>
        <v/>
      </c>
      <c r="F180" s="20" t="str">
        <f t="shared" si="23"/>
        <v/>
      </c>
      <c r="G180" s="20">
        <f t="shared" si="24"/>
        <v>0</v>
      </c>
      <c r="H180" s="20">
        <f t="shared" si="25"/>
        <v>0</v>
      </c>
      <c r="I180" s="20">
        <f t="shared" si="26"/>
        <v>0</v>
      </c>
      <c r="J180" s="20">
        <f t="shared" si="20"/>
        <v>0</v>
      </c>
      <c r="K180" s="20">
        <f t="shared" si="21"/>
        <v>0</v>
      </c>
      <c r="L180" s="20">
        <f t="shared" si="22"/>
        <v>0</v>
      </c>
    </row>
    <row r="181" spans="4:12" x14ac:dyDescent="0.35">
      <c r="D181" s="20" t="str">
        <f t="shared" si="27"/>
        <v/>
      </c>
      <c r="E181" s="21" t="str">
        <f t="shared" si="28"/>
        <v/>
      </c>
      <c r="F181" s="20" t="str">
        <f t="shared" si="23"/>
        <v/>
      </c>
      <c r="G181" s="20">
        <f t="shared" si="24"/>
        <v>0</v>
      </c>
      <c r="H181" s="20">
        <f t="shared" si="25"/>
        <v>0</v>
      </c>
      <c r="I181" s="20">
        <f t="shared" si="26"/>
        <v>0</v>
      </c>
      <c r="J181" s="20">
        <f t="shared" si="20"/>
        <v>0</v>
      </c>
      <c r="K181" s="20">
        <f t="shared" si="21"/>
        <v>0</v>
      </c>
      <c r="L181" s="20">
        <f t="shared" si="22"/>
        <v>0</v>
      </c>
    </row>
    <row r="182" spans="4:12" x14ac:dyDescent="0.35">
      <c r="D182" s="20" t="str">
        <f t="shared" si="27"/>
        <v/>
      </c>
      <c r="E182" s="21" t="str">
        <f t="shared" si="28"/>
        <v/>
      </c>
      <c r="F182" s="20" t="str">
        <f t="shared" si="23"/>
        <v/>
      </c>
      <c r="G182" s="20">
        <f t="shared" si="24"/>
        <v>0</v>
      </c>
      <c r="H182" s="20">
        <f t="shared" si="25"/>
        <v>0</v>
      </c>
      <c r="I182" s="20">
        <f t="shared" si="26"/>
        <v>0</v>
      </c>
      <c r="J182" s="20">
        <f t="shared" si="20"/>
        <v>0</v>
      </c>
      <c r="K182" s="20">
        <f t="shared" si="21"/>
        <v>0</v>
      </c>
      <c r="L182" s="20">
        <f t="shared" si="22"/>
        <v>0</v>
      </c>
    </row>
    <row r="183" spans="4:12" x14ac:dyDescent="0.35">
      <c r="D183" s="20" t="str">
        <f t="shared" si="27"/>
        <v/>
      </c>
      <c r="E183" s="21" t="str">
        <f t="shared" si="28"/>
        <v/>
      </c>
      <c r="F183" s="20" t="str">
        <f t="shared" si="23"/>
        <v/>
      </c>
      <c r="G183" s="20">
        <f t="shared" si="24"/>
        <v>0</v>
      </c>
      <c r="H183" s="20">
        <f t="shared" si="25"/>
        <v>0</v>
      </c>
      <c r="I183" s="20">
        <f t="shared" si="26"/>
        <v>0</v>
      </c>
      <c r="J183" s="20">
        <f t="shared" si="20"/>
        <v>0</v>
      </c>
      <c r="K183" s="20">
        <f t="shared" si="21"/>
        <v>0</v>
      </c>
      <c r="L183" s="20">
        <f t="shared" si="22"/>
        <v>0</v>
      </c>
    </row>
    <row r="184" spans="4:12" x14ac:dyDescent="0.35">
      <c r="D184" s="20" t="str">
        <f t="shared" si="27"/>
        <v/>
      </c>
      <c r="E184" s="21" t="str">
        <f t="shared" si="28"/>
        <v/>
      </c>
      <c r="F184" s="20" t="str">
        <f t="shared" si="23"/>
        <v/>
      </c>
      <c r="G184" s="20">
        <f t="shared" si="24"/>
        <v>0</v>
      </c>
      <c r="H184" s="20">
        <f t="shared" si="25"/>
        <v>0</v>
      </c>
      <c r="I184" s="20">
        <f t="shared" si="26"/>
        <v>0</v>
      </c>
      <c r="J184" s="20">
        <f t="shared" si="20"/>
        <v>0</v>
      </c>
      <c r="K184" s="20">
        <f t="shared" si="21"/>
        <v>0</v>
      </c>
      <c r="L184" s="20">
        <f t="shared" si="22"/>
        <v>0</v>
      </c>
    </row>
    <row r="185" spans="4:12" x14ac:dyDescent="0.35">
      <c r="D185" s="20" t="str">
        <f t="shared" si="27"/>
        <v/>
      </c>
      <c r="E185" s="21" t="str">
        <f t="shared" si="28"/>
        <v/>
      </c>
      <c r="F185" s="20" t="str">
        <f t="shared" si="23"/>
        <v/>
      </c>
      <c r="G185" s="20">
        <f t="shared" si="24"/>
        <v>0</v>
      </c>
      <c r="H185" s="20">
        <f t="shared" si="25"/>
        <v>0</v>
      </c>
      <c r="I185" s="20">
        <f t="shared" si="26"/>
        <v>0</v>
      </c>
      <c r="J185" s="20">
        <f t="shared" si="20"/>
        <v>0</v>
      </c>
      <c r="K185" s="20">
        <f t="shared" si="21"/>
        <v>0</v>
      </c>
      <c r="L185" s="20">
        <f t="shared" si="22"/>
        <v>0</v>
      </c>
    </row>
    <row r="186" spans="4:12" x14ac:dyDescent="0.35">
      <c r="D186" s="20" t="str">
        <f t="shared" si="27"/>
        <v/>
      </c>
      <c r="E186" s="21" t="str">
        <f t="shared" si="28"/>
        <v/>
      </c>
      <c r="F186" s="20" t="str">
        <f t="shared" si="23"/>
        <v/>
      </c>
      <c r="G186" s="20">
        <f t="shared" si="24"/>
        <v>0</v>
      </c>
      <c r="H186" s="20">
        <f t="shared" si="25"/>
        <v>0</v>
      </c>
      <c r="I186" s="20">
        <f t="shared" si="26"/>
        <v>0</v>
      </c>
      <c r="J186" s="20">
        <f t="shared" si="20"/>
        <v>0</v>
      </c>
      <c r="K186" s="20">
        <f t="shared" si="21"/>
        <v>0</v>
      </c>
      <c r="L186" s="20">
        <f t="shared" si="22"/>
        <v>0</v>
      </c>
    </row>
    <row r="187" spans="4:12" x14ac:dyDescent="0.35">
      <c r="D187" s="20" t="str">
        <f t="shared" si="27"/>
        <v/>
      </c>
      <c r="E187" s="21" t="str">
        <f t="shared" si="28"/>
        <v/>
      </c>
      <c r="F187" s="20" t="str">
        <f t="shared" si="23"/>
        <v/>
      </c>
      <c r="G187" s="20">
        <f t="shared" si="24"/>
        <v>0</v>
      </c>
      <c r="H187" s="20">
        <f t="shared" si="25"/>
        <v>0</v>
      </c>
      <c r="I187" s="20">
        <f t="shared" si="26"/>
        <v>0</v>
      </c>
      <c r="J187" s="20">
        <f t="shared" si="20"/>
        <v>0</v>
      </c>
      <c r="K187" s="20">
        <f t="shared" si="21"/>
        <v>0</v>
      </c>
      <c r="L187" s="20">
        <f t="shared" si="22"/>
        <v>0</v>
      </c>
    </row>
    <row r="188" spans="4:12" x14ac:dyDescent="0.35">
      <c r="D188" s="20" t="str">
        <f t="shared" si="27"/>
        <v/>
      </c>
      <c r="E188" s="21" t="str">
        <f t="shared" si="28"/>
        <v/>
      </c>
      <c r="F188" s="20" t="str">
        <f t="shared" si="23"/>
        <v/>
      </c>
      <c r="G188" s="20">
        <f t="shared" si="24"/>
        <v>0</v>
      </c>
      <c r="H188" s="20">
        <f t="shared" si="25"/>
        <v>0</v>
      </c>
      <c r="I188" s="20">
        <f t="shared" si="26"/>
        <v>0</v>
      </c>
      <c r="J188" s="20">
        <f t="shared" si="20"/>
        <v>0</v>
      </c>
      <c r="K188" s="20">
        <f t="shared" si="21"/>
        <v>0</v>
      </c>
      <c r="L188" s="20">
        <f t="shared" si="22"/>
        <v>0</v>
      </c>
    </row>
    <row r="189" spans="4:12" x14ac:dyDescent="0.35">
      <c r="D189" s="20" t="str">
        <f t="shared" si="27"/>
        <v/>
      </c>
      <c r="E189" s="21" t="str">
        <f t="shared" si="28"/>
        <v/>
      </c>
      <c r="F189" s="20" t="str">
        <f t="shared" si="23"/>
        <v/>
      </c>
      <c r="G189" s="20">
        <f t="shared" si="24"/>
        <v>0</v>
      </c>
      <c r="H189" s="20">
        <f t="shared" si="25"/>
        <v>0</v>
      </c>
      <c r="I189" s="20">
        <f t="shared" si="26"/>
        <v>0</v>
      </c>
      <c r="J189" s="20">
        <f t="shared" si="20"/>
        <v>0</v>
      </c>
      <c r="K189" s="20">
        <f t="shared" si="21"/>
        <v>0</v>
      </c>
      <c r="L189" s="20">
        <f t="shared" si="22"/>
        <v>0</v>
      </c>
    </row>
    <row r="190" spans="4:12" x14ac:dyDescent="0.35">
      <c r="D190" s="20" t="str">
        <f t="shared" si="27"/>
        <v/>
      </c>
      <c r="E190" s="21" t="str">
        <f t="shared" si="28"/>
        <v/>
      </c>
      <c r="F190" s="20" t="str">
        <f t="shared" si="23"/>
        <v/>
      </c>
      <c r="G190" s="20">
        <f t="shared" si="24"/>
        <v>0</v>
      </c>
      <c r="H190" s="20">
        <f t="shared" si="25"/>
        <v>0</v>
      </c>
      <c r="I190" s="20">
        <f t="shared" si="26"/>
        <v>0</v>
      </c>
      <c r="J190" s="20">
        <f t="shared" si="20"/>
        <v>0</v>
      </c>
      <c r="K190" s="20">
        <f t="shared" si="21"/>
        <v>0</v>
      </c>
      <c r="L190" s="20">
        <f t="shared" si="22"/>
        <v>0</v>
      </c>
    </row>
    <row r="191" spans="4:12" x14ac:dyDescent="0.35">
      <c r="D191" s="20" t="str">
        <f t="shared" si="27"/>
        <v/>
      </c>
      <c r="E191" s="21" t="str">
        <f t="shared" si="28"/>
        <v/>
      </c>
      <c r="F191" s="20" t="str">
        <f t="shared" si="23"/>
        <v/>
      </c>
      <c r="G191" s="20">
        <f t="shared" si="24"/>
        <v>0</v>
      </c>
      <c r="H191" s="20">
        <f t="shared" si="25"/>
        <v>0</v>
      </c>
      <c r="I191" s="20">
        <f t="shared" si="26"/>
        <v>0</v>
      </c>
      <c r="J191" s="20">
        <f t="shared" si="20"/>
        <v>0</v>
      </c>
      <c r="K191" s="20">
        <f t="shared" si="21"/>
        <v>0</v>
      </c>
      <c r="L191" s="20">
        <f t="shared" si="22"/>
        <v>0</v>
      </c>
    </row>
    <row r="192" spans="4:12" x14ac:dyDescent="0.35">
      <c r="D192" s="20" t="str">
        <f t="shared" si="27"/>
        <v/>
      </c>
      <c r="E192" s="21" t="str">
        <f t="shared" si="28"/>
        <v/>
      </c>
      <c r="F192" s="20" t="str">
        <f t="shared" si="23"/>
        <v/>
      </c>
      <c r="G192" s="20">
        <f t="shared" si="24"/>
        <v>0</v>
      </c>
      <c r="H192" s="20">
        <f t="shared" si="25"/>
        <v>0</v>
      </c>
      <c r="I192" s="20">
        <f t="shared" si="26"/>
        <v>0</v>
      </c>
      <c r="J192" s="20">
        <f t="shared" si="20"/>
        <v>0</v>
      </c>
      <c r="K192" s="20">
        <f t="shared" si="21"/>
        <v>0</v>
      </c>
      <c r="L192" s="20">
        <f t="shared" si="22"/>
        <v>0</v>
      </c>
    </row>
    <row r="193" spans="4:12" x14ac:dyDescent="0.35">
      <c r="D193" s="20" t="str">
        <f t="shared" si="27"/>
        <v/>
      </c>
      <c r="E193" s="21" t="str">
        <f t="shared" si="28"/>
        <v/>
      </c>
      <c r="F193" s="20" t="str">
        <f t="shared" si="23"/>
        <v/>
      </c>
      <c r="G193" s="20">
        <f t="shared" si="24"/>
        <v>0</v>
      </c>
      <c r="H193" s="20">
        <f t="shared" si="25"/>
        <v>0</v>
      </c>
      <c r="I193" s="20">
        <f t="shared" si="26"/>
        <v>0</v>
      </c>
      <c r="J193" s="20">
        <f t="shared" si="20"/>
        <v>0</v>
      </c>
      <c r="K193" s="20">
        <f t="shared" si="21"/>
        <v>0</v>
      </c>
      <c r="L193" s="20">
        <f t="shared" si="22"/>
        <v>0</v>
      </c>
    </row>
    <row r="194" spans="4:12" x14ac:dyDescent="0.35">
      <c r="D194" s="20" t="str">
        <f t="shared" si="27"/>
        <v/>
      </c>
      <c r="E194" s="21" t="str">
        <f t="shared" si="28"/>
        <v/>
      </c>
      <c r="F194" s="20" t="str">
        <f t="shared" si="23"/>
        <v/>
      </c>
      <c r="G194" s="20">
        <f t="shared" si="24"/>
        <v>0</v>
      </c>
      <c r="H194" s="20">
        <f t="shared" si="25"/>
        <v>0</v>
      </c>
      <c r="I194" s="20">
        <f t="shared" si="26"/>
        <v>0</v>
      </c>
      <c r="J194" s="20">
        <f t="shared" si="20"/>
        <v>0</v>
      </c>
      <c r="K194" s="20">
        <f t="shared" si="21"/>
        <v>0</v>
      </c>
      <c r="L194" s="20">
        <f t="shared" si="22"/>
        <v>0</v>
      </c>
    </row>
    <row r="195" spans="4:12" x14ac:dyDescent="0.35">
      <c r="D195" s="20" t="str">
        <f t="shared" si="27"/>
        <v/>
      </c>
      <c r="E195" s="21" t="str">
        <f t="shared" si="28"/>
        <v/>
      </c>
      <c r="F195" s="20" t="str">
        <f t="shared" si="23"/>
        <v/>
      </c>
      <c r="G195" s="20">
        <f t="shared" si="24"/>
        <v>0</v>
      </c>
      <c r="H195" s="20">
        <f t="shared" si="25"/>
        <v>0</v>
      </c>
      <c r="I195" s="20">
        <f t="shared" si="26"/>
        <v>0</v>
      </c>
      <c r="J195" s="20">
        <f t="shared" ref="J195:J258" si="29">ABS(G195)</f>
        <v>0</v>
      </c>
      <c r="K195" s="20">
        <f t="shared" ref="K195:K258" si="30">ABS(H195)</f>
        <v>0</v>
      </c>
      <c r="L195" s="20">
        <f t="shared" ref="L195:L258" si="31">ABS(I195)</f>
        <v>0</v>
      </c>
    </row>
    <row r="196" spans="4:12" x14ac:dyDescent="0.35">
      <c r="D196" s="20" t="str">
        <f t="shared" si="27"/>
        <v/>
      </c>
      <c r="E196" s="21" t="str">
        <f t="shared" si="28"/>
        <v/>
      </c>
      <c r="F196" s="20" t="str">
        <f t="shared" ref="F196:F259" si="32">IF(D195&lt;=$B$5,((3*E196^2)-(4*E196)*(SIN(1.4*E196^3)^2))/((0.4*E196^2+1)^(1/4)),"")</f>
        <v/>
      </c>
      <c r="G196" s="20">
        <f t="shared" ref="G196:G259" si="33">IF(D196=$B$5+1,F196,0)</f>
        <v>0</v>
      </c>
      <c r="H196" s="20">
        <f t="shared" ref="H196:H259" si="34">IF(D195&lt;$B$5,F196*MOD(D195,2),0)</f>
        <v>0</v>
      </c>
      <c r="I196" s="20">
        <f t="shared" ref="I196:I259" si="35">IF(D195&lt;$B$5,F196*MOD(D196,2),0)</f>
        <v>0</v>
      </c>
      <c r="J196" s="20">
        <f t="shared" si="29"/>
        <v>0</v>
      </c>
      <c r="K196" s="20">
        <f t="shared" si="30"/>
        <v>0</v>
      </c>
      <c r="L196" s="20">
        <f t="shared" si="31"/>
        <v>0</v>
      </c>
    </row>
    <row r="197" spans="4:12" x14ac:dyDescent="0.35">
      <c r="D197" s="20" t="str">
        <f t="shared" si="27"/>
        <v/>
      </c>
      <c r="E197" s="21" t="str">
        <f t="shared" si="28"/>
        <v/>
      </c>
      <c r="F197" s="20" t="str">
        <f t="shared" si="32"/>
        <v/>
      </c>
      <c r="G197" s="20">
        <f t="shared" si="33"/>
        <v>0</v>
      </c>
      <c r="H197" s="20">
        <f t="shared" si="34"/>
        <v>0</v>
      </c>
      <c r="I197" s="20">
        <f t="shared" si="35"/>
        <v>0</v>
      </c>
      <c r="J197" s="20">
        <f t="shared" si="29"/>
        <v>0</v>
      </c>
      <c r="K197" s="20">
        <f t="shared" si="30"/>
        <v>0</v>
      </c>
      <c r="L197" s="20">
        <f t="shared" si="31"/>
        <v>0</v>
      </c>
    </row>
    <row r="198" spans="4:12" x14ac:dyDescent="0.35">
      <c r="D198" s="20" t="str">
        <f t="shared" si="27"/>
        <v/>
      </c>
      <c r="E198" s="21" t="str">
        <f t="shared" si="28"/>
        <v/>
      </c>
      <c r="F198" s="20" t="str">
        <f t="shared" si="32"/>
        <v/>
      </c>
      <c r="G198" s="20">
        <f t="shared" si="33"/>
        <v>0</v>
      </c>
      <c r="H198" s="20">
        <f t="shared" si="34"/>
        <v>0</v>
      </c>
      <c r="I198" s="20">
        <f t="shared" si="35"/>
        <v>0</v>
      </c>
      <c r="J198" s="20">
        <f t="shared" si="29"/>
        <v>0</v>
      </c>
      <c r="K198" s="20">
        <f t="shared" si="30"/>
        <v>0</v>
      </c>
      <c r="L198" s="20">
        <f t="shared" si="31"/>
        <v>0</v>
      </c>
    </row>
    <row r="199" spans="4:12" x14ac:dyDescent="0.35">
      <c r="D199" s="20" t="str">
        <f t="shared" si="27"/>
        <v/>
      </c>
      <c r="E199" s="21" t="str">
        <f t="shared" si="28"/>
        <v/>
      </c>
      <c r="F199" s="20" t="str">
        <f t="shared" si="32"/>
        <v/>
      </c>
      <c r="G199" s="20">
        <f t="shared" si="33"/>
        <v>0</v>
      </c>
      <c r="H199" s="20">
        <f t="shared" si="34"/>
        <v>0</v>
      </c>
      <c r="I199" s="20">
        <f t="shared" si="35"/>
        <v>0</v>
      </c>
      <c r="J199" s="20">
        <f t="shared" si="29"/>
        <v>0</v>
      </c>
      <c r="K199" s="20">
        <f t="shared" si="30"/>
        <v>0</v>
      </c>
      <c r="L199" s="20">
        <f t="shared" si="31"/>
        <v>0</v>
      </c>
    </row>
    <row r="200" spans="4:12" x14ac:dyDescent="0.35">
      <c r="D200" s="20" t="str">
        <f t="shared" si="27"/>
        <v/>
      </c>
      <c r="E200" s="21" t="str">
        <f t="shared" si="28"/>
        <v/>
      </c>
      <c r="F200" s="20" t="str">
        <f t="shared" si="32"/>
        <v/>
      </c>
      <c r="G200" s="20">
        <f t="shared" si="33"/>
        <v>0</v>
      </c>
      <c r="H200" s="20">
        <f t="shared" si="34"/>
        <v>0</v>
      </c>
      <c r="I200" s="20">
        <f t="shared" si="35"/>
        <v>0</v>
      </c>
      <c r="J200" s="20">
        <f t="shared" si="29"/>
        <v>0</v>
      </c>
      <c r="K200" s="20">
        <f t="shared" si="30"/>
        <v>0</v>
      </c>
      <c r="L200" s="20">
        <f t="shared" si="31"/>
        <v>0</v>
      </c>
    </row>
    <row r="201" spans="4:12" x14ac:dyDescent="0.35">
      <c r="D201" s="20" t="str">
        <f t="shared" si="27"/>
        <v/>
      </c>
      <c r="E201" s="21" t="str">
        <f t="shared" si="28"/>
        <v/>
      </c>
      <c r="F201" s="20" t="str">
        <f t="shared" si="32"/>
        <v/>
      </c>
      <c r="G201" s="20">
        <f t="shared" si="33"/>
        <v>0</v>
      </c>
      <c r="H201" s="20">
        <f t="shared" si="34"/>
        <v>0</v>
      </c>
      <c r="I201" s="20">
        <f t="shared" si="35"/>
        <v>0</v>
      </c>
      <c r="J201" s="20">
        <f t="shared" si="29"/>
        <v>0</v>
      </c>
      <c r="K201" s="20">
        <f t="shared" si="30"/>
        <v>0</v>
      </c>
      <c r="L201" s="20">
        <f t="shared" si="31"/>
        <v>0</v>
      </c>
    </row>
    <row r="202" spans="4:12" x14ac:dyDescent="0.35">
      <c r="D202" s="20" t="str">
        <f t="shared" si="27"/>
        <v/>
      </c>
      <c r="E202" s="21" t="str">
        <f t="shared" si="28"/>
        <v/>
      </c>
      <c r="F202" s="20" t="str">
        <f t="shared" si="32"/>
        <v/>
      </c>
      <c r="G202" s="20">
        <f t="shared" si="33"/>
        <v>0</v>
      </c>
      <c r="H202" s="20">
        <f t="shared" si="34"/>
        <v>0</v>
      </c>
      <c r="I202" s="20">
        <f t="shared" si="35"/>
        <v>0</v>
      </c>
      <c r="J202" s="20">
        <f t="shared" si="29"/>
        <v>0</v>
      </c>
      <c r="K202" s="20">
        <f t="shared" si="30"/>
        <v>0</v>
      </c>
      <c r="L202" s="20">
        <f t="shared" si="31"/>
        <v>0</v>
      </c>
    </row>
    <row r="203" spans="4:12" x14ac:dyDescent="0.35">
      <c r="D203" s="20" t="str">
        <f t="shared" si="27"/>
        <v/>
      </c>
      <c r="E203" s="21" t="str">
        <f t="shared" si="28"/>
        <v/>
      </c>
      <c r="F203" s="20" t="str">
        <f t="shared" si="32"/>
        <v/>
      </c>
      <c r="G203" s="20">
        <f t="shared" si="33"/>
        <v>0</v>
      </c>
      <c r="H203" s="20">
        <f t="shared" si="34"/>
        <v>0</v>
      </c>
      <c r="I203" s="20">
        <f t="shared" si="35"/>
        <v>0</v>
      </c>
      <c r="J203" s="20">
        <f t="shared" si="29"/>
        <v>0</v>
      </c>
      <c r="K203" s="20">
        <f t="shared" si="30"/>
        <v>0</v>
      </c>
      <c r="L203" s="20">
        <f t="shared" si="31"/>
        <v>0</v>
      </c>
    </row>
    <row r="204" spans="4:12" x14ac:dyDescent="0.35">
      <c r="D204" s="20" t="str">
        <f t="shared" si="27"/>
        <v/>
      </c>
      <c r="E204" s="21" t="str">
        <f t="shared" si="28"/>
        <v/>
      </c>
      <c r="F204" s="20" t="str">
        <f t="shared" si="32"/>
        <v/>
      </c>
      <c r="G204" s="20">
        <f t="shared" si="33"/>
        <v>0</v>
      </c>
      <c r="H204" s="20">
        <f t="shared" si="34"/>
        <v>0</v>
      </c>
      <c r="I204" s="20">
        <f t="shared" si="35"/>
        <v>0</v>
      </c>
      <c r="J204" s="20">
        <f t="shared" si="29"/>
        <v>0</v>
      </c>
      <c r="K204" s="20">
        <f t="shared" si="30"/>
        <v>0</v>
      </c>
      <c r="L204" s="20">
        <f t="shared" si="31"/>
        <v>0</v>
      </c>
    </row>
    <row r="205" spans="4:12" x14ac:dyDescent="0.35">
      <c r="D205" s="20" t="str">
        <f t="shared" si="27"/>
        <v/>
      </c>
      <c r="E205" s="21" t="str">
        <f t="shared" si="28"/>
        <v/>
      </c>
      <c r="F205" s="20" t="str">
        <f t="shared" si="32"/>
        <v/>
      </c>
      <c r="G205" s="20">
        <f t="shared" si="33"/>
        <v>0</v>
      </c>
      <c r="H205" s="20">
        <f t="shared" si="34"/>
        <v>0</v>
      </c>
      <c r="I205" s="20">
        <f t="shared" si="35"/>
        <v>0</v>
      </c>
      <c r="J205" s="20">
        <f t="shared" si="29"/>
        <v>0</v>
      </c>
      <c r="K205" s="20">
        <f t="shared" si="30"/>
        <v>0</v>
      </c>
      <c r="L205" s="20">
        <f t="shared" si="31"/>
        <v>0</v>
      </c>
    </row>
    <row r="206" spans="4:12" x14ac:dyDescent="0.35">
      <c r="D206" s="20" t="str">
        <f t="shared" si="27"/>
        <v/>
      </c>
      <c r="E206" s="21" t="str">
        <f t="shared" si="28"/>
        <v/>
      </c>
      <c r="F206" s="20" t="str">
        <f t="shared" si="32"/>
        <v/>
      </c>
      <c r="G206" s="20">
        <f t="shared" si="33"/>
        <v>0</v>
      </c>
      <c r="H206" s="20">
        <f t="shared" si="34"/>
        <v>0</v>
      </c>
      <c r="I206" s="20">
        <f t="shared" si="35"/>
        <v>0</v>
      </c>
      <c r="J206" s="20">
        <f t="shared" si="29"/>
        <v>0</v>
      </c>
      <c r="K206" s="20">
        <f t="shared" si="30"/>
        <v>0</v>
      </c>
      <c r="L206" s="20">
        <f t="shared" si="31"/>
        <v>0</v>
      </c>
    </row>
    <row r="207" spans="4:12" x14ac:dyDescent="0.35">
      <c r="D207" s="20" t="str">
        <f t="shared" si="27"/>
        <v/>
      </c>
      <c r="E207" s="21" t="str">
        <f t="shared" si="28"/>
        <v/>
      </c>
      <c r="F207" s="20" t="str">
        <f t="shared" si="32"/>
        <v/>
      </c>
      <c r="G207" s="20">
        <f t="shared" si="33"/>
        <v>0</v>
      </c>
      <c r="H207" s="20">
        <f t="shared" si="34"/>
        <v>0</v>
      </c>
      <c r="I207" s="20">
        <f t="shared" si="35"/>
        <v>0</v>
      </c>
      <c r="J207" s="20">
        <f t="shared" si="29"/>
        <v>0</v>
      </c>
      <c r="K207" s="20">
        <f t="shared" si="30"/>
        <v>0</v>
      </c>
      <c r="L207" s="20">
        <f t="shared" si="31"/>
        <v>0</v>
      </c>
    </row>
    <row r="208" spans="4:12" x14ac:dyDescent="0.35">
      <c r="D208" s="20" t="str">
        <f t="shared" si="27"/>
        <v/>
      </c>
      <c r="E208" s="21" t="str">
        <f t="shared" si="28"/>
        <v/>
      </c>
      <c r="F208" s="20" t="str">
        <f t="shared" si="32"/>
        <v/>
      </c>
      <c r="G208" s="20">
        <f t="shared" si="33"/>
        <v>0</v>
      </c>
      <c r="H208" s="20">
        <f t="shared" si="34"/>
        <v>0</v>
      </c>
      <c r="I208" s="20">
        <f t="shared" si="35"/>
        <v>0</v>
      </c>
      <c r="J208" s="20">
        <f t="shared" si="29"/>
        <v>0</v>
      </c>
      <c r="K208" s="20">
        <f t="shared" si="30"/>
        <v>0</v>
      </c>
      <c r="L208" s="20">
        <f t="shared" si="31"/>
        <v>0</v>
      </c>
    </row>
    <row r="209" spans="4:12" x14ac:dyDescent="0.35">
      <c r="D209" s="20" t="str">
        <f t="shared" si="27"/>
        <v/>
      </c>
      <c r="E209" s="21" t="str">
        <f t="shared" si="28"/>
        <v/>
      </c>
      <c r="F209" s="20" t="str">
        <f t="shared" si="32"/>
        <v/>
      </c>
      <c r="G209" s="20">
        <f t="shared" si="33"/>
        <v>0</v>
      </c>
      <c r="H209" s="20">
        <f t="shared" si="34"/>
        <v>0</v>
      </c>
      <c r="I209" s="20">
        <f t="shared" si="35"/>
        <v>0</v>
      </c>
      <c r="J209" s="20">
        <f t="shared" si="29"/>
        <v>0</v>
      </c>
      <c r="K209" s="20">
        <f t="shared" si="30"/>
        <v>0</v>
      </c>
      <c r="L209" s="20">
        <f t="shared" si="31"/>
        <v>0</v>
      </c>
    </row>
    <row r="210" spans="4:12" x14ac:dyDescent="0.35">
      <c r="D210" s="20" t="str">
        <f t="shared" si="27"/>
        <v/>
      </c>
      <c r="E210" s="21" t="str">
        <f t="shared" si="28"/>
        <v/>
      </c>
      <c r="F210" s="20" t="str">
        <f t="shared" si="32"/>
        <v/>
      </c>
      <c r="G210" s="20">
        <f t="shared" si="33"/>
        <v>0</v>
      </c>
      <c r="H210" s="20">
        <f t="shared" si="34"/>
        <v>0</v>
      </c>
      <c r="I210" s="20">
        <f t="shared" si="35"/>
        <v>0</v>
      </c>
      <c r="J210" s="20">
        <f t="shared" si="29"/>
        <v>0</v>
      </c>
      <c r="K210" s="20">
        <f t="shared" si="30"/>
        <v>0</v>
      </c>
      <c r="L210" s="20">
        <f t="shared" si="31"/>
        <v>0</v>
      </c>
    </row>
    <row r="211" spans="4:12" x14ac:dyDescent="0.35">
      <c r="D211" s="20" t="str">
        <f t="shared" si="27"/>
        <v/>
      </c>
      <c r="E211" s="21" t="str">
        <f t="shared" si="28"/>
        <v/>
      </c>
      <c r="F211" s="20" t="str">
        <f t="shared" si="32"/>
        <v/>
      </c>
      <c r="G211" s="20">
        <f t="shared" si="33"/>
        <v>0</v>
      </c>
      <c r="H211" s="20">
        <f t="shared" si="34"/>
        <v>0</v>
      </c>
      <c r="I211" s="20">
        <f t="shared" si="35"/>
        <v>0</v>
      </c>
      <c r="J211" s="20">
        <f t="shared" si="29"/>
        <v>0</v>
      </c>
      <c r="K211" s="20">
        <f t="shared" si="30"/>
        <v>0</v>
      </c>
      <c r="L211" s="20">
        <f t="shared" si="31"/>
        <v>0</v>
      </c>
    </row>
    <row r="212" spans="4:12" x14ac:dyDescent="0.35">
      <c r="D212" s="20" t="str">
        <f t="shared" si="27"/>
        <v/>
      </c>
      <c r="E212" s="21" t="str">
        <f t="shared" si="28"/>
        <v/>
      </c>
      <c r="F212" s="20" t="str">
        <f t="shared" si="32"/>
        <v/>
      </c>
      <c r="G212" s="20">
        <f t="shared" si="33"/>
        <v>0</v>
      </c>
      <c r="H212" s="20">
        <f t="shared" si="34"/>
        <v>0</v>
      </c>
      <c r="I212" s="20">
        <f t="shared" si="35"/>
        <v>0</v>
      </c>
      <c r="J212" s="20">
        <f t="shared" si="29"/>
        <v>0</v>
      </c>
      <c r="K212" s="20">
        <f t="shared" si="30"/>
        <v>0</v>
      </c>
      <c r="L212" s="20">
        <f t="shared" si="31"/>
        <v>0</v>
      </c>
    </row>
    <row r="213" spans="4:12" x14ac:dyDescent="0.35">
      <c r="D213" s="20" t="str">
        <f t="shared" si="27"/>
        <v/>
      </c>
      <c r="E213" s="21" t="str">
        <f t="shared" si="28"/>
        <v/>
      </c>
      <c r="F213" s="20" t="str">
        <f t="shared" si="32"/>
        <v/>
      </c>
      <c r="G213" s="20">
        <f t="shared" si="33"/>
        <v>0</v>
      </c>
      <c r="H213" s="20">
        <f t="shared" si="34"/>
        <v>0</v>
      </c>
      <c r="I213" s="20">
        <f t="shared" si="35"/>
        <v>0</v>
      </c>
      <c r="J213" s="20">
        <f t="shared" si="29"/>
        <v>0</v>
      </c>
      <c r="K213" s="20">
        <f t="shared" si="30"/>
        <v>0</v>
      </c>
      <c r="L213" s="20">
        <f t="shared" si="31"/>
        <v>0</v>
      </c>
    </row>
    <row r="214" spans="4:12" x14ac:dyDescent="0.35">
      <c r="D214" s="20" t="str">
        <f t="shared" si="27"/>
        <v/>
      </c>
      <c r="E214" s="21" t="str">
        <f t="shared" si="28"/>
        <v/>
      </c>
      <c r="F214" s="20" t="str">
        <f t="shared" si="32"/>
        <v/>
      </c>
      <c r="G214" s="20">
        <f t="shared" si="33"/>
        <v>0</v>
      </c>
      <c r="H214" s="20">
        <f t="shared" si="34"/>
        <v>0</v>
      </c>
      <c r="I214" s="20">
        <f t="shared" si="35"/>
        <v>0</v>
      </c>
      <c r="J214" s="20">
        <f t="shared" si="29"/>
        <v>0</v>
      </c>
      <c r="K214" s="20">
        <f t="shared" si="30"/>
        <v>0</v>
      </c>
      <c r="L214" s="20">
        <f t="shared" si="31"/>
        <v>0</v>
      </c>
    </row>
    <row r="215" spans="4:12" x14ac:dyDescent="0.35">
      <c r="D215" s="20" t="str">
        <f t="shared" ref="D215:D278" si="36">IF(D214&lt;=$B$5,D214+1,"")</f>
        <v/>
      </c>
      <c r="E215" s="21" t="str">
        <f t="shared" ref="E215:E278" si="37">IF(D214&lt;=$B$5,E214+$B$6,"")</f>
        <v/>
      </c>
      <c r="F215" s="20" t="str">
        <f t="shared" si="32"/>
        <v/>
      </c>
      <c r="G215" s="20">
        <f t="shared" si="33"/>
        <v>0</v>
      </c>
      <c r="H215" s="20">
        <f t="shared" si="34"/>
        <v>0</v>
      </c>
      <c r="I215" s="20">
        <f t="shared" si="35"/>
        <v>0</v>
      </c>
      <c r="J215" s="20">
        <f t="shared" si="29"/>
        <v>0</v>
      </c>
      <c r="K215" s="20">
        <f t="shared" si="30"/>
        <v>0</v>
      </c>
      <c r="L215" s="20">
        <f t="shared" si="31"/>
        <v>0</v>
      </c>
    </row>
    <row r="216" spans="4:12" x14ac:dyDescent="0.35">
      <c r="D216" s="20" t="str">
        <f t="shared" si="36"/>
        <v/>
      </c>
      <c r="E216" s="21" t="str">
        <f t="shared" si="37"/>
        <v/>
      </c>
      <c r="F216" s="20" t="str">
        <f t="shared" si="32"/>
        <v/>
      </c>
      <c r="G216" s="20">
        <f t="shared" si="33"/>
        <v>0</v>
      </c>
      <c r="H216" s="20">
        <f t="shared" si="34"/>
        <v>0</v>
      </c>
      <c r="I216" s="20">
        <f t="shared" si="35"/>
        <v>0</v>
      </c>
      <c r="J216" s="20">
        <f t="shared" si="29"/>
        <v>0</v>
      </c>
      <c r="K216" s="20">
        <f t="shared" si="30"/>
        <v>0</v>
      </c>
      <c r="L216" s="20">
        <f t="shared" si="31"/>
        <v>0</v>
      </c>
    </row>
    <row r="217" spans="4:12" x14ac:dyDescent="0.35">
      <c r="D217" s="20" t="str">
        <f t="shared" si="36"/>
        <v/>
      </c>
      <c r="E217" s="21" t="str">
        <f t="shared" si="37"/>
        <v/>
      </c>
      <c r="F217" s="20" t="str">
        <f t="shared" si="32"/>
        <v/>
      </c>
      <c r="G217" s="20">
        <f t="shared" si="33"/>
        <v>0</v>
      </c>
      <c r="H217" s="20">
        <f t="shared" si="34"/>
        <v>0</v>
      </c>
      <c r="I217" s="20">
        <f t="shared" si="35"/>
        <v>0</v>
      </c>
      <c r="J217" s="20">
        <f t="shared" si="29"/>
        <v>0</v>
      </c>
      <c r="K217" s="20">
        <f t="shared" si="30"/>
        <v>0</v>
      </c>
      <c r="L217" s="20">
        <f t="shared" si="31"/>
        <v>0</v>
      </c>
    </row>
    <row r="218" spans="4:12" x14ac:dyDescent="0.35">
      <c r="D218" s="20" t="str">
        <f t="shared" si="36"/>
        <v/>
      </c>
      <c r="E218" s="21" t="str">
        <f t="shared" si="37"/>
        <v/>
      </c>
      <c r="F218" s="20" t="str">
        <f t="shared" si="32"/>
        <v/>
      </c>
      <c r="G218" s="20">
        <f t="shared" si="33"/>
        <v>0</v>
      </c>
      <c r="H218" s="20">
        <f t="shared" si="34"/>
        <v>0</v>
      </c>
      <c r="I218" s="20">
        <f t="shared" si="35"/>
        <v>0</v>
      </c>
      <c r="J218" s="20">
        <f t="shared" si="29"/>
        <v>0</v>
      </c>
      <c r="K218" s="20">
        <f t="shared" si="30"/>
        <v>0</v>
      </c>
      <c r="L218" s="20">
        <f t="shared" si="31"/>
        <v>0</v>
      </c>
    </row>
    <row r="219" spans="4:12" x14ac:dyDescent="0.35">
      <c r="D219" s="20" t="str">
        <f t="shared" si="36"/>
        <v/>
      </c>
      <c r="E219" s="21" t="str">
        <f t="shared" si="37"/>
        <v/>
      </c>
      <c r="F219" s="20" t="str">
        <f t="shared" si="32"/>
        <v/>
      </c>
      <c r="G219" s="20">
        <f t="shared" si="33"/>
        <v>0</v>
      </c>
      <c r="H219" s="20">
        <f t="shared" si="34"/>
        <v>0</v>
      </c>
      <c r="I219" s="20">
        <f t="shared" si="35"/>
        <v>0</v>
      </c>
      <c r="J219" s="20">
        <f t="shared" si="29"/>
        <v>0</v>
      </c>
      <c r="K219" s="20">
        <f t="shared" si="30"/>
        <v>0</v>
      </c>
      <c r="L219" s="20">
        <f t="shared" si="31"/>
        <v>0</v>
      </c>
    </row>
    <row r="220" spans="4:12" x14ac:dyDescent="0.35">
      <c r="D220" s="20" t="str">
        <f t="shared" si="36"/>
        <v/>
      </c>
      <c r="E220" s="21" t="str">
        <f t="shared" si="37"/>
        <v/>
      </c>
      <c r="F220" s="20" t="str">
        <f t="shared" si="32"/>
        <v/>
      </c>
      <c r="G220" s="20">
        <f t="shared" si="33"/>
        <v>0</v>
      </c>
      <c r="H220" s="20">
        <f t="shared" si="34"/>
        <v>0</v>
      </c>
      <c r="I220" s="20">
        <f t="shared" si="35"/>
        <v>0</v>
      </c>
      <c r="J220" s="20">
        <f t="shared" si="29"/>
        <v>0</v>
      </c>
      <c r="K220" s="20">
        <f t="shared" si="30"/>
        <v>0</v>
      </c>
      <c r="L220" s="20">
        <f t="shared" si="31"/>
        <v>0</v>
      </c>
    </row>
    <row r="221" spans="4:12" x14ac:dyDescent="0.35">
      <c r="D221" s="20" t="str">
        <f t="shared" si="36"/>
        <v/>
      </c>
      <c r="E221" s="21" t="str">
        <f t="shared" si="37"/>
        <v/>
      </c>
      <c r="F221" s="20" t="str">
        <f t="shared" si="32"/>
        <v/>
      </c>
      <c r="G221" s="20">
        <f t="shared" si="33"/>
        <v>0</v>
      </c>
      <c r="H221" s="20">
        <f t="shared" si="34"/>
        <v>0</v>
      </c>
      <c r="I221" s="20">
        <f t="shared" si="35"/>
        <v>0</v>
      </c>
      <c r="J221" s="20">
        <f t="shared" si="29"/>
        <v>0</v>
      </c>
      <c r="K221" s="20">
        <f t="shared" si="30"/>
        <v>0</v>
      </c>
      <c r="L221" s="20">
        <f t="shared" si="31"/>
        <v>0</v>
      </c>
    </row>
    <row r="222" spans="4:12" x14ac:dyDescent="0.35">
      <c r="D222" s="20" t="str">
        <f t="shared" si="36"/>
        <v/>
      </c>
      <c r="E222" s="21" t="str">
        <f t="shared" si="37"/>
        <v/>
      </c>
      <c r="F222" s="20" t="str">
        <f t="shared" si="32"/>
        <v/>
      </c>
      <c r="G222" s="20">
        <f t="shared" si="33"/>
        <v>0</v>
      </c>
      <c r="H222" s="20">
        <f t="shared" si="34"/>
        <v>0</v>
      </c>
      <c r="I222" s="20">
        <f t="shared" si="35"/>
        <v>0</v>
      </c>
      <c r="J222" s="20">
        <f t="shared" si="29"/>
        <v>0</v>
      </c>
      <c r="K222" s="20">
        <f t="shared" si="30"/>
        <v>0</v>
      </c>
      <c r="L222" s="20">
        <f t="shared" si="31"/>
        <v>0</v>
      </c>
    </row>
    <row r="223" spans="4:12" x14ac:dyDescent="0.35">
      <c r="D223" s="20" t="str">
        <f t="shared" si="36"/>
        <v/>
      </c>
      <c r="E223" s="21" t="str">
        <f t="shared" si="37"/>
        <v/>
      </c>
      <c r="F223" s="20" t="str">
        <f t="shared" si="32"/>
        <v/>
      </c>
      <c r="G223" s="20">
        <f t="shared" si="33"/>
        <v>0</v>
      </c>
      <c r="H223" s="20">
        <f t="shared" si="34"/>
        <v>0</v>
      </c>
      <c r="I223" s="20">
        <f t="shared" si="35"/>
        <v>0</v>
      </c>
      <c r="J223" s="20">
        <f t="shared" si="29"/>
        <v>0</v>
      </c>
      <c r="K223" s="20">
        <f t="shared" si="30"/>
        <v>0</v>
      </c>
      <c r="L223" s="20">
        <f t="shared" si="31"/>
        <v>0</v>
      </c>
    </row>
    <row r="224" spans="4:12" x14ac:dyDescent="0.35">
      <c r="D224" s="20" t="str">
        <f t="shared" si="36"/>
        <v/>
      </c>
      <c r="E224" s="21" t="str">
        <f t="shared" si="37"/>
        <v/>
      </c>
      <c r="F224" s="20" t="str">
        <f t="shared" si="32"/>
        <v/>
      </c>
      <c r="G224" s="20">
        <f t="shared" si="33"/>
        <v>0</v>
      </c>
      <c r="H224" s="20">
        <f t="shared" si="34"/>
        <v>0</v>
      </c>
      <c r="I224" s="20">
        <f t="shared" si="35"/>
        <v>0</v>
      </c>
      <c r="J224" s="20">
        <f t="shared" si="29"/>
        <v>0</v>
      </c>
      <c r="K224" s="20">
        <f t="shared" si="30"/>
        <v>0</v>
      </c>
      <c r="L224" s="20">
        <f t="shared" si="31"/>
        <v>0</v>
      </c>
    </row>
    <row r="225" spans="4:12" x14ac:dyDescent="0.35">
      <c r="D225" s="20" t="str">
        <f t="shared" si="36"/>
        <v/>
      </c>
      <c r="E225" s="21" t="str">
        <f t="shared" si="37"/>
        <v/>
      </c>
      <c r="F225" s="20" t="str">
        <f t="shared" si="32"/>
        <v/>
      </c>
      <c r="G225" s="20">
        <f t="shared" si="33"/>
        <v>0</v>
      </c>
      <c r="H225" s="20">
        <f t="shared" si="34"/>
        <v>0</v>
      </c>
      <c r="I225" s="20">
        <f t="shared" si="35"/>
        <v>0</v>
      </c>
      <c r="J225" s="20">
        <f t="shared" si="29"/>
        <v>0</v>
      </c>
      <c r="K225" s="20">
        <f t="shared" si="30"/>
        <v>0</v>
      </c>
      <c r="L225" s="20">
        <f t="shared" si="31"/>
        <v>0</v>
      </c>
    </row>
    <row r="226" spans="4:12" x14ac:dyDescent="0.35">
      <c r="D226" s="20" t="str">
        <f t="shared" si="36"/>
        <v/>
      </c>
      <c r="E226" s="21" t="str">
        <f t="shared" si="37"/>
        <v/>
      </c>
      <c r="F226" s="20" t="str">
        <f t="shared" si="32"/>
        <v/>
      </c>
      <c r="G226" s="20">
        <f t="shared" si="33"/>
        <v>0</v>
      </c>
      <c r="H226" s="20">
        <f t="shared" si="34"/>
        <v>0</v>
      </c>
      <c r="I226" s="20">
        <f t="shared" si="35"/>
        <v>0</v>
      </c>
      <c r="J226" s="20">
        <f t="shared" si="29"/>
        <v>0</v>
      </c>
      <c r="K226" s="20">
        <f t="shared" si="30"/>
        <v>0</v>
      </c>
      <c r="L226" s="20">
        <f t="shared" si="31"/>
        <v>0</v>
      </c>
    </row>
    <row r="227" spans="4:12" x14ac:dyDescent="0.35">
      <c r="D227" s="20" t="str">
        <f t="shared" si="36"/>
        <v/>
      </c>
      <c r="E227" s="21" t="str">
        <f t="shared" si="37"/>
        <v/>
      </c>
      <c r="F227" s="20" t="str">
        <f t="shared" si="32"/>
        <v/>
      </c>
      <c r="G227" s="20">
        <f t="shared" si="33"/>
        <v>0</v>
      </c>
      <c r="H227" s="20">
        <f t="shared" si="34"/>
        <v>0</v>
      </c>
      <c r="I227" s="20">
        <f t="shared" si="35"/>
        <v>0</v>
      </c>
      <c r="J227" s="20">
        <f t="shared" si="29"/>
        <v>0</v>
      </c>
      <c r="K227" s="20">
        <f t="shared" si="30"/>
        <v>0</v>
      </c>
      <c r="L227" s="20">
        <f t="shared" si="31"/>
        <v>0</v>
      </c>
    </row>
    <row r="228" spans="4:12" x14ac:dyDescent="0.35">
      <c r="D228" s="20" t="str">
        <f t="shared" si="36"/>
        <v/>
      </c>
      <c r="E228" s="21" t="str">
        <f t="shared" si="37"/>
        <v/>
      </c>
      <c r="F228" s="20" t="str">
        <f t="shared" si="32"/>
        <v/>
      </c>
      <c r="G228" s="20">
        <f t="shared" si="33"/>
        <v>0</v>
      </c>
      <c r="H228" s="20">
        <f t="shared" si="34"/>
        <v>0</v>
      </c>
      <c r="I228" s="20">
        <f t="shared" si="35"/>
        <v>0</v>
      </c>
      <c r="J228" s="20">
        <f t="shared" si="29"/>
        <v>0</v>
      </c>
      <c r="K228" s="20">
        <f t="shared" si="30"/>
        <v>0</v>
      </c>
      <c r="L228" s="20">
        <f t="shared" si="31"/>
        <v>0</v>
      </c>
    </row>
    <row r="229" spans="4:12" x14ac:dyDescent="0.35">
      <c r="D229" s="20" t="str">
        <f t="shared" si="36"/>
        <v/>
      </c>
      <c r="E229" s="21" t="str">
        <f t="shared" si="37"/>
        <v/>
      </c>
      <c r="F229" s="20" t="str">
        <f t="shared" si="32"/>
        <v/>
      </c>
      <c r="G229" s="20">
        <f t="shared" si="33"/>
        <v>0</v>
      </c>
      <c r="H229" s="20">
        <f t="shared" si="34"/>
        <v>0</v>
      </c>
      <c r="I229" s="20">
        <f t="shared" si="35"/>
        <v>0</v>
      </c>
      <c r="J229" s="20">
        <f t="shared" si="29"/>
        <v>0</v>
      </c>
      <c r="K229" s="20">
        <f t="shared" si="30"/>
        <v>0</v>
      </c>
      <c r="L229" s="20">
        <f t="shared" si="31"/>
        <v>0</v>
      </c>
    </row>
    <row r="230" spans="4:12" x14ac:dyDescent="0.35">
      <c r="D230" s="20" t="str">
        <f t="shared" si="36"/>
        <v/>
      </c>
      <c r="E230" s="21" t="str">
        <f t="shared" si="37"/>
        <v/>
      </c>
      <c r="F230" s="20" t="str">
        <f t="shared" si="32"/>
        <v/>
      </c>
      <c r="G230" s="20">
        <f t="shared" si="33"/>
        <v>0</v>
      </c>
      <c r="H230" s="20">
        <f t="shared" si="34"/>
        <v>0</v>
      </c>
      <c r="I230" s="20">
        <f t="shared" si="35"/>
        <v>0</v>
      </c>
      <c r="J230" s="20">
        <f t="shared" si="29"/>
        <v>0</v>
      </c>
      <c r="K230" s="20">
        <f t="shared" si="30"/>
        <v>0</v>
      </c>
      <c r="L230" s="20">
        <f t="shared" si="31"/>
        <v>0</v>
      </c>
    </row>
    <row r="231" spans="4:12" x14ac:dyDescent="0.35">
      <c r="D231" s="20" t="str">
        <f t="shared" si="36"/>
        <v/>
      </c>
      <c r="E231" s="21" t="str">
        <f t="shared" si="37"/>
        <v/>
      </c>
      <c r="F231" s="20" t="str">
        <f t="shared" si="32"/>
        <v/>
      </c>
      <c r="G231" s="20">
        <f t="shared" si="33"/>
        <v>0</v>
      </c>
      <c r="H231" s="20">
        <f t="shared" si="34"/>
        <v>0</v>
      </c>
      <c r="I231" s="20">
        <f t="shared" si="35"/>
        <v>0</v>
      </c>
      <c r="J231" s="20">
        <f t="shared" si="29"/>
        <v>0</v>
      </c>
      <c r="K231" s="20">
        <f t="shared" si="30"/>
        <v>0</v>
      </c>
      <c r="L231" s="20">
        <f t="shared" si="31"/>
        <v>0</v>
      </c>
    </row>
    <row r="232" spans="4:12" x14ac:dyDescent="0.35">
      <c r="D232" s="20" t="str">
        <f t="shared" si="36"/>
        <v/>
      </c>
      <c r="E232" s="21" t="str">
        <f t="shared" si="37"/>
        <v/>
      </c>
      <c r="F232" s="20" t="str">
        <f t="shared" si="32"/>
        <v/>
      </c>
      <c r="G232" s="20">
        <f t="shared" si="33"/>
        <v>0</v>
      </c>
      <c r="H232" s="20">
        <f t="shared" si="34"/>
        <v>0</v>
      </c>
      <c r="I232" s="20">
        <f t="shared" si="35"/>
        <v>0</v>
      </c>
      <c r="J232" s="20">
        <f t="shared" si="29"/>
        <v>0</v>
      </c>
      <c r="K232" s="20">
        <f t="shared" si="30"/>
        <v>0</v>
      </c>
      <c r="L232" s="20">
        <f t="shared" si="31"/>
        <v>0</v>
      </c>
    </row>
    <row r="233" spans="4:12" x14ac:dyDescent="0.35">
      <c r="D233" s="20" t="str">
        <f t="shared" si="36"/>
        <v/>
      </c>
      <c r="E233" s="21" t="str">
        <f t="shared" si="37"/>
        <v/>
      </c>
      <c r="F233" s="20" t="str">
        <f t="shared" si="32"/>
        <v/>
      </c>
      <c r="G233" s="20">
        <f t="shared" si="33"/>
        <v>0</v>
      </c>
      <c r="H233" s="20">
        <f t="shared" si="34"/>
        <v>0</v>
      </c>
      <c r="I233" s="20">
        <f t="shared" si="35"/>
        <v>0</v>
      </c>
      <c r="J233" s="20">
        <f t="shared" si="29"/>
        <v>0</v>
      </c>
      <c r="K233" s="20">
        <f t="shared" si="30"/>
        <v>0</v>
      </c>
      <c r="L233" s="20">
        <f t="shared" si="31"/>
        <v>0</v>
      </c>
    </row>
    <row r="234" spans="4:12" x14ac:dyDescent="0.35">
      <c r="D234" s="20" t="str">
        <f t="shared" si="36"/>
        <v/>
      </c>
      <c r="E234" s="21" t="str">
        <f t="shared" si="37"/>
        <v/>
      </c>
      <c r="F234" s="20" t="str">
        <f t="shared" si="32"/>
        <v/>
      </c>
      <c r="G234" s="20">
        <f t="shared" si="33"/>
        <v>0</v>
      </c>
      <c r="H234" s="20">
        <f t="shared" si="34"/>
        <v>0</v>
      </c>
      <c r="I234" s="20">
        <f t="shared" si="35"/>
        <v>0</v>
      </c>
      <c r="J234" s="20">
        <f t="shared" si="29"/>
        <v>0</v>
      </c>
      <c r="K234" s="20">
        <f t="shared" si="30"/>
        <v>0</v>
      </c>
      <c r="L234" s="20">
        <f t="shared" si="31"/>
        <v>0</v>
      </c>
    </row>
    <row r="235" spans="4:12" x14ac:dyDescent="0.35">
      <c r="D235" s="20" t="str">
        <f t="shared" si="36"/>
        <v/>
      </c>
      <c r="E235" s="21" t="str">
        <f t="shared" si="37"/>
        <v/>
      </c>
      <c r="F235" s="20" t="str">
        <f t="shared" si="32"/>
        <v/>
      </c>
      <c r="G235" s="20">
        <f t="shared" si="33"/>
        <v>0</v>
      </c>
      <c r="H235" s="20">
        <f t="shared" si="34"/>
        <v>0</v>
      </c>
      <c r="I235" s="20">
        <f t="shared" si="35"/>
        <v>0</v>
      </c>
      <c r="J235" s="20">
        <f t="shared" si="29"/>
        <v>0</v>
      </c>
      <c r="K235" s="20">
        <f t="shared" si="30"/>
        <v>0</v>
      </c>
      <c r="L235" s="20">
        <f t="shared" si="31"/>
        <v>0</v>
      </c>
    </row>
    <row r="236" spans="4:12" x14ac:dyDescent="0.35">
      <c r="D236" s="20" t="str">
        <f t="shared" si="36"/>
        <v/>
      </c>
      <c r="E236" s="21" t="str">
        <f t="shared" si="37"/>
        <v/>
      </c>
      <c r="F236" s="20" t="str">
        <f t="shared" si="32"/>
        <v/>
      </c>
      <c r="G236" s="20">
        <f t="shared" si="33"/>
        <v>0</v>
      </c>
      <c r="H236" s="20">
        <f t="shared" si="34"/>
        <v>0</v>
      </c>
      <c r="I236" s="20">
        <f t="shared" si="35"/>
        <v>0</v>
      </c>
      <c r="J236" s="20">
        <f t="shared" si="29"/>
        <v>0</v>
      </c>
      <c r="K236" s="20">
        <f t="shared" si="30"/>
        <v>0</v>
      </c>
      <c r="L236" s="20">
        <f t="shared" si="31"/>
        <v>0</v>
      </c>
    </row>
    <row r="237" spans="4:12" x14ac:dyDescent="0.35">
      <c r="D237" s="20" t="str">
        <f t="shared" si="36"/>
        <v/>
      </c>
      <c r="E237" s="21" t="str">
        <f t="shared" si="37"/>
        <v/>
      </c>
      <c r="F237" s="20" t="str">
        <f t="shared" si="32"/>
        <v/>
      </c>
      <c r="G237" s="20">
        <f t="shared" si="33"/>
        <v>0</v>
      </c>
      <c r="H237" s="20">
        <f t="shared" si="34"/>
        <v>0</v>
      </c>
      <c r="I237" s="20">
        <f t="shared" si="35"/>
        <v>0</v>
      </c>
      <c r="J237" s="20">
        <f t="shared" si="29"/>
        <v>0</v>
      </c>
      <c r="K237" s="20">
        <f t="shared" si="30"/>
        <v>0</v>
      </c>
      <c r="L237" s="20">
        <f t="shared" si="31"/>
        <v>0</v>
      </c>
    </row>
    <row r="238" spans="4:12" x14ac:dyDescent="0.35">
      <c r="D238" s="20" t="str">
        <f t="shared" si="36"/>
        <v/>
      </c>
      <c r="E238" s="21" t="str">
        <f t="shared" si="37"/>
        <v/>
      </c>
      <c r="F238" s="20" t="str">
        <f t="shared" si="32"/>
        <v/>
      </c>
      <c r="G238" s="20">
        <f t="shared" si="33"/>
        <v>0</v>
      </c>
      <c r="H238" s="20">
        <f t="shared" si="34"/>
        <v>0</v>
      </c>
      <c r="I238" s="20">
        <f t="shared" si="35"/>
        <v>0</v>
      </c>
      <c r="J238" s="20">
        <f t="shared" si="29"/>
        <v>0</v>
      </c>
      <c r="K238" s="20">
        <f t="shared" si="30"/>
        <v>0</v>
      </c>
      <c r="L238" s="20">
        <f t="shared" si="31"/>
        <v>0</v>
      </c>
    </row>
    <row r="239" spans="4:12" x14ac:dyDescent="0.35">
      <c r="D239" s="20" t="str">
        <f t="shared" si="36"/>
        <v/>
      </c>
      <c r="E239" s="21" t="str">
        <f t="shared" si="37"/>
        <v/>
      </c>
      <c r="F239" s="20" t="str">
        <f t="shared" si="32"/>
        <v/>
      </c>
      <c r="G239" s="20">
        <f t="shared" si="33"/>
        <v>0</v>
      </c>
      <c r="H239" s="20">
        <f t="shared" si="34"/>
        <v>0</v>
      </c>
      <c r="I239" s="20">
        <f t="shared" si="35"/>
        <v>0</v>
      </c>
      <c r="J239" s="20">
        <f t="shared" si="29"/>
        <v>0</v>
      </c>
      <c r="K239" s="20">
        <f t="shared" si="30"/>
        <v>0</v>
      </c>
      <c r="L239" s="20">
        <f t="shared" si="31"/>
        <v>0</v>
      </c>
    </row>
    <row r="240" spans="4:12" x14ac:dyDescent="0.35">
      <c r="D240" s="20" t="str">
        <f t="shared" si="36"/>
        <v/>
      </c>
      <c r="E240" s="21" t="str">
        <f t="shared" si="37"/>
        <v/>
      </c>
      <c r="F240" s="20" t="str">
        <f t="shared" si="32"/>
        <v/>
      </c>
      <c r="G240" s="20">
        <f t="shared" si="33"/>
        <v>0</v>
      </c>
      <c r="H240" s="20">
        <f t="shared" si="34"/>
        <v>0</v>
      </c>
      <c r="I240" s="20">
        <f t="shared" si="35"/>
        <v>0</v>
      </c>
      <c r="J240" s="20">
        <f t="shared" si="29"/>
        <v>0</v>
      </c>
      <c r="K240" s="20">
        <f t="shared" si="30"/>
        <v>0</v>
      </c>
      <c r="L240" s="20">
        <f t="shared" si="31"/>
        <v>0</v>
      </c>
    </row>
    <row r="241" spans="4:12" x14ac:dyDescent="0.35">
      <c r="D241" s="20" t="str">
        <f t="shared" si="36"/>
        <v/>
      </c>
      <c r="E241" s="21" t="str">
        <f t="shared" si="37"/>
        <v/>
      </c>
      <c r="F241" s="20" t="str">
        <f t="shared" si="32"/>
        <v/>
      </c>
      <c r="G241" s="20">
        <f t="shared" si="33"/>
        <v>0</v>
      </c>
      <c r="H241" s="20">
        <f t="shared" si="34"/>
        <v>0</v>
      </c>
      <c r="I241" s="20">
        <f t="shared" si="35"/>
        <v>0</v>
      </c>
      <c r="J241" s="20">
        <f t="shared" si="29"/>
        <v>0</v>
      </c>
      <c r="K241" s="20">
        <f t="shared" si="30"/>
        <v>0</v>
      </c>
      <c r="L241" s="20">
        <f t="shared" si="31"/>
        <v>0</v>
      </c>
    </row>
    <row r="242" spans="4:12" x14ac:dyDescent="0.35">
      <c r="D242" s="20" t="str">
        <f t="shared" si="36"/>
        <v/>
      </c>
      <c r="E242" s="21" t="str">
        <f t="shared" si="37"/>
        <v/>
      </c>
      <c r="F242" s="20" t="str">
        <f t="shared" si="32"/>
        <v/>
      </c>
      <c r="G242" s="20">
        <f t="shared" si="33"/>
        <v>0</v>
      </c>
      <c r="H242" s="20">
        <f t="shared" si="34"/>
        <v>0</v>
      </c>
      <c r="I242" s="20">
        <f t="shared" si="35"/>
        <v>0</v>
      </c>
      <c r="J242" s="20">
        <f t="shared" si="29"/>
        <v>0</v>
      </c>
      <c r="K242" s="20">
        <f t="shared" si="30"/>
        <v>0</v>
      </c>
      <c r="L242" s="20">
        <f t="shared" si="31"/>
        <v>0</v>
      </c>
    </row>
    <row r="243" spans="4:12" x14ac:dyDescent="0.35">
      <c r="D243" s="20" t="str">
        <f t="shared" si="36"/>
        <v/>
      </c>
      <c r="E243" s="21" t="str">
        <f t="shared" si="37"/>
        <v/>
      </c>
      <c r="F243" s="20" t="str">
        <f t="shared" si="32"/>
        <v/>
      </c>
      <c r="G243" s="20">
        <f t="shared" si="33"/>
        <v>0</v>
      </c>
      <c r="H243" s="20">
        <f t="shared" si="34"/>
        <v>0</v>
      </c>
      <c r="I243" s="20">
        <f t="shared" si="35"/>
        <v>0</v>
      </c>
      <c r="J243" s="20">
        <f t="shared" si="29"/>
        <v>0</v>
      </c>
      <c r="K243" s="20">
        <f t="shared" si="30"/>
        <v>0</v>
      </c>
      <c r="L243" s="20">
        <f t="shared" si="31"/>
        <v>0</v>
      </c>
    </row>
    <row r="244" spans="4:12" x14ac:dyDescent="0.35">
      <c r="D244" s="20" t="str">
        <f t="shared" si="36"/>
        <v/>
      </c>
      <c r="E244" s="21" t="str">
        <f t="shared" si="37"/>
        <v/>
      </c>
      <c r="F244" s="20" t="str">
        <f t="shared" si="32"/>
        <v/>
      </c>
      <c r="G244" s="20">
        <f t="shared" si="33"/>
        <v>0</v>
      </c>
      <c r="H244" s="20">
        <f t="shared" si="34"/>
        <v>0</v>
      </c>
      <c r="I244" s="20">
        <f t="shared" si="35"/>
        <v>0</v>
      </c>
      <c r="J244" s="20">
        <f t="shared" si="29"/>
        <v>0</v>
      </c>
      <c r="K244" s="20">
        <f t="shared" si="30"/>
        <v>0</v>
      </c>
      <c r="L244" s="20">
        <f t="shared" si="31"/>
        <v>0</v>
      </c>
    </row>
    <row r="245" spans="4:12" x14ac:dyDescent="0.35">
      <c r="D245" s="20" t="str">
        <f t="shared" si="36"/>
        <v/>
      </c>
      <c r="E245" s="21" t="str">
        <f t="shared" si="37"/>
        <v/>
      </c>
      <c r="F245" s="20" t="str">
        <f t="shared" si="32"/>
        <v/>
      </c>
      <c r="G245" s="20">
        <f t="shared" si="33"/>
        <v>0</v>
      </c>
      <c r="H245" s="20">
        <f t="shared" si="34"/>
        <v>0</v>
      </c>
      <c r="I245" s="20">
        <f t="shared" si="35"/>
        <v>0</v>
      </c>
      <c r="J245" s="20">
        <f t="shared" si="29"/>
        <v>0</v>
      </c>
      <c r="K245" s="20">
        <f t="shared" si="30"/>
        <v>0</v>
      </c>
      <c r="L245" s="20">
        <f t="shared" si="31"/>
        <v>0</v>
      </c>
    </row>
    <row r="246" spans="4:12" x14ac:dyDescent="0.35">
      <c r="D246" s="20" t="str">
        <f t="shared" si="36"/>
        <v/>
      </c>
      <c r="E246" s="21" t="str">
        <f t="shared" si="37"/>
        <v/>
      </c>
      <c r="F246" s="20" t="str">
        <f t="shared" si="32"/>
        <v/>
      </c>
      <c r="G246" s="20">
        <f t="shared" si="33"/>
        <v>0</v>
      </c>
      <c r="H246" s="20">
        <f t="shared" si="34"/>
        <v>0</v>
      </c>
      <c r="I246" s="20">
        <f t="shared" si="35"/>
        <v>0</v>
      </c>
      <c r="J246" s="20">
        <f t="shared" si="29"/>
        <v>0</v>
      </c>
      <c r="K246" s="20">
        <f t="shared" si="30"/>
        <v>0</v>
      </c>
      <c r="L246" s="20">
        <f t="shared" si="31"/>
        <v>0</v>
      </c>
    </row>
    <row r="247" spans="4:12" x14ac:dyDescent="0.35">
      <c r="D247" s="20" t="str">
        <f t="shared" si="36"/>
        <v/>
      </c>
      <c r="E247" s="21" t="str">
        <f t="shared" si="37"/>
        <v/>
      </c>
      <c r="F247" s="20" t="str">
        <f t="shared" si="32"/>
        <v/>
      </c>
      <c r="G247" s="20">
        <f t="shared" si="33"/>
        <v>0</v>
      </c>
      <c r="H247" s="20">
        <f t="shared" si="34"/>
        <v>0</v>
      </c>
      <c r="I247" s="20">
        <f t="shared" si="35"/>
        <v>0</v>
      </c>
      <c r="J247" s="20">
        <f t="shared" si="29"/>
        <v>0</v>
      </c>
      <c r="K247" s="20">
        <f t="shared" si="30"/>
        <v>0</v>
      </c>
      <c r="L247" s="20">
        <f t="shared" si="31"/>
        <v>0</v>
      </c>
    </row>
    <row r="248" spans="4:12" x14ac:dyDescent="0.35">
      <c r="D248" s="20" t="str">
        <f t="shared" si="36"/>
        <v/>
      </c>
      <c r="E248" s="21" t="str">
        <f t="shared" si="37"/>
        <v/>
      </c>
      <c r="F248" s="20" t="str">
        <f t="shared" si="32"/>
        <v/>
      </c>
      <c r="G248" s="20">
        <f t="shared" si="33"/>
        <v>0</v>
      </c>
      <c r="H248" s="20">
        <f t="shared" si="34"/>
        <v>0</v>
      </c>
      <c r="I248" s="20">
        <f t="shared" si="35"/>
        <v>0</v>
      </c>
      <c r="J248" s="20">
        <f t="shared" si="29"/>
        <v>0</v>
      </c>
      <c r="K248" s="20">
        <f t="shared" si="30"/>
        <v>0</v>
      </c>
      <c r="L248" s="20">
        <f t="shared" si="31"/>
        <v>0</v>
      </c>
    </row>
    <row r="249" spans="4:12" x14ac:dyDescent="0.35">
      <c r="D249" s="20" t="str">
        <f t="shared" si="36"/>
        <v/>
      </c>
      <c r="E249" s="21" t="str">
        <f t="shared" si="37"/>
        <v/>
      </c>
      <c r="F249" s="20" t="str">
        <f t="shared" si="32"/>
        <v/>
      </c>
      <c r="G249" s="20">
        <f t="shared" si="33"/>
        <v>0</v>
      </c>
      <c r="H249" s="20">
        <f t="shared" si="34"/>
        <v>0</v>
      </c>
      <c r="I249" s="20">
        <f t="shared" si="35"/>
        <v>0</v>
      </c>
      <c r="J249" s="20">
        <f t="shared" si="29"/>
        <v>0</v>
      </c>
      <c r="K249" s="20">
        <f t="shared" si="30"/>
        <v>0</v>
      </c>
      <c r="L249" s="20">
        <f t="shared" si="31"/>
        <v>0</v>
      </c>
    </row>
    <row r="250" spans="4:12" x14ac:dyDescent="0.35">
      <c r="D250" s="20" t="str">
        <f t="shared" si="36"/>
        <v/>
      </c>
      <c r="E250" s="21" t="str">
        <f t="shared" si="37"/>
        <v/>
      </c>
      <c r="F250" s="20" t="str">
        <f t="shared" si="32"/>
        <v/>
      </c>
      <c r="G250" s="20">
        <f t="shared" si="33"/>
        <v>0</v>
      </c>
      <c r="H250" s="20">
        <f t="shared" si="34"/>
        <v>0</v>
      </c>
      <c r="I250" s="20">
        <f t="shared" si="35"/>
        <v>0</v>
      </c>
      <c r="J250" s="20">
        <f t="shared" si="29"/>
        <v>0</v>
      </c>
      <c r="K250" s="20">
        <f t="shared" si="30"/>
        <v>0</v>
      </c>
      <c r="L250" s="20">
        <f t="shared" si="31"/>
        <v>0</v>
      </c>
    </row>
    <row r="251" spans="4:12" x14ac:dyDescent="0.35">
      <c r="D251" s="20" t="str">
        <f t="shared" si="36"/>
        <v/>
      </c>
      <c r="E251" s="21" t="str">
        <f t="shared" si="37"/>
        <v/>
      </c>
      <c r="F251" s="20" t="str">
        <f t="shared" si="32"/>
        <v/>
      </c>
      <c r="G251" s="20">
        <f t="shared" si="33"/>
        <v>0</v>
      </c>
      <c r="H251" s="20">
        <f t="shared" si="34"/>
        <v>0</v>
      </c>
      <c r="I251" s="20">
        <f t="shared" si="35"/>
        <v>0</v>
      </c>
      <c r="J251" s="20">
        <f t="shared" si="29"/>
        <v>0</v>
      </c>
      <c r="K251" s="20">
        <f t="shared" si="30"/>
        <v>0</v>
      </c>
      <c r="L251" s="20">
        <f t="shared" si="31"/>
        <v>0</v>
      </c>
    </row>
    <row r="252" spans="4:12" x14ac:dyDescent="0.35">
      <c r="D252" s="20" t="str">
        <f t="shared" si="36"/>
        <v/>
      </c>
      <c r="E252" s="21" t="str">
        <f t="shared" si="37"/>
        <v/>
      </c>
      <c r="F252" s="20" t="str">
        <f t="shared" si="32"/>
        <v/>
      </c>
      <c r="G252" s="20">
        <f t="shared" si="33"/>
        <v>0</v>
      </c>
      <c r="H252" s="20">
        <f t="shared" si="34"/>
        <v>0</v>
      </c>
      <c r="I252" s="20">
        <f t="shared" si="35"/>
        <v>0</v>
      </c>
      <c r="J252" s="20">
        <f t="shared" si="29"/>
        <v>0</v>
      </c>
      <c r="K252" s="20">
        <f t="shared" si="30"/>
        <v>0</v>
      </c>
      <c r="L252" s="20">
        <f t="shared" si="31"/>
        <v>0</v>
      </c>
    </row>
    <row r="253" spans="4:12" x14ac:dyDescent="0.35">
      <c r="D253" s="20" t="str">
        <f t="shared" si="36"/>
        <v/>
      </c>
      <c r="E253" s="21" t="str">
        <f t="shared" si="37"/>
        <v/>
      </c>
      <c r="F253" s="20" t="str">
        <f t="shared" si="32"/>
        <v/>
      </c>
      <c r="G253" s="20">
        <f t="shared" si="33"/>
        <v>0</v>
      </c>
      <c r="H253" s="20">
        <f t="shared" si="34"/>
        <v>0</v>
      </c>
      <c r="I253" s="20">
        <f t="shared" si="35"/>
        <v>0</v>
      </c>
      <c r="J253" s="20">
        <f t="shared" si="29"/>
        <v>0</v>
      </c>
      <c r="K253" s="20">
        <f t="shared" si="30"/>
        <v>0</v>
      </c>
      <c r="L253" s="20">
        <f t="shared" si="31"/>
        <v>0</v>
      </c>
    </row>
    <row r="254" spans="4:12" x14ac:dyDescent="0.35">
      <c r="D254" s="20" t="str">
        <f t="shared" si="36"/>
        <v/>
      </c>
      <c r="E254" s="21" t="str">
        <f t="shared" si="37"/>
        <v/>
      </c>
      <c r="F254" s="20" t="str">
        <f t="shared" si="32"/>
        <v/>
      </c>
      <c r="G254" s="20">
        <f t="shared" si="33"/>
        <v>0</v>
      </c>
      <c r="H254" s="20">
        <f t="shared" si="34"/>
        <v>0</v>
      </c>
      <c r="I254" s="20">
        <f t="shared" si="35"/>
        <v>0</v>
      </c>
      <c r="J254" s="20">
        <f t="shared" si="29"/>
        <v>0</v>
      </c>
      <c r="K254" s="20">
        <f t="shared" si="30"/>
        <v>0</v>
      </c>
      <c r="L254" s="20">
        <f t="shared" si="31"/>
        <v>0</v>
      </c>
    </row>
    <row r="255" spans="4:12" x14ac:dyDescent="0.35">
      <c r="D255" s="20" t="str">
        <f t="shared" si="36"/>
        <v/>
      </c>
      <c r="E255" s="21" t="str">
        <f t="shared" si="37"/>
        <v/>
      </c>
      <c r="F255" s="20" t="str">
        <f t="shared" si="32"/>
        <v/>
      </c>
      <c r="G255" s="20">
        <f t="shared" si="33"/>
        <v>0</v>
      </c>
      <c r="H255" s="20">
        <f t="shared" si="34"/>
        <v>0</v>
      </c>
      <c r="I255" s="20">
        <f t="shared" si="35"/>
        <v>0</v>
      </c>
      <c r="J255" s="20">
        <f t="shared" si="29"/>
        <v>0</v>
      </c>
      <c r="K255" s="20">
        <f t="shared" si="30"/>
        <v>0</v>
      </c>
      <c r="L255" s="20">
        <f t="shared" si="31"/>
        <v>0</v>
      </c>
    </row>
    <row r="256" spans="4:12" x14ac:dyDescent="0.35">
      <c r="D256" s="20" t="str">
        <f t="shared" si="36"/>
        <v/>
      </c>
      <c r="E256" s="21" t="str">
        <f t="shared" si="37"/>
        <v/>
      </c>
      <c r="F256" s="20" t="str">
        <f t="shared" si="32"/>
        <v/>
      </c>
      <c r="G256" s="20">
        <f t="shared" si="33"/>
        <v>0</v>
      </c>
      <c r="H256" s="20">
        <f t="shared" si="34"/>
        <v>0</v>
      </c>
      <c r="I256" s="20">
        <f t="shared" si="35"/>
        <v>0</v>
      </c>
      <c r="J256" s="20">
        <f t="shared" si="29"/>
        <v>0</v>
      </c>
      <c r="K256" s="20">
        <f t="shared" si="30"/>
        <v>0</v>
      </c>
      <c r="L256" s="20">
        <f t="shared" si="31"/>
        <v>0</v>
      </c>
    </row>
    <row r="257" spans="4:12" x14ac:dyDescent="0.35">
      <c r="D257" s="20" t="str">
        <f t="shared" si="36"/>
        <v/>
      </c>
      <c r="E257" s="21" t="str">
        <f t="shared" si="37"/>
        <v/>
      </c>
      <c r="F257" s="20" t="str">
        <f t="shared" si="32"/>
        <v/>
      </c>
      <c r="G257" s="20">
        <f t="shared" si="33"/>
        <v>0</v>
      </c>
      <c r="H257" s="20">
        <f t="shared" si="34"/>
        <v>0</v>
      </c>
      <c r="I257" s="20">
        <f t="shared" si="35"/>
        <v>0</v>
      </c>
      <c r="J257" s="20">
        <f t="shared" si="29"/>
        <v>0</v>
      </c>
      <c r="K257" s="20">
        <f t="shared" si="30"/>
        <v>0</v>
      </c>
      <c r="L257" s="20">
        <f t="shared" si="31"/>
        <v>0</v>
      </c>
    </row>
    <row r="258" spans="4:12" x14ac:dyDescent="0.35">
      <c r="D258" s="20" t="str">
        <f t="shared" si="36"/>
        <v/>
      </c>
      <c r="E258" s="21" t="str">
        <f t="shared" si="37"/>
        <v/>
      </c>
      <c r="F258" s="20" t="str">
        <f t="shared" si="32"/>
        <v/>
      </c>
      <c r="G258" s="20">
        <f t="shared" si="33"/>
        <v>0</v>
      </c>
      <c r="H258" s="20">
        <f t="shared" si="34"/>
        <v>0</v>
      </c>
      <c r="I258" s="20">
        <f t="shared" si="35"/>
        <v>0</v>
      </c>
      <c r="J258" s="20">
        <f t="shared" si="29"/>
        <v>0</v>
      </c>
      <c r="K258" s="20">
        <f t="shared" si="30"/>
        <v>0</v>
      </c>
      <c r="L258" s="20">
        <f t="shared" si="31"/>
        <v>0</v>
      </c>
    </row>
    <row r="259" spans="4:12" x14ac:dyDescent="0.35">
      <c r="D259" s="20" t="str">
        <f t="shared" si="36"/>
        <v/>
      </c>
      <c r="E259" s="21" t="str">
        <f t="shared" si="37"/>
        <v/>
      </c>
      <c r="F259" s="20" t="str">
        <f t="shared" si="32"/>
        <v/>
      </c>
      <c r="G259" s="20">
        <f t="shared" si="33"/>
        <v>0</v>
      </c>
      <c r="H259" s="20">
        <f t="shared" si="34"/>
        <v>0</v>
      </c>
      <c r="I259" s="20">
        <f t="shared" si="35"/>
        <v>0</v>
      </c>
      <c r="J259" s="20">
        <f t="shared" ref="J259:J322" si="38">ABS(G259)</f>
        <v>0</v>
      </c>
      <c r="K259" s="20">
        <f t="shared" ref="K259:K322" si="39">ABS(H259)</f>
        <v>0</v>
      </c>
      <c r="L259" s="20">
        <f t="shared" ref="L259:L322" si="40">ABS(I259)</f>
        <v>0</v>
      </c>
    </row>
    <row r="260" spans="4:12" x14ac:dyDescent="0.35">
      <c r="D260" s="20" t="str">
        <f t="shared" si="36"/>
        <v/>
      </c>
      <c r="E260" s="21" t="str">
        <f t="shared" si="37"/>
        <v/>
      </c>
      <c r="F260" s="20" t="str">
        <f t="shared" ref="F260:F323" si="41">IF(D259&lt;=$B$5,((3*E260^2)-(4*E260)*(SIN(1.4*E260^3)^2))/((0.4*E260^2+1)^(1/4)),"")</f>
        <v/>
      </c>
      <c r="G260" s="20">
        <f t="shared" ref="G260:G323" si="42">IF(D260=$B$5+1,F260,0)</f>
        <v>0</v>
      </c>
      <c r="H260" s="20">
        <f t="shared" ref="H260:H323" si="43">IF(D259&lt;$B$5,F260*MOD(D259,2),0)</f>
        <v>0</v>
      </c>
      <c r="I260" s="20">
        <f t="shared" ref="I260:I323" si="44">IF(D259&lt;$B$5,F260*MOD(D260,2),0)</f>
        <v>0</v>
      </c>
      <c r="J260" s="20">
        <f t="shared" si="38"/>
        <v>0</v>
      </c>
      <c r="K260" s="20">
        <f t="shared" si="39"/>
        <v>0</v>
      </c>
      <c r="L260" s="20">
        <f t="shared" si="40"/>
        <v>0</v>
      </c>
    </row>
    <row r="261" spans="4:12" x14ac:dyDescent="0.35">
      <c r="D261" s="20" t="str">
        <f t="shared" si="36"/>
        <v/>
      </c>
      <c r="E261" s="21" t="str">
        <f t="shared" si="37"/>
        <v/>
      </c>
      <c r="F261" s="20" t="str">
        <f t="shared" si="41"/>
        <v/>
      </c>
      <c r="G261" s="20">
        <f t="shared" si="42"/>
        <v>0</v>
      </c>
      <c r="H261" s="20">
        <f t="shared" si="43"/>
        <v>0</v>
      </c>
      <c r="I261" s="20">
        <f t="shared" si="44"/>
        <v>0</v>
      </c>
      <c r="J261" s="20">
        <f t="shared" si="38"/>
        <v>0</v>
      </c>
      <c r="K261" s="20">
        <f t="shared" si="39"/>
        <v>0</v>
      </c>
      <c r="L261" s="20">
        <f t="shared" si="40"/>
        <v>0</v>
      </c>
    </row>
    <row r="262" spans="4:12" x14ac:dyDescent="0.35">
      <c r="D262" s="20" t="str">
        <f t="shared" si="36"/>
        <v/>
      </c>
      <c r="E262" s="21" t="str">
        <f t="shared" si="37"/>
        <v/>
      </c>
      <c r="F262" s="20" t="str">
        <f t="shared" si="41"/>
        <v/>
      </c>
      <c r="G262" s="20">
        <f t="shared" si="42"/>
        <v>0</v>
      </c>
      <c r="H262" s="20">
        <f t="shared" si="43"/>
        <v>0</v>
      </c>
      <c r="I262" s="20">
        <f t="shared" si="44"/>
        <v>0</v>
      </c>
      <c r="J262" s="20">
        <f t="shared" si="38"/>
        <v>0</v>
      </c>
      <c r="K262" s="20">
        <f t="shared" si="39"/>
        <v>0</v>
      </c>
      <c r="L262" s="20">
        <f t="shared" si="40"/>
        <v>0</v>
      </c>
    </row>
    <row r="263" spans="4:12" x14ac:dyDescent="0.35">
      <c r="D263" s="20" t="str">
        <f t="shared" si="36"/>
        <v/>
      </c>
      <c r="E263" s="21" t="str">
        <f t="shared" si="37"/>
        <v/>
      </c>
      <c r="F263" s="20" t="str">
        <f t="shared" si="41"/>
        <v/>
      </c>
      <c r="G263" s="20">
        <f t="shared" si="42"/>
        <v>0</v>
      </c>
      <c r="H263" s="20">
        <f t="shared" si="43"/>
        <v>0</v>
      </c>
      <c r="I263" s="20">
        <f t="shared" si="44"/>
        <v>0</v>
      </c>
      <c r="J263" s="20">
        <f t="shared" si="38"/>
        <v>0</v>
      </c>
      <c r="K263" s="20">
        <f t="shared" si="39"/>
        <v>0</v>
      </c>
      <c r="L263" s="20">
        <f t="shared" si="40"/>
        <v>0</v>
      </c>
    </row>
    <row r="264" spans="4:12" x14ac:dyDescent="0.35">
      <c r="D264" s="20" t="str">
        <f t="shared" si="36"/>
        <v/>
      </c>
      <c r="E264" s="21" t="str">
        <f t="shared" si="37"/>
        <v/>
      </c>
      <c r="F264" s="20" t="str">
        <f t="shared" si="41"/>
        <v/>
      </c>
      <c r="G264" s="20">
        <f t="shared" si="42"/>
        <v>0</v>
      </c>
      <c r="H264" s="20">
        <f t="shared" si="43"/>
        <v>0</v>
      </c>
      <c r="I264" s="20">
        <f t="shared" si="44"/>
        <v>0</v>
      </c>
      <c r="J264" s="20">
        <f t="shared" si="38"/>
        <v>0</v>
      </c>
      <c r="K264" s="20">
        <f t="shared" si="39"/>
        <v>0</v>
      </c>
      <c r="L264" s="20">
        <f t="shared" si="40"/>
        <v>0</v>
      </c>
    </row>
    <row r="265" spans="4:12" x14ac:dyDescent="0.35">
      <c r="D265" s="20" t="str">
        <f t="shared" si="36"/>
        <v/>
      </c>
      <c r="E265" s="21" t="str">
        <f t="shared" si="37"/>
        <v/>
      </c>
      <c r="F265" s="20" t="str">
        <f t="shared" si="41"/>
        <v/>
      </c>
      <c r="G265" s="20">
        <f t="shared" si="42"/>
        <v>0</v>
      </c>
      <c r="H265" s="20">
        <f t="shared" si="43"/>
        <v>0</v>
      </c>
      <c r="I265" s="20">
        <f t="shared" si="44"/>
        <v>0</v>
      </c>
      <c r="J265" s="20">
        <f t="shared" si="38"/>
        <v>0</v>
      </c>
      <c r="K265" s="20">
        <f t="shared" si="39"/>
        <v>0</v>
      </c>
      <c r="L265" s="20">
        <f t="shared" si="40"/>
        <v>0</v>
      </c>
    </row>
    <row r="266" spans="4:12" x14ac:dyDescent="0.35">
      <c r="D266" s="20" t="str">
        <f t="shared" si="36"/>
        <v/>
      </c>
      <c r="E266" s="21" t="str">
        <f t="shared" si="37"/>
        <v/>
      </c>
      <c r="F266" s="20" t="str">
        <f t="shared" si="41"/>
        <v/>
      </c>
      <c r="G266" s="20">
        <f t="shared" si="42"/>
        <v>0</v>
      </c>
      <c r="H266" s="20">
        <f t="shared" si="43"/>
        <v>0</v>
      </c>
      <c r="I266" s="20">
        <f t="shared" si="44"/>
        <v>0</v>
      </c>
      <c r="J266" s="20">
        <f t="shared" si="38"/>
        <v>0</v>
      </c>
      <c r="K266" s="20">
        <f t="shared" si="39"/>
        <v>0</v>
      </c>
      <c r="L266" s="20">
        <f t="shared" si="40"/>
        <v>0</v>
      </c>
    </row>
    <row r="267" spans="4:12" x14ac:dyDescent="0.35">
      <c r="D267" s="20" t="str">
        <f t="shared" si="36"/>
        <v/>
      </c>
      <c r="E267" s="21" t="str">
        <f t="shared" si="37"/>
        <v/>
      </c>
      <c r="F267" s="20" t="str">
        <f t="shared" si="41"/>
        <v/>
      </c>
      <c r="G267" s="20">
        <f t="shared" si="42"/>
        <v>0</v>
      </c>
      <c r="H267" s="20">
        <f t="shared" si="43"/>
        <v>0</v>
      </c>
      <c r="I267" s="20">
        <f t="shared" si="44"/>
        <v>0</v>
      </c>
      <c r="J267" s="20">
        <f t="shared" si="38"/>
        <v>0</v>
      </c>
      <c r="K267" s="20">
        <f t="shared" si="39"/>
        <v>0</v>
      </c>
      <c r="L267" s="20">
        <f t="shared" si="40"/>
        <v>0</v>
      </c>
    </row>
    <row r="268" spans="4:12" x14ac:dyDescent="0.35">
      <c r="D268" s="20" t="str">
        <f t="shared" si="36"/>
        <v/>
      </c>
      <c r="E268" s="21" t="str">
        <f t="shared" si="37"/>
        <v/>
      </c>
      <c r="F268" s="20" t="str">
        <f t="shared" si="41"/>
        <v/>
      </c>
      <c r="G268" s="20">
        <f t="shared" si="42"/>
        <v>0</v>
      </c>
      <c r="H268" s="20">
        <f t="shared" si="43"/>
        <v>0</v>
      </c>
      <c r="I268" s="20">
        <f t="shared" si="44"/>
        <v>0</v>
      </c>
      <c r="J268" s="20">
        <f t="shared" si="38"/>
        <v>0</v>
      </c>
      <c r="K268" s="20">
        <f t="shared" si="39"/>
        <v>0</v>
      </c>
      <c r="L268" s="20">
        <f t="shared" si="40"/>
        <v>0</v>
      </c>
    </row>
    <row r="269" spans="4:12" x14ac:dyDescent="0.35">
      <c r="D269" s="20" t="str">
        <f t="shared" si="36"/>
        <v/>
      </c>
      <c r="E269" s="21" t="str">
        <f t="shared" si="37"/>
        <v/>
      </c>
      <c r="F269" s="20" t="str">
        <f t="shared" si="41"/>
        <v/>
      </c>
      <c r="G269" s="20">
        <f t="shared" si="42"/>
        <v>0</v>
      </c>
      <c r="H269" s="20">
        <f t="shared" si="43"/>
        <v>0</v>
      </c>
      <c r="I269" s="20">
        <f t="shared" si="44"/>
        <v>0</v>
      </c>
      <c r="J269" s="20">
        <f t="shared" si="38"/>
        <v>0</v>
      </c>
      <c r="K269" s="20">
        <f t="shared" si="39"/>
        <v>0</v>
      </c>
      <c r="L269" s="20">
        <f t="shared" si="40"/>
        <v>0</v>
      </c>
    </row>
    <row r="270" spans="4:12" x14ac:dyDescent="0.35">
      <c r="D270" s="20" t="str">
        <f t="shared" si="36"/>
        <v/>
      </c>
      <c r="E270" s="21" t="str">
        <f t="shared" si="37"/>
        <v/>
      </c>
      <c r="F270" s="20" t="str">
        <f t="shared" si="41"/>
        <v/>
      </c>
      <c r="G270" s="20">
        <f t="shared" si="42"/>
        <v>0</v>
      </c>
      <c r="H270" s="20">
        <f t="shared" si="43"/>
        <v>0</v>
      </c>
      <c r="I270" s="20">
        <f t="shared" si="44"/>
        <v>0</v>
      </c>
      <c r="J270" s="20">
        <f t="shared" si="38"/>
        <v>0</v>
      </c>
      <c r="K270" s="20">
        <f t="shared" si="39"/>
        <v>0</v>
      </c>
      <c r="L270" s="20">
        <f t="shared" si="40"/>
        <v>0</v>
      </c>
    </row>
    <row r="271" spans="4:12" x14ac:dyDescent="0.35">
      <c r="D271" s="20" t="str">
        <f t="shared" si="36"/>
        <v/>
      </c>
      <c r="E271" s="21" t="str">
        <f t="shared" si="37"/>
        <v/>
      </c>
      <c r="F271" s="20" t="str">
        <f t="shared" si="41"/>
        <v/>
      </c>
      <c r="G271" s="20">
        <f t="shared" si="42"/>
        <v>0</v>
      </c>
      <c r="H271" s="20">
        <f t="shared" si="43"/>
        <v>0</v>
      </c>
      <c r="I271" s="20">
        <f t="shared" si="44"/>
        <v>0</v>
      </c>
      <c r="J271" s="20">
        <f t="shared" si="38"/>
        <v>0</v>
      </c>
      <c r="K271" s="20">
        <f t="shared" si="39"/>
        <v>0</v>
      </c>
      <c r="L271" s="20">
        <f t="shared" si="40"/>
        <v>0</v>
      </c>
    </row>
    <row r="272" spans="4:12" x14ac:dyDescent="0.35">
      <c r="D272" s="20" t="str">
        <f t="shared" si="36"/>
        <v/>
      </c>
      <c r="E272" s="21" t="str">
        <f t="shared" si="37"/>
        <v/>
      </c>
      <c r="F272" s="20" t="str">
        <f t="shared" si="41"/>
        <v/>
      </c>
      <c r="G272" s="20">
        <f t="shared" si="42"/>
        <v>0</v>
      </c>
      <c r="H272" s="20">
        <f t="shared" si="43"/>
        <v>0</v>
      </c>
      <c r="I272" s="20">
        <f t="shared" si="44"/>
        <v>0</v>
      </c>
      <c r="J272" s="20">
        <f t="shared" si="38"/>
        <v>0</v>
      </c>
      <c r="K272" s="20">
        <f t="shared" si="39"/>
        <v>0</v>
      </c>
      <c r="L272" s="20">
        <f t="shared" si="40"/>
        <v>0</v>
      </c>
    </row>
    <row r="273" spans="4:12" x14ac:dyDescent="0.35">
      <c r="D273" s="20" t="str">
        <f t="shared" si="36"/>
        <v/>
      </c>
      <c r="E273" s="21" t="str">
        <f t="shared" si="37"/>
        <v/>
      </c>
      <c r="F273" s="20" t="str">
        <f t="shared" si="41"/>
        <v/>
      </c>
      <c r="G273" s="20">
        <f t="shared" si="42"/>
        <v>0</v>
      </c>
      <c r="H273" s="20">
        <f t="shared" si="43"/>
        <v>0</v>
      </c>
      <c r="I273" s="20">
        <f t="shared" si="44"/>
        <v>0</v>
      </c>
      <c r="J273" s="20">
        <f t="shared" si="38"/>
        <v>0</v>
      </c>
      <c r="K273" s="20">
        <f t="shared" si="39"/>
        <v>0</v>
      </c>
      <c r="L273" s="20">
        <f t="shared" si="40"/>
        <v>0</v>
      </c>
    </row>
    <row r="274" spans="4:12" x14ac:dyDescent="0.35">
      <c r="D274" s="20" t="str">
        <f t="shared" si="36"/>
        <v/>
      </c>
      <c r="E274" s="21" t="str">
        <f t="shared" si="37"/>
        <v/>
      </c>
      <c r="F274" s="20" t="str">
        <f t="shared" si="41"/>
        <v/>
      </c>
      <c r="G274" s="20">
        <f t="shared" si="42"/>
        <v>0</v>
      </c>
      <c r="H274" s="20">
        <f t="shared" si="43"/>
        <v>0</v>
      </c>
      <c r="I274" s="20">
        <f t="shared" si="44"/>
        <v>0</v>
      </c>
      <c r="J274" s="20">
        <f t="shared" si="38"/>
        <v>0</v>
      </c>
      <c r="K274" s="20">
        <f t="shared" si="39"/>
        <v>0</v>
      </c>
      <c r="L274" s="20">
        <f t="shared" si="40"/>
        <v>0</v>
      </c>
    </row>
    <row r="275" spans="4:12" x14ac:dyDescent="0.35">
      <c r="D275" s="20" t="str">
        <f t="shared" si="36"/>
        <v/>
      </c>
      <c r="E275" s="21" t="str">
        <f t="shared" si="37"/>
        <v/>
      </c>
      <c r="F275" s="20" t="str">
        <f t="shared" si="41"/>
        <v/>
      </c>
      <c r="G275" s="20">
        <f t="shared" si="42"/>
        <v>0</v>
      </c>
      <c r="H275" s="20">
        <f t="shared" si="43"/>
        <v>0</v>
      </c>
      <c r="I275" s="20">
        <f t="shared" si="44"/>
        <v>0</v>
      </c>
      <c r="J275" s="20">
        <f t="shared" si="38"/>
        <v>0</v>
      </c>
      <c r="K275" s="20">
        <f t="shared" si="39"/>
        <v>0</v>
      </c>
      <c r="L275" s="20">
        <f t="shared" si="40"/>
        <v>0</v>
      </c>
    </row>
    <row r="276" spans="4:12" x14ac:dyDescent="0.35">
      <c r="D276" s="20" t="str">
        <f t="shared" si="36"/>
        <v/>
      </c>
      <c r="E276" s="21" t="str">
        <f t="shared" si="37"/>
        <v/>
      </c>
      <c r="F276" s="20" t="str">
        <f t="shared" si="41"/>
        <v/>
      </c>
      <c r="G276" s="20">
        <f t="shared" si="42"/>
        <v>0</v>
      </c>
      <c r="H276" s="20">
        <f t="shared" si="43"/>
        <v>0</v>
      </c>
      <c r="I276" s="20">
        <f t="shared" si="44"/>
        <v>0</v>
      </c>
      <c r="J276" s="20">
        <f t="shared" si="38"/>
        <v>0</v>
      </c>
      <c r="K276" s="20">
        <f t="shared" si="39"/>
        <v>0</v>
      </c>
      <c r="L276" s="20">
        <f t="shared" si="40"/>
        <v>0</v>
      </c>
    </row>
    <row r="277" spans="4:12" x14ac:dyDescent="0.35">
      <c r="D277" s="20" t="str">
        <f t="shared" si="36"/>
        <v/>
      </c>
      <c r="E277" s="21" t="str">
        <f t="shared" si="37"/>
        <v/>
      </c>
      <c r="F277" s="20" t="str">
        <f t="shared" si="41"/>
        <v/>
      </c>
      <c r="G277" s="20">
        <f t="shared" si="42"/>
        <v>0</v>
      </c>
      <c r="H277" s="20">
        <f t="shared" si="43"/>
        <v>0</v>
      </c>
      <c r="I277" s="20">
        <f t="shared" si="44"/>
        <v>0</v>
      </c>
      <c r="J277" s="20">
        <f t="shared" si="38"/>
        <v>0</v>
      </c>
      <c r="K277" s="20">
        <f t="shared" si="39"/>
        <v>0</v>
      </c>
      <c r="L277" s="20">
        <f t="shared" si="40"/>
        <v>0</v>
      </c>
    </row>
    <row r="278" spans="4:12" x14ac:dyDescent="0.35">
      <c r="D278" s="20" t="str">
        <f t="shared" si="36"/>
        <v/>
      </c>
      <c r="E278" s="21" t="str">
        <f t="shared" si="37"/>
        <v/>
      </c>
      <c r="F278" s="20" t="str">
        <f t="shared" si="41"/>
        <v/>
      </c>
      <c r="G278" s="20">
        <f t="shared" si="42"/>
        <v>0</v>
      </c>
      <c r="H278" s="20">
        <f t="shared" si="43"/>
        <v>0</v>
      </c>
      <c r="I278" s="20">
        <f t="shared" si="44"/>
        <v>0</v>
      </c>
      <c r="J278" s="20">
        <f t="shared" si="38"/>
        <v>0</v>
      </c>
      <c r="K278" s="20">
        <f t="shared" si="39"/>
        <v>0</v>
      </c>
      <c r="L278" s="20">
        <f t="shared" si="40"/>
        <v>0</v>
      </c>
    </row>
    <row r="279" spans="4:12" x14ac:dyDescent="0.35">
      <c r="D279" s="20" t="str">
        <f t="shared" ref="D279:D342" si="45">IF(D278&lt;=$B$5,D278+1,"")</f>
        <v/>
      </c>
      <c r="E279" s="21" t="str">
        <f t="shared" ref="E279:E342" si="46">IF(D278&lt;=$B$5,E278+$B$6,"")</f>
        <v/>
      </c>
      <c r="F279" s="20" t="str">
        <f t="shared" si="41"/>
        <v/>
      </c>
      <c r="G279" s="20">
        <f t="shared" si="42"/>
        <v>0</v>
      </c>
      <c r="H279" s="20">
        <f t="shared" si="43"/>
        <v>0</v>
      </c>
      <c r="I279" s="20">
        <f t="shared" si="44"/>
        <v>0</v>
      </c>
      <c r="J279" s="20">
        <f t="shared" si="38"/>
        <v>0</v>
      </c>
      <c r="K279" s="20">
        <f t="shared" si="39"/>
        <v>0</v>
      </c>
      <c r="L279" s="20">
        <f t="shared" si="40"/>
        <v>0</v>
      </c>
    </row>
    <row r="280" spans="4:12" x14ac:dyDescent="0.35">
      <c r="D280" s="20" t="str">
        <f t="shared" si="45"/>
        <v/>
      </c>
      <c r="E280" s="21" t="str">
        <f t="shared" si="46"/>
        <v/>
      </c>
      <c r="F280" s="20" t="str">
        <f t="shared" si="41"/>
        <v/>
      </c>
      <c r="G280" s="20">
        <f t="shared" si="42"/>
        <v>0</v>
      </c>
      <c r="H280" s="20">
        <f t="shared" si="43"/>
        <v>0</v>
      </c>
      <c r="I280" s="20">
        <f t="shared" si="44"/>
        <v>0</v>
      </c>
      <c r="J280" s="20">
        <f t="shared" si="38"/>
        <v>0</v>
      </c>
      <c r="K280" s="20">
        <f t="shared" si="39"/>
        <v>0</v>
      </c>
      <c r="L280" s="20">
        <f t="shared" si="40"/>
        <v>0</v>
      </c>
    </row>
    <row r="281" spans="4:12" x14ac:dyDescent="0.35">
      <c r="D281" s="20" t="str">
        <f t="shared" si="45"/>
        <v/>
      </c>
      <c r="E281" s="21" t="str">
        <f t="shared" si="46"/>
        <v/>
      </c>
      <c r="F281" s="20" t="str">
        <f t="shared" si="41"/>
        <v/>
      </c>
      <c r="G281" s="20">
        <f t="shared" si="42"/>
        <v>0</v>
      </c>
      <c r="H281" s="20">
        <f t="shared" si="43"/>
        <v>0</v>
      </c>
      <c r="I281" s="20">
        <f t="shared" si="44"/>
        <v>0</v>
      </c>
      <c r="J281" s="20">
        <f t="shared" si="38"/>
        <v>0</v>
      </c>
      <c r="K281" s="20">
        <f t="shared" si="39"/>
        <v>0</v>
      </c>
      <c r="L281" s="20">
        <f t="shared" si="40"/>
        <v>0</v>
      </c>
    </row>
    <row r="282" spans="4:12" x14ac:dyDescent="0.35">
      <c r="D282" s="20" t="str">
        <f t="shared" si="45"/>
        <v/>
      </c>
      <c r="E282" s="21" t="str">
        <f t="shared" si="46"/>
        <v/>
      </c>
      <c r="F282" s="20" t="str">
        <f t="shared" si="41"/>
        <v/>
      </c>
      <c r="G282" s="20">
        <f t="shared" si="42"/>
        <v>0</v>
      </c>
      <c r="H282" s="20">
        <f t="shared" si="43"/>
        <v>0</v>
      </c>
      <c r="I282" s="20">
        <f t="shared" si="44"/>
        <v>0</v>
      </c>
      <c r="J282" s="20">
        <f t="shared" si="38"/>
        <v>0</v>
      </c>
      <c r="K282" s="20">
        <f t="shared" si="39"/>
        <v>0</v>
      </c>
      <c r="L282" s="20">
        <f t="shared" si="40"/>
        <v>0</v>
      </c>
    </row>
    <row r="283" spans="4:12" x14ac:dyDescent="0.35">
      <c r="D283" s="20" t="str">
        <f t="shared" si="45"/>
        <v/>
      </c>
      <c r="E283" s="21" t="str">
        <f t="shared" si="46"/>
        <v/>
      </c>
      <c r="F283" s="20" t="str">
        <f t="shared" si="41"/>
        <v/>
      </c>
      <c r="G283" s="20">
        <f t="shared" si="42"/>
        <v>0</v>
      </c>
      <c r="H283" s="20">
        <f t="shared" si="43"/>
        <v>0</v>
      </c>
      <c r="I283" s="20">
        <f t="shared" si="44"/>
        <v>0</v>
      </c>
      <c r="J283" s="20">
        <f t="shared" si="38"/>
        <v>0</v>
      </c>
      <c r="K283" s="20">
        <f t="shared" si="39"/>
        <v>0</v>
      </c>
      <c r="L283" s="20">
        <f t="shared" si="40"/>
        <v>0</v>
      </c>
    </row>
    <row r="284" spans="4:12" x14ac:dyDescent="0.35">
      <c r="D284" s="20" t="str">
        <f t="shared" si="45"/>
        <v/>
      </c>
      <c r="E284" s="21" t="str">
        <f t="shared" si="46"/>
        <v/>
      </c>
      <c r="F284" s="20" t="str">
        <f t="shared" si="41"/>
        <v/>
      </c>
      <c r="G284" s="20">
        <f t="shared" si="42"/>
        <v>0</v>
      </c>
      <c r="H284" s="20">
        <f t="shared" si="43"/>
        <v>0</v>
      </c>
      <c r="I284" s="20">
        <f t="shared" si="44"/>
        <v>0</v>
      </c>
      <c r="J284" s="20">
        <f t="shared" si="38"/>
        <v>0</v>
      </c>
      <c r="K284" s="20">
        <f t="shared" si="39"/>
        <v>0</v>
      </c>
      <c r="L284" s="20">
        <f t="shared" si="40"/>
        <v>0</v>
      </c>
    </row>
    <row r="285" spans="4:12" x14ac:dyDescent="0.35">
      <c r="D285" s="20" t="str">
        <f t="shared" si="45"/>
        <v/>
      </c>
      <c r="E285" s="21" t="str">
        <f t="shared" si="46"/>
        <v/>
      </c>
      <c r="F285" s="20" t="str">
        <f t="shared" si="41"/>
        <v/>
      </c>
      <c r="G285" s="20">
        <f t="shared" si="42"/>
        <v>0</v>
      </c>
      <c r="H285" s="20">
        <f t="shared" si="43"/>
        <v>0</v>
      </c>
      <c r="I285" s="20">
        <f t="shared" si="44"/>
        <v>0</v>
      </c>
      <c r="J285" s="20">
        <f t="shared" si="38"/>
        <v>0</v>
      </c>
      <c r="K285" s="20">
        <f t="shared" si="39"/>
        <v>0</v>
      </c>
      <c r="L285" s="20">
        <f t="shared" si="40"/>
        <v>0</v>
      </c>
    </row>
    <row r="286" spans="4:12" x14ac:dyDescent="0.35">
      <c r="D286" s="20" t="str">
        <f t="shared" si="45"/>
        <v/>
      </c>
      <c r="E286" s="21" t="str">
        <f t="shared" si="46"/>
        <v/>
      </c>
      <c r="F286" s="20" t="str">
        <f t="shared" si="41"/>
        <v/>
      </c>
      <c r="G286" s="20">
        <f t="shared" si="42"/>
        <v>0</v>
      </c>
      <c r="H286" s="20">
        <f t="shared" si="43"/>
        <v>0</v>
      </c>
      <c r="I286" s="20">
        <f t="shared" si="44"/>
        <v>0</v>
      </c>
      <c r="J286" s="20">
        <f t="shared" si="38"/>
        <v>0</v>
      </c>
      <c r="K286" s="20">
        <f t="shared" si="39"/>
        <v>0</v>
      </c>
      <c r="L286" s="20">
        <f t="shared" si="40"/>
        <v>0</v>
      </c>
    </row>
    <row r="287" spans="4:12" x14ac:dyDescent="0.35">
      <c r="D287" s="20" t="str">
        <f t="shared" si="45"/>
        <v/>
      </c>
      <c r="E287" s="21" t="str">
        <f t="shared" si="46"/>
        <v/>
      </c>
      <c r="F287" s="20" t="str">
        <f t="shared" si="41"/>
        <v/>
      </c>
      <c r="G287" s="20">
        <f t="shared" si="42"/>
        <v>0</v>
      </c>
      <c r="H287" s="20">
        <f t="shared" si="43"/>
        <v>0</v>
      </c>
      <c r="I287" s="20">
        <f t="shared" si="44"/>
        <v>0</v>
      </c>
      <c r="J287" s="20">
        <f t="shared" si="38"/>
        <v>0</v>
      </c>
      <c r="K287" s="20">
        <f t="shared" si="39"/>
        <v>0</v>
      </c>
      <c r="L287" s="20">
        <f t="shared" si="40"/>
        <v>0</v>
      </c>
    </row>
    <row r="288" spans="4:12" x14ac:dyDescent="0.35">
      <c r="D288" s="20" t="str">
        <f t="shared" si="45"/>
        <v/>
      </c>
      <c r="E288" s="21" t="str">
        <f t="shared" si="46"/>
        <v/>
      </c>
      <c r="F288" s="20" t="str">
        <f t="shared" si="41"/>
        <v/>
      </c>
      <c r="G288" s="20">
        <f t="shared" si="42"/>
        <v>0</v>
      </c>
      <c r="H288" s="20">
        <f t="shared" si="43"/>
        <v>0</v>
      </c>
      <c r="I288" s="20">
        <f t="shared" si="44"/>
        <v>0</v>
      </c>
      <c r="J288" s="20">
        <f t="shared" si="38"/>
        <v>0</v>
      </c>
      <c r="K288" s="20">
        <f t="shared" si="39"/>
        <v>0</v>
      </c>
      <c r="L288" s="20">
        <f t="shared" si="40"/>
        <v>0</v>
      </c>
    </row>
    <row r="289" spans="4:12" x14ac:dyDescent="0.35">
      <c r="D289" s="20" t="str">
        <f t="shared" si="45"/>
        <v/>
      </c>
      <c r="E289" s="21" t="str">
        <f t="shared" si="46"/>
        <v/>
      </c>
      <c r="F289" s="20" t="str">
        <f t="shared" si="41"/>
        <v/>
      </c>
      <c r="G289" s="20">
        <f t="shared" si="42"/>
        <v>0</v>
      </c>
      <c r="H289" s="20">
        <f t="shared" si="43"/>
        <v>0</v>
      </c>
      <c r="I289" s="20">
        <f t="shared" si="44"/>
        <v>0</v>
      </c>
      <c r="J289" s="20">
        <f t="shared" si="38"/>
        <v>0</v>
      </c>
      <c r="K289" s="20">
        <f t="shared" si="39"/>
        <v>0</v>
      </c>
      <c r="L289" s="20">
        <f t="shared" si="40"/>
        <v>0</v>
      </c>
    </row>
    <row r="290" spans="4:12" x14ac:dyDescent="0.35">
      <c r="D290" s="20" t="str">
        <f t="shared" si="45"/>
        <v/>
      </c>
      <c r="E290" s="21" t="str">
        <f t="shared" si="46"/>
        <v/>
      </c>
      <c r="F290" s="20" t="str">
        <f t="shared" si="41"/>
        <v/>
      </c>
      <c r="G290" s="20">
        <f t="shared" si="42"/>
        <v>0</v>
      </c>
      <c r="H290" s="20">
        <f t="shared" si="43"/>
        <v>0</v>
      </c>
      <c r="I290" s="20">
        <f t="shared" si="44"/>
        <v>0</v>
      </c>
      <c r="J290" s="20">
        <f t="shared" si="38"/>
        <v>0</v>
      </c>
      <c r="K290" s="20">
        <f t="shared" si="39"/>
        <v>0</v>
      </c>
      <c r="L290" s="20">
        <f t="shared" si="40"/>
        <v>0</v>
      </c>
    </row>
    <row r="291" spans="4:12" x14ac:dyDescent="0.35">
      <c r="D291" s="20" t="str">
        <f t="shared" si="45"/>
        <v/>
      </c>
      <c r="E291" s="21" t="str">
        <f t="shared" si="46"/>
        <v/>
      </c>
      <c r="F291" s="20" t="str">
        <f t="shared" si="41"/>
        <v/>
      </c>
      <c r="G291" s="20">
        <f t="shared" si="42"/>
        <v>0</v>
      </c>
      <c r="H291" s="20">
        <f t="shared" si="43"/>
        <v>0</v>
      </c>
      <c r="I291" s="20">
        <f t="shared" si="44"/>
        <v>0</v>
      </c>
      <c r="J291" s="20">
        <f t="shared" si="38"/>
        <v>0</v>
      </c>
      <c r="K291" s="20">
        <f t="shared" si="39"/>
        <v>0</v>
      </c>
      <c r="L291" s="20">
        <f t="shared" si="40"/>
        <v>0</v>
      </c>
    </row>
    <row r="292" spans="4:12" x14ac:dyDescent="0.35">
      <c r="D292" s="20" t="str">
        <f t="shared" si="45"/>
        <v/>
      </c>
      <c r="E292" s="21" t="str">
        <f t="shared" si="46"/>
        <v/>
      </c>
      <c r="F292" s="20" t="str">
        <f t="shared" si="41"/>
        <v/>
      </c>
      <c r="G292" s="20">
        <f t="shared" si="42"/>
        <v>0</v>
      </c>
      <c r="H292" s="20">
        <f t="shared" si="43"/>
        <v>0</v>
      </c>
      <c r="I292" s="20">
        <f t="shared" si="44"/>
        <v>0</v>
      </c>
      <c r="J292" s="20">
        <f t="shared" si="38"/>
        <v>0</v>
      </c>
      <c r="K292" s="20">
        <f t="shared" si="39"/>
        <v>0</v>
      </c>
      <c r="L292" s="20">
        <f t="shared" si="40"/>
        <v>0</v>
      </c>
    </row>
    <row r="293" spans="4:12" x14ac:dyDescent="0.35">
      <c r="D293" s="20" t="str">
        <f t="shared" si="45"/>
        <v/>
      </c>
      <c r="E293" s="21" t="str">
        <f t="shared" si="46"/>
        <v/>
      </c>
      <c r="F293" s="20" t="str">
        <f t="shared" si="41"/>
        <v/>
      </c>
      <c r="G293" s="20">
        <f t="shared" si="42"/>
        <v>0</v>
      </c>
      <c r="H293" s="20">
        <f t="shared" si="43"/>
        <v>0</v>
      </c>
      <c r="I293" s="20">
        <f t="shared" si="44"/>
        <v>0</v>
      </c>
      <c r="J293" s="20">
        <f t="shared" si="38"/>
        <v>0</v>
      </c>
      <c r="K293" s="20">
        <f t="shared" si="39"/>
        <v>0</v>
      </c>
      <c r="L293" s="20">
        <f t="shared" si="40"/>
        <v>0</v>
      </c>
    </row>
    <row r="294" spans="4:12" x14ac:dyDescent="0.35">
      <c r="D294" s="20" t="str">
        <f t="shared" si="45"/>
        <v/>
      </c>
      <c r="E294" s="21" t="str">
        <f t="shared" si="46"/>
        <v/>
      </c>
      <c r="F294" s="20" t="str">
        <f t="shared" si="41"/>
        <v/>
      </c>
      <c r="G294" s="20">
        <f t="shared" si="42"/>
        <v>0</v>
      </c>
      <c r="H294" s="20">
        <f t="shared" si="43"/>
        <v>0</v>
      </c>
      <c r="I294" s="20">
        <f t="shared" si="44"/>
        <v>0</v>
      </c>
      <c r="J294" s="20">
        <f t="shared" si="38"/>
        <v>0</v>
      </c>
      <c r="K294" s="20">
        <f t="shared" si="39"/>
        <v>0</v>
      </c>
      <c r="L294" s="20">
        <f t="shared" si="40"/>
        <v>0</v>
      </c>
    </row>
    <row r="295" spans="4:12" x14ac:dyDescent="0.35">
      <c r="D295" s="20" t="str">
        <f t="shared" si="45"/>
        <v/>
      </c>
      <c r="E295" s="21" t="str">
        <f t="shared" si="46"/>
        <v/>
      </c>
      <c r="F295" s="20" t="str">
        <f t="shared" si="41"/>
        <v/>
      </c>
      <c r="G295" s="20">
        <f t="shared" si="42"/>
        <v>0</v>
      </c>
      <c r="H295" s="20">
        <f t="shared" si="43"/>
        <v>0</v>
      </c>
      <c r="I295" s="20">
        <f t="shared" si="44"/>
        <v>0</v>
      </c>
      <c r="J295" s="20">
        <f t="shared" si="38"/>
        <v>0</v>
      </c>
      <c r="K295" s="20">
        <f t="shared" si="39"/>
        <v>0</v>
      </c>
      <c r="L295" s="20">
        <f t="shared" si="40"/>
        <v>0</v>
      </c>
    </row>
    <row r="296" spans="4:12" x14ac:dyDescent="0.35">
      <c r="D296" s="20" t="str">
        <f t="shared" si="45"/>
        <v/>
      </c>
      <c r="E296" s="21" t="str">
        <f t="shared" si="46"/>
        <v/>
      </c>
      <c r="F296" s="20" t="str">
        <f t="shared" si="41"/>
        <v/>
      </c>
      <c r="G296" s="20">
        <f t="shared" si="42"/>
        <v>0</v>
      </c>
      <c r="H296" s="20">
        <f t="shared" si="43"/>
        <v>0</v>
      </c>
      <c r="I296" s="20">
        <f t="shared" si="44"/>
        <v>0</v>
      </c>
      <c r="J296" s="20">
        <f t="shared" si="38"/>
        <v>0</v>
      </c>
      <c r="K296" s="20">
        <f t="shared" si="39"/>
        <v>0</v>
      </c>
      <c r="L296" s="20">
        <f t="shared" si="40"/>
        <v>0</v>
      </c>
    </row>
    <row r="297" spans="4:12" x14ac:dyDescent="0.35">
      <c r="D297" s="20" t="str">
        <f t="shared" si="45"/>
        <v/>
      </c>
      <c r="E297" s="21" t="str">
        <f t="shared" si="46"/>
        <v/>
      </c>
      <c r="F297" s="20" t="str">
        <f t="shared" si="41"/>
        <v/>
      </c>
      <c r="G297" s="20">
        <f t="shared" si="42"/>
        <v>0</v>
      </c>
      <c r="H297" s="20">
        <f t="shared" si="43"/>
        <v>0</v>
      </c>
      <c r="I297" s="20">
        <f t="shared" si="44"/>
        <v>0</v>
      </c>
      <c r="J297" s="20">
        <f t="shared" si="38"/>
        <v>0</v>
      </c>
      <c r="K297" s="20">
        <f t="shared" si="39"/>
        <v>0</v>
      </c>
      <c r="L297" s="20">
        <f t="shared" si="40"/>
        <v>0</v>
      </c>
    </row>
    <row r="298" spans="4:12" x14ac:dyDescent="0.35">
      <c r="D298" s="20" t="str">
        <f t="shared" si="45"/>
        <v/>
      </c>
      <c r="E298" s="21" t="str">
        <f t="shared" si="46"/>
        <v/>
      </c>
      <c r="F298" s="20" t="str">
        <f t="shared" si="41"/>
        <v/>
      </c>
      <c r="G298" s="20">
        <f t="shared" si="42"/>
        <v>0</v>
      </c>
      <c r="H298" s="20">
        <f t="shared" si="43"/>
        <v>0</v>
      </c>
      <c r="I298" s="20">
        <f t="shared" si="44"/>
        <v>0</v>
      </c>
      <c r="J298" s="20">
        <f t="shared" si="38"/>
        <v>0</v>
      </c>
      <c r="K298" s="20">
        <f t="shared" si="39"/>
        <v>0</v>
      </c>
      <c r="L298" s="20">
        <f t="shared" si="40"/>
        <v>0</v>
      </c>
    </row>
    <row r="299" spans="4:12" x14ac:dyDescent="0.35">
      <c r="D299" s="20" t="str">
        <f t="shared" si="45"/>
        <v/>
      </c>
      <c r="E299" s="21" t="str">
        <f t="shared" si="46"/>
        <v/>
      </c>
      <c r="F299" s="20" t="str">
        <f t="shared" si="41"/>
        <v/>
      </c>
      <c r="G299" s="20">
        <f t="shared" si="42"/>
        <v>0</v>
      </c>
      <c r="H299" s="20">
        <f t="shared" si="43"/>
        <v>0</v>
      </c>
      <c r="I299" s="20">
        <f t="shared" si="44"/>
        <v>0</v>
      </c>
      <c r="J299" s="20">
        <f t="shared" si="38"/>
        <v>0</v>
      </c>
      <c r="K299" s="20">
        <f t="shared" si="39"/>
        <v>0</v>
      </c>
      <c r="L299" s="20">
        <f t="shared" si="40"/>
        <v>0</v>
      </c>
    </row>
    <row r="300" spans="4:12" x14ac:dyDescent="0.35">
      <c r="D300" s="20" t="str">
        <f t="shared" si="45"/>
        <v/>
      </c>
      <c r="E300" s="21" t="str">
        <f t="shared" si="46"/>
        <v/>
      </c>
      <c r="F300" s="20" t="str">
        <f t="shared" si="41"/>
        <v/>
      </c>
      <c r="G300" s="20">
        <f t="shared" si="42"/>
        <v>0</v>
      </c>
      <c r="H300" s="20">
        <f t="shared" si="43"/>
        <v>0</v>
      </c>
      <c r="I300" s="20">
        <f t="shared" si="44"/>
        <v>0</v>
      </c>
      <c r="J300" s="20">
        <f t="shared" si="38"/>
        <v>0</v>
      </c>
      <c r="K300" s="20">
        <f t="shared" si="39"/>
        <v>0</v>
      </c>
      <c r="L300" s="20">
        <f t="shared" si="40"/>
        <v>0</v>
      </c>
    </row>
    <row r="301" spans="4:12" x14ac:dyDescent="0.35">
      <c r="D301" s="20" t="str">
        <f t="shared" si="45"/>
        <v/>
      </c>
      <c r="E301" s="21" t="str">
        <f t="shared" si="46"/>
        <v/>
      </c>
      <c r="F301" s="20" t="str">
        <f t="shared" si="41"/>
        <v/>
      </c>
      <c r="G301" s="20">
        <f t="shared" si="42"/>
        <v>0</v>
      </c>
      <c r="H301" s="20">
        <f t="shared" si="43"/>
        <v>0</v>
      </c>
      <c r="I301" s="20">
        <f t="shared" si="44"/>
        <v>0</v>
      </c>
      <c r="J301" s="20">
        <f t="shared" si="38"/>
        <v>0</v>
      </c>
      <c r="K301" s="20">
        <f t="shared" si="39"/>
        <v>0</v>
      </c>
      <c r="L301" s="20">
        <f t="shared" si="40"/>
        <v>0</v>
      </c>
    </row>
    <row r="302" spans="4:12" x14ac:dyDescent="0.35">
      <c r="D302" s="20" t="str">
        <f t="shared" si="45"/>
        <v/>
      </c>
      <c r="E302" s="21" t="str">
        <f t="shared" si="46"/>
        <v/>
      </c>
      <c r="F302" s="20" t="str">
        <f t="shared" si="41"/>
        <v/>
      </c>
      <c r="G302" s="20">
        <f t="shared" si="42"/>
        <v>0</v>
      </c>
      <c r="H302" s="20">
        <f t="shared" si="43"/>
        <v>0</v>
      </c>
      <c r="I302" s="20">
        <f t="shared" si="44"/>
        <v>0</v>
      </c>
      <c r="J302" s="20">
        <f t="shared" si="38"/>
        <v>0</v>
      </c>
      <c r="K302" s="20">
        <f t="shared" si="39"/>
        <v>0</v>
      </c>
      <c r="L302" s="20">
        <f t="shared" si="40"/>
        <v>0</v>
      </c>
    </row>
    <row r="303" spans="4:12" x14ac:dyDescent="0.35">
      <c r="D303" s="20" t="str">
        <f t="shared" si="45"/>
        <v/>
      </c>
      <c r="E303" s="21" t="str">
        <f t="shared" si="46"/>
        <v/>
      </c>
      <c r="F303" s="20" t="str">
        <f t="shared" si="41"/>
        <v/>
      </c>
      <c r="G303" s="20">
        <f t="shared" si="42"/>
        <v>0</v>
      </c>
      <c r="H303" s="20">
        <f t="shared" si="43"/>
        <v>0</v>
      </c>
      <c r="I303" s="20">
        <f t="shared" si="44"/>
        <v>0</v>
      </c>
      <c r="J303" s="20">
        <f t="shared" si="38"/>
        <v>0</v>
      </c>
      <c r="K303" s="20">
        <f t="shared" si="39"/>
        <v>0</v>
      </c>
      <c r="L303" s="20">
        <f t="shared" si="40"/>
        <v>0</v>
      </c>
    </row>
    <row r="304" spans="4:12" x14ac:dyDescent="0.35">
      <c r="D304" s="20" t="str">
        <f t="shared" si="45"/>
        <v/>
      </c>
      <c r="E304" s="21" t="str">
        <f t="shared" si="46"/>
        <v/>
      </c>
      <c r="F304" s="20" t="str">
        <f t="shared" si="41"/>
        <v/>
      </c>
      <c r="G304" s="20">
        <f t="shared" si="42"/>
        <v>0</v>
      </c>
      <c r="H304" s="20">
        <f t="shared" si="43"/>
        <v>0</v>
      </c>
      <c r="I304" s="20">
        <f t="shared" si="44"/>
        <v>0</v>
      </c>
      <c r="J304" s="20">
        <f t="shared" si="38"/>
        <v>0</v>
      </c>
      <c r="K304" s="20">
        <f t="shared" si="39"/>
        <v>0</v>
      </c>
      <c r="L304" s="20">
        <f t="shared" si="40"/>
        <v>0</v>
      </c>
    </row>
    <row r="305" spans="4:12" x14ac:dyDescent="0.35">
      <c r="D305" s="20" t="str">
        <f t="shared" si="45"/>
        <v/>
      </c>
      <c r="E305" s="21" t="str">
        <f t="shared" si="46"/>
        <v/>
      </c>
      <c r="F305" s="20" t="str">
        <f t="shared" si="41"/>
        <v/>
      </c>
      <c r="G305" s="20">
        <f t="shared" si="42"/>
        <v>0</v>
      </c>
      <c r="H305" s="20">
        <f t="shared" si="43"/>
        <v>0</v>
      </c>
      <c r="I305" s="20">
        <f t="shared" si="44"/>
        <v>0</v>
      </c>
      <c r="J305" s="20">
        <f t="shared" si="38"/>
        <v>0</v>
      </c>
      <c r="K305" s="20">
        <f t="shared" si="39"/>
        <v>0</v>
      </c>
      <c r="L305" s="20">
        <f t="shared" si="40"/>
        <v>0</v>
      </c>
    </row>
    <row r="306" spans="4:12" x14ac:dyDescent="0.35">
      <c r="D306" s="20" t="str">
        <f t="shared" si="45"/>
        <v/>
      </c>
      <c r="E306" s="21" t="str">
        <f t="shared" si="46"/>
        <v/>
      </c>
      <c r="F306" s="20" t="str">
        <f t="shared" si="41"/>
        <v/>
      </c>
      <c r="G306" s="20">
        <f t="shared" si="42"/>
        <v>0</v>
      </c>
      <c r="H306" s="20">
        <f t="shared" si="43"/>
        <v>0</v>
      </c>
      <c r="I306" s="20">
        <f t="shared" si="44"/>
        <v>0</v>
      </c>
      <c r="J306" s="20">
        <f t="shared" si="38"/>
        <v>0</v>
      </c>
      <c r="K306" s="20">
        <f t="shared" si="39"/>
        <v>0</v>
      </c>
      <c r="L306" s="20">
        <f t="shared" si="40"/>
        <v>0</v>
      </c>
    </row>
    <row r="307" spans="4:12" x14ac:dyDescent="0.35">
      <c r="D307" s="20" t="str">
        <f t="shared" si="45"/>
        <v/>
      </c>
      <c r="E307" s="21" t="str">
        <f t="shared" si="46"/>
        <v/>
      </c>
      <c r="F307" s="20" t="str">
        <f t="shared" si="41"/>
        <v/>
      </c>
      <c r="G307" s="20">
        <f t="shared" si="42"/>
        <v>0</v>
      </c>
      <c r="H307" s="20">
        <f t="shared" si="43"/>
        <v>0</v>
      </c>
      <c r="I307" s="20">
        <f t="shared" si="44"/>
        <v>0</v>
      </c>
      <c r="J307" s="20">
        <f t="shared" si="38"/>
        <v>0</v>
      </c>
      <c r="K307" s="20">
        <f t="shared" si="39"/>
        <v>0</v>
      </c>
      <c r="L307" s="20">
        <f t="shared" si="40"/>
        <v>0</v>
      </c>
    </row>
    <row r="308" spans="4:12" x14ac:dyDescent="0.35">
      <c r="D308" s="20" t="str">
        <f t="shared" si="45"/>
        <v/>
      </c>
      <c r="E308" s="21" t="str">
        <f t="shared" si="46"/>
        <v/>
      </c>
      <c r="F308" s="20" t="str">
        <f t="shared" si="41"/>
        <v/>
      </c>
      <c r="G308" s="20">
        <f t="shared" si="42"/>
        <v>0</v>
      </c>
      <c r="H308" s="20">
        <f t="shared" si="43"/>
        <v>0</v>
      </c>
      <c r="I308" s="20">
        <f t="shared" si="44"/>
        <v>0</v>
      </c>
      <c r="J308" s="20">
        <f t="shared" si="38"/>
        <v>0</v>
      </c>
      <c r="K308" s="20">
        <f t="shared" si="39"/>
        <v>0</v>
      </c>
      <c r="L308" s="20">
        <f t="shared" si="40"/>
        <v>0</v>
      </c>
    </row>
    <row r="309" spans="4:12" x14ac:dyDescent="0.35">
      <c r="D309" s="20" t="str">
        <f t="shared" si="45"/>
        <v/>
      </c>
      <c r="E309" s="21" t="str">
        <f t="shared" si="46"/>
        <v/>
      </c>
      <c r="F309" s="20" t="str">
        <f t="shared" si="41"/>
        <v/>
      </c>
      <c r="G309" s="20">
        <f t="shared" si="42"/>
        <v>0</v>
      </c>
      <c r="H309" s="20">
        <f t="shared" si="43"/>
        <v>0</v>
      </c>
      <c r="I309" s="20">
        <f t="shared" si="44"/>
        <v>0</v>
      </c>
      <c r="J309" s="20">
        <f t="shared" si="38"/>
        <v>0</v>
      </c>
      <c r="K309" s="20">
        <f t="shared" si="39"/>
        <v>0</v>
      </c>
      <c r="L309" s="20">
        <f t="shared" si="40"/>
        <v>0</v>
      </c>
    </row>
    <row r="310" spans="4:12" x14ac:dyDescent="0.35">
      <c r="D310" s="20" t="str">
        <f t="shared" si="45"/>
        <v/>
      </c>
      <c r="E310" s="21" t="str">
        <f t="shared" si="46"/>
        <v/>
      </c>
      <c r="F310" s="20" t="str">
        <f t="shared" si="41"/>
        <v/>
      </c>
      <c r="G310" s="20">
        <f t="shared" si="42"/>
        <v>0</v>
      </c>
      <c r="H310" s="20">
        <f t="shared" si="43"/>
        <v>0</v>
      </c>
      <c r="I310" s="20">
        <f t="shared" si="44"/>
        <v>0</v>
      </c>
      <c r="J310" s="20">
        <f t="shared" si="38"/>
        <v>0</v>
      </c>
      <c r="K310" s="20">
        <f t="shared" si="39"/>
        <v>0</v>
      </c>
      <c r="L310" s="20">
        <f t="shared" si="40"/>
        <v>0</v>
      </c>
    </row>
    <row r="311" spans="4:12" x14ac:dyDescent="0.35">
      <c r="D311" s="20" t="str">
        <f t="shared" si="45"/>
        <v/>
      </c>
      <c r="E311" s="21" t="str">
        <f t="shared" si="46"/>
        <v/>
      </c>
      <c r="F311" s="20" t="str">
        <f t="shared" si="41"/>
        <v/>
      </c>
      <c r="G311" s="20">
        <f t="shared" si="42"/>
        <v>0</v>
      </c>
      <c r="H311" s="20">
        <f t="shared" si="43"/>
        <v>0</v>
      </c>
      <c r="I311" s="20">
        <f t="shared" si="44"/>
        <v>0</v>
      </c>
      <c r="J311" s="20">
        <f t="shared" si="38"/>
        <v>0</v>
      </c>
      <c r="K311" s="20">
        <f t="shared" si="39"/>
        <v>0</v>
      </c>
      <c r="L311" s="20">
        <f t="shared" si="40"/>
        <v>0</v>
      </c>
    </row>
    <row r="312" spans="4:12" x14ac:dyDescent="0.35">
      <c r="D312" s="20" t="str">
        <f t="shared" si="45"/>
        <v/>
      </c>
      <c r="E312" s="21" t="str">
        <f t="shared" si="46"/>
        <v/>
      </c>
      <c r="F312" s="20" t="str">
        <f t="shared" si="41"/>
        <v/>
      </c>
      <c r="G312" s="20">
        <f t="shared" si="42"/>
        <v>0</v>
      </c>
      <c r="H312" s="20">
        <f t="shared" si="43"/>
        <v>0</v>
      </c>
      <c r="I312" s="20">
        <f t="shared" si="44"/>
        <v>0</v>
      </c>
      <c r="J312" s="20">
        <f t="shared" si="38"/>
        <v>0</v>
      </c>
      <c r="K312" s="20">
        <f t="shared" si="39"/>
        <v>0</v>
      </c>
      <c r="L312" s="20">
        <f t="shared" si="40"/>
        <v>0</v>
      </c>
    </row>
    <row r="313" spans="4:12" x14ac:dyDescent="0.35">
      <c r="D313" s="20" t="str">
        <f t="shared" si="45"/>
        <v/>
      </c>
      <c r="E313" s="21" t="str">
        <f t="shared" si="46"/>
        <v/>
      </c>
      <c r="F313" s="20" t="str">
        <f t="shared" si="41"/>
        <v/>
      </c>
      <c r="G313" s="20">
        <f t="shared" si="42"/>
        <v>0</v>
      </c>
      <c r="H313" s="20">
        <f t="shared" si="43"/>
        <v>0</v>
      </c>
      <c r="I313" s="20">
        <f t="shared" si="44"/>
        <v>0</v>
      </c>
      <c r="J313" s="20">
        <f t="shared" si="38"/>
        <v>0</v>
      </c>
      <c r="K313" s="20">
        <f t="shared" si="39"/>
        <v>0</v>
      </c>
      <c r="L313" s="20">
        <f t="shared" si="40"/>
        <v>0</v>
      </c>
    </row>
    <row r="314" spans="4:12" x14ac:dyDescent="0.35">
      <c r="D314" s="20" t="str">
        <f t="shared" si="45"/>
        <v/>
      </c>
      <c r="E314" s="21" t="str">
        <f t="shared" si="46"/>
        <v/>
      </c>
      <c r="F314" s="20" t="str">
        <f t="shared" si="41"/>
        <v/>
      </c>
      <c r="G314" s="20">
        <f t="shared" si="42"/>
        <v>0</v>
      </c>
      <c r="H314" s="20">
        <f t="shared" si="43"/>
        <v>0</v>
      </c>
      <c r="I314" s="20">
        <f t="shared" si="44"/>
        <v>0</v>
      </c>
      <c r="J314" s="20">
        <f t="shared" si="38"/>
        <v>0</v>
      </c>
      <c r="K314" s="20">
        <f t="shared" si="39"/>
        <v>0</v>
      </c>
      <c r="L314" s="20">
        <f t="shared" si="40"/>
        <v>0</v>
      </c>
    </row>
    <row r="315" spans="4:12" x14ac:dyDescent="0.35">
      <c r="D315" s="20" t="str">
        <f t="shared" si="45"/>
        <v/>
      </c>
      <c r="E315" s="21" t="str">
        <f t="shared" si="46"/>
        <v/>
      </c>
      <c r="F315" s="20" t="str">
        <f t="shared" si="41"/>
        <v/>
      </c>
      <c r="G315" s="20">
        <f t="shared" si="42"/>
        <v>0</v>
      </c>
      <c r="H315" s="20">
        <f t="shared" si="43"/>
        <v>0</v>
      </c>
      <c r="I315" s="20">
        <f t="shared" si="44"/>
        <v>0</v>
      </c>
      <c r="J315" s="20">
        <f t="shared" si="38"/>
        <v>0</v>
      </c>
      <c r="K315" s="20">
        <f t="shared" si="39"/>
        <v>0</v>
      </c>
      <c r="L315" s="20">
        <f t="shared" si="40"/>
        <v>0</v>
      </c>
    </row>
    <row r="316" spans="4:12" x14ac:dyDescent="0.35">
      <c r="D316" s="20" t="str">
        <f t="shared" si="45"/>
        <v/>
      </c>
      <c r="E316" s="21" t="str">
        <f t="shared" si="46"/>
        <v/>
      </c>
      <c r="F316" s="20" t="str">
        <f t="shared" si="41"/>
        <v/>
      </c>
      <c r="G316" s="20">
        <f t="shared" si="42"/>
        <v>0</v>
      </c>
      <c r="H316" s="20">
        <f t="shared" si="43"/>
        <v>0</v>
      </c>
      <c r="I316" s="20">
        <f t="shared" si="44"/>
        <v>0</v>
      </c>
      <c r="J316" s="20">
        <f t="shared" si="38"/>
        <v>0</v>
      </c>
      <c r="K316" s="20">
        <f t="shared" si="39"/>
        <v>0</v>
      </c>
      <c r="L316" s="20">
        <f t="shared" si="40"/>
        <v>0</v>
      </c>
    </row>
    <row r="317" spans="4:12" x14ac:dyDescent="0.35">
      <c r="D317" s="20" t="str">
        <f t="shared" si="45"/>
        <v/>
      </c>
      <c r="E317" s="21" t="str">
        <f t="shared" si="46"/>
        <v/>
      </c>
      <c r="F317" s="20" t="str">
        <f t="shared" si="41"/>
        <v/>
      </c>
      <c r="G317" s="20">
        <f t="shared" si="42"/>
        <v>0</v>
      </c>
      <c r="H317" s="20">
        <f t="shared" si="43"/>
        <v>0</v>
      </c>
      <c r="I317" s="20">
        <f t="shared" si="44"/>
        <v>0</v>
      </c>
      <c r="J317" s="20">
        <f t="shared" si="38"/>
        <v>0</v>
      </c>
      <c r="K317" s="20">
        <f t="shared" si="39"/>
        <v>0</v>
      </c>
      <c r="L317" s="20">
        <f t="shared" si="40"/>
        <v>0</v>
      </c>
    </row>
    <row r="318" spans="4:12" x14ac:dyDescent="0.35">
      <c r="D318" s="20" t="str">
        <f t="shared" si="45"/>
        <v/>
      </c>
      <c r="E318" s="21" t="str">
        <f t="shared" si="46"/>
        <v/>
      </c>
      <c r="F318" s="20" t="str">
        <f t="shared" si="41"/>
        <v/>
      </c>
      <c r="G318" s="20">
        <f t="shared" si="42"/>
        <v>0</v>
      </c>
      <c r="H318" s="20">
        <f t="shared" si="43"/>
        <v>0</v>
      </c>
      <c r="I318" s="20">
        <f t="shared" si="44"/>
        <v>0</v>
      </c>
      <c r="J318" s="20">
        <f t="shared" si="38"/>
        <v>0</v>
      </c>
      <c r="K318" s="20">
        <f t="shared" si="39"/>
        <v>0</v>
      </c>
      <c r="L318" s="20">
        <f t="shared" si="40"/>
        <v>0</v>
      </c>
    </row>
    <row r="319" spans="4:12" x14ac:dyDescent="0.35">
      <c r="D319" s="20" t="str">
        <f t="shared" si="45"/>
        <v/>
      </c>
      <c r="E319" s="21" t="str">
        <f t="shared" si="46"/>
        <v/>
      </c>
      <c r="F319" s="20" t="str">
        <f t="shared" si="41"/>
        <v/>
      </c>
      <c r="G319" s="20">
        <f t="shared" si="42"/>
        <v>0</v>
      </c>
      <c r="H319" s="20">
        <f t="shared" si="43"/>
        <v>0</v>
      </c>
      <c r="I319" s="20">
        <f t="shared" si="44"/>
        <v>0</v>
      </c>
      <c r="J319" s="20">
        <f t="shared" si="38"/>
        <v>0</v>
      </c>
      <c r="K319" s="20">
        <f t="shared" si="39"/>
        <v>0</v>
      </c>
      <c r="L319" s="20">
        <f t="shared" si="40"/>
        <v>0</v>
      </c>
    </row>
    <row r="320" spans="4:12" x14ac:dyDescent="0.35">
      <c r="D320" s="20" t="str">
        <f t="shared" si="45"/>
        <v/>
      </c>
      <c r="E320" s="21" t="str">
        <f t="shared" si="46"/>
        <v/>
      </c>
      <c r="F320" s="20" t="str">
        <f t="shared" si="41"/>
        <v/>
      </c>
      <c r="G320" s="20">
        <f t="shared" si="42"/>
        <v>0</v>
      </c>
      <c r="H320" s="20">
        <f t="shared" si="43"/>
        <v>0</v>
      </c>
      <c r="I320" s="20">
        <f t="shared" si="44"/>
        <v>0</v>
      </c>
      <c r="J320" s="20">
        <f t="shared" si="38"/>
        <v>0</v>
      </c>
      <c r="K320" s="20">
        <f t="shared" si="39"/>
        <v>0</v>
      </c>
      <c r="L320" s="20">
        <f t="shared" si="40"/>
        <v>0</v>
      </c>
    </row>
    <row r="321" spans="4:12" x14ac:dyDescent="0.35">
      <c r="D321" s="20" t="str">
        <f t="shared" si="45"/>
        <v/>
      </c>
      <c r="E321" s="21" t="str">
        <f t="shared" si="46"/>
        <v/>
      </c>
      <c r="F321" s="20" t="str">
        <f t="shared" si="41"/>
        <v/>
      </c>
      <c r="G321" s="20">
        <f t="shared" si="42"/>
        <v>0</v>
      </c>
      <c r="H321" s="20">
        <f t="shared" si="43"/>
        <v>0</v>
      </c>
      <c r="I321" s="20">
        <f t="shared" si="44"/>
        <v>0</v>
      </c>
      <c r="J321" s="20">
        <f t="shared" si="38"/>
        <v>0</v>
      </c>
      <c r="K321" s="20">
        <f t="shared" si="39"/>
        <v>0</v>
      </c>
      <c r="L321" s="20">
        <f t="shared" si="40"/>
        <v>0</v>
      </c>
    </row>
    <row r="322" spans="4:12" x14ac:dyDescent="0.35">
      <c r="D322" s="20" t="str">
        <f t="shared" si="45"/>
        <v/>
      </c>
      <c r="E322" s="21" t="str">
        <f t="shared" si="46"/>
        <v/>
      </c>
      <c r="F322" s="20" t="str">
        <f t="shared" si="41"/>
        <v/>
      </c>
      <c r="G322" s="20">
        <f t="shared" si="42"/>
        <v>0</v>
      </c>
      <c r="H322" s="20">
        <f t="shared" si="43"/>
        <v>0</v>
      </c>
      <c r="I322" s="20">
        <f t="shared" si="44"/>
        <v>0</v>
      </c>
      <c r="J322" s="20">
        <f t="shared" si="38"/>
        <v>0</v>
      </c>
      <c r="K322" s="20">
        <f t="shared" si="39"/>
        <v>0</v>
      </c>
      <c r="L322" s="20">
        <f t="shared" si="40"/>
        <v>0</v>
      </c>
    </row>
    <row r="323" spans="4:12" x14ac:dyDescent="0.35">
      <c r="D323" s="20" t="str">
        <f t="shared" si="45"/>
        <v/>
      </c>
      <c r="E323" s="21" t="str">
        <f t="shared" si="46"/>
        <v/>
      </c>
      <c r="F323" s="20" t="str">
        <f t="shared" si="41"/>
        <v/>
      </c>
      <c r="G323" s="20">
        <f t="shared" si="42"/>
        <v>0</v>
      </c>
      <c r="H323" s="20">
        <f t="shared" si="43"/>
        <v>0</v>
      </c>
      <c r="I323" s="20">
        <f t="shared" si="44"/>
        <v>0</v>
      </c>
      <c r="J323" s="20">
        <f t="shared" ref="J323:J386" si="47">ABS(G323)</f>
        <v>0</v>
      </c>
      <c r="K323" s="20">
        <f t="shared" ref="K323:K386" si="48">ABS(H323)</f>
        <v>0</v>
      </c>
      <c r="L323" s="20">
        <f t="shared" ref="L323:L386" si="49">ABS(I323)</f>
        <v>0</v>
      </c>
    </row>
    <row r="324" spans="4:12" x14ac:dyDescent="0.35">
      <c r="D324" s="20" t="str">
        <f t="shared" si="45"/>
        <v/>
      </c>
      <c r="E324" s="21" t="str">
        <f t="shared" si="46"/>
        <v/>
      </c>
      <c r="F324" s="20" t="str">
        <f t="shared" ref="F324:F387" si="50">IF(D323&lt;=$B$5,((3*E324^2)-(4*E324)*(SIN(1.4*E324^3)^2))/((0.4*E324^2+1)^(1/4)),"")</f>
        <v/>
      </c>
      <c r="G324" s="20">
        <f t="shared" ref="G324:G387" si="51">IF(D324=$B$5+1,F324,0)</f>
        <v>0</v>
      </c>
      <c r="H324" s="20">
        <f t="shared" ref="H324:H387" si="52">IF(D323&lt;$B$5,F324*MOD(D323,2),0)</f>
        <v>0</v>
      </c>
      <c r="I324" s="20">
        <f t="shared" ref="I324:I387" si="53">IF(D323&lt;$B$5,F324*MOD(D324,2),0)</f>
        <v>0</v>
      </c>
      <c r="J324" s="20">
        <f t="shared" si="47"/>
        <v>0</v>
      </c>
      <c r="K324" s="20">
        <f t="shared" si="48"/>
        <v>0</v>
      </c>
      <c r="L324" s="20">
        <f t="shared" si="49"/>
        <v>0</v>
      </c>
    </row>
    <row r="325" spans="4:12" x14ac:dyDescent="0.35">
      <c r="D325" s="20" t="str">
        <f t="shared" si="45"/>
        <v/>
      </c>
      <c r="E325" s="21" t="str">
        <f t="shared" si="46"/>
        <v/>
      </c>
      <c r="F325" s="20" t="str">
        <f t="shared" si="50"/>
        <v/>
      </c>
      <c r="G325" s="20">
        <f t="shared" si="51"/>
        <v>0</v>
      </c>
      <c r="H325" s="20">
        <f t="shared" si="52"/>
        <v>0</v>
      </c>
      <c r="I325" s="20">
        <f t="shared" si="53"/>
        <v>0</v>
      </c>
      <c r="J325" s="20">
        <f t="shared" si="47"/>
        <v>0</v>
      </c>
      <c r="K325" s="20">
        <f t="shared" si="48"/>
        <v>0</v>
      </c>
      <c r="L325" s="20">
        <f t="shared" si="49"/>
        <v>0</v>
      </c>
    </row>
    <row r="326" spans="4:12" x14ac:dyDescent="0.35">
      <c r="D326" s="20" t="str">
        <f t="shared" si="45"/>
        <v/>
      </c>
      <c r="E326" s="21" t="str">
        <f t="shared" si="46"/>
        <v/>
      </c>
      <c r="F326" s="20" t="str">
        <f t="shared" si="50"/>
        <v/>
      </c>
      <c r="G326" s="20">
        <f t="shared" si="51"/>
        <v>0</v>
      </c>
      <c r="H326" s="20">
        <f t="shared" si="52"/>
        <v>0</v>
      </c>
      <c r="I326" s="20">
        <f t="shared" si="53"/>
        <v>0</v>
      </c>
      <c r="J326" s="20">
        <f t="shared" si="47"/>
        <v>0</v>
      </c>
      <c r="K326" s="20">
        <f t="shared" si="48"/>
        <v>0</v>
      </c>
      <c r="L326" s="20">
        <f t="shared" si="49"/>
        <v>0</v>
      </c>
    </row>
    <row r="327" spans="4:12" x14ac:dyDescent="0.35">
      <c r="D327" s="20" t="str">
        <f t="shared" si="45"/>
        <v/>
      </c>
      <c r="E327" s="21" t="str">
        <f t="shared" si="46"/>
        <v/>
      </c>
      <c r="F327" s="20" t="str">
        <f t="shared" si="50"/>
        <v/>
      </c>
      <c r="G327" s="20">
        <f t="shared" si="51"/>
        <v>0</v>
      </c>
      <c r="H327" s="20">
        <f t="shared" si="52"/>
        <v>0</v>
      </c>
      <c r="I327" s="20">
        <f t="shared" si="53"/>
        <v>0</v>
      </c>
      <c r="J327" s="20">
        <f t="shared" si="47"/>
        <v>0</v>
      </c>
      <c r="K327" s="20">
        <f t="shared" si="48"/>
        <v>0</v>
      </c>
      <c r="L327" s="20">
        <f t="shared" si="49"/>
        <v>0</v>
      </c>
    </row>
    <row r="328" spans="4:12" x14ac:dyDescent="0.35">
      <c r="D328" s="20" t="str">
        <f t="shared" si="45"/>
        <v/>
      </c>
      <c r="E328" s="21" t="str">
        <f t="shared" si="46"/>
        <v/>
      </c>
      <c r="F328" s="20" t="str">
        <f t="shared" si="50"/>
        <v/>
      </c>
      <c r="G328" s="20">
        <f t="shared" si="51"/>
        <v>0</v>
      </c>
      <c r="H328" s="20">
        <f t="shared" si="52"/>
        <v>0</v>
      </c>
      <c r="I328" s="20">
        <f t="shared" si="53"/>
        <v>0</v>
      </c>
      <c r="J328" s="20">
        <f t="shared" si="47"/>
        <v>0</v>
      </c>
      <c r="K328" s="20">
        <f t="shared" si="48"/>
        <v>0</v>
      </c>
      <c r="L328" s="20">
        <f t="shared" si="49"/>
        <v>0</v>
      </c>
    </row>
    <row r="329" spans="4:12" x14ac:dyDescent="0.35">
      <c r="D329" s="20" t="str">
        <f t="shared" si="45"/>
        <v/>
      </c>
      <c r="E329" s="21" t="str">
        <f t="shared" si="46"/>
        <v/>
      </c>
      <c r="F329" s="20" t="str">
        <f t="shared" si="50"/>
        <v/>
      </c>
      <c r="G329" s="20">
        <f t="shared" si="51"/>
        <v>0</v>
      </c>
      <c r="H329" s="20">
        <f t="shared" si="52"/>
        <v>0</v>
      </c>
      <c r="I329" s="20">
        <f t="shared" si="53"/>
        <v>0</v>
      </c>
      <c r="J329" s="20">
        <f t="shared" si="47"/>
        <v>0</v>
      </c>
      <c r="K329" s="20">
        <f t="shared" si="48"/>
        <v>0</v>
      </c>
      <c r="L329" s="20">
        <f t="shared" si="49"/>
        <v>0</v>
      </c>
    </row>
    <row r="330" spans="4:12" x14ac:dyDescent="0.35">
      <c r="D330" s="20" t="str">
        <f t="shared" si="45"/>
        <v/>
      </c>
      <c r="E330" s="21" t="str">
        <f t="shared" si="46"/>
        <v/>
      </c>
      <c r="F330" s="20" t="str">
        <f t="shared" si="50"/>
        <v/>
      </c>
      <c r="G330" s="20">
        <f t="shared" si="51"/>
        <v>0</v>
      </c>
      <c r="H330" s="20">
        <f t="shared" si="52"/>
        <v>0</v>
      </c>
      <c r="I330" s="20">
        <f t="shared" si="53"/>
        <v>0</v>
      </c>
      <c r="J330" s="20">
        <f t="shared" si="47"/>
        <v>0</v>
      </c>
      <c r="K330" s="20">
        <f t="shared" si="48"/>
        <v>0</v>
      </c>
      <c r="L330" s="20">
        <f t="shared" si="49"/>
        <v>0</v>
      </c>
    </row>
    <row r="331" spans="4:12" x14ac:dyDescent="0.35">
      <c r="D331" s="20" t="str">
        <f t="shared" si="45"/>
        <v/>
      </c>
      <c r="E331" s="21" t="str">
        <f t="shared" si="46"/>
        <v/>
      </c>
      <c r="F331" s="20" t="str">
        <f t="shared" si="50"/>
        <v/>
      </c>
      <c r="G331" s="20">
        <f t="shared" si="51"/>
        <v>0</v>
      </c>
      <c r="H331" s="20">
        <f t="shared" si="52"/>
        <v>0</v>
      </c>
      <c r="I331" s="20">
        <f t="shared" si="53"/>
        <v>0</v>
      </c>
      <c r="J331" s="20">
        <f t="shared" si="47"/>
        <v>0</v>
      </c>
      <c r="K331" s="20">
        <f t="shared" si="48"/>
        <v>0</v>
      </c>
      <c r="L331" s="20">
        <f t="shared" si="49"/>
        <v>0</v>
      </c>
    </row>
    <row r="332" spans="4:12" x14ac:dyDescent="0.35">
      <c r="D332" s="20" t="str">
        <f t="shared" si="45"/>
        <v/>
      </c>
      <c r="E332" s="21" t="str">
        <f t="shared" si="46"/>
        <v/>
      </c>
      <c r="F332" s="20" t="str">
        <f t="shared" si="50"/>
        <v/>
      </c>
      <c r="G332" s="20">
        <f t="shared" si="51"/>
        <v>0</v>
      </c>
      <c r="H332" s="20">
        <f t="shared" si="52"/>
        <v>0</v>
      </c>
      <c r="I332" s="20">
        <f t="shared" si="53"/>
        <v>0</v>
      </c>
      <c r="J332" s="20">
        <f t="shared" si="47"/>
        <v>0</v>
      </c>
      <c r="K332" s="20">
        <f t="shared" si="48"/>
        <v>0</v>
      </c>
      <c r="L332" s="20">
        <f t="shared" si="49"/>
        <v>0</v>
      </c>
    </row>
    <row r="333" spans="4:12" x14ac:dyDescent="0.35">
      <c r="D333" s="20" t="str">
        <f t="shared" si="45"/>
        <v/>
      </c>
      <c r="E333" s="21" t="str">
        <f t="shared" si="46"/>
        <v/>
      </c>
      <c r="F333" s="20" t="str">
        <f t="shared" si="50"/>
        <v/>
      </c>
      <c r="G333" s="20">
        <f t="shared" si="51"/>
        <v>0</v>
      </c>
      <c r="H333" s="20">
        <f t="shared" si="52"/>
        <v>0</v>
      </c>
      <c r="I333" s="20">
        <f t="shared" si="53"/>
        <v>0</v>
      </c>
      <c r="J333" s="20">
        <f t="shared" si="47"/>
        <v>0</v>
      </c>
      <c r="K333" s="20">
        <f t="shared" si="48"/>
        <v>0</v>
      </c>
      <c r="L333" s="20">
        <f t="shared" si="49"/>
        <v>0</v>
      </c>
    </row>
    <row r="334" spans="4:12" x14ac:dyDescent="0.35">
      <c r="D334" s="20" t="str">
        <f t="shared" si="45"/>
        <v/>
      </c>
      <c r="E334" s="21" t="str">
        <f t="shared" si="46"/>
        <v/>
      </c>
      <c r="F334" s="20" t="str">
        <f t="shared" si="50"/>
        <v/>
      </c>
      <c r="G334" s="20">
        <f t="shared" si="51"/>
        <v>0</v>
      </c>
      <c r="H334" s="20">
        <f t="shared" si="52"/>
        <v>0</v>
      </c>
      <c r="I334" s="20">
        <f t="shared" si="53"/>
        <v>0</v>
      </c>
      <c r="J334" s="20">
        <f t="shared" si="47"/>
        <v>0</v>
      </c>
      <c r="K334" s="20">
        <f t="shared" si="48"/>
        <v>0</v>
      </c>
      <c r="L334" s="20">
        <f t="shared" si="49"/>
        <v>0</v>
      </c>
    </row>
    <row r="335" spans="4:12" x14ac:dyDescent="0.35">
      <c r="D335" s="20" t="str">
        <f t="shared" si="45"/>
        <v/>
      </c>
      <c r="E335" s="21" t="str">
        <f t="shared" si="46"/>
        <v/>
      </c>
      <c r="F335" s="20" t="str">
        <f t="shared" si="50"/>
        <v/>
      </c>
      <c r="G335" s="20">
        <f t="shared" si="51"/>
        <v>0</v>
      </c>
      <c r="H335" s="20">
        <f t="shared" si="52"/>
        <v>0</v>
      </c>
      <c r="I335" s="20">
        <f t="shared" si="53"/>
        <v>0</v>
      </c>
      <c r="J335" s="20">
        <f t="shared" si="47"/>
        <v>0</v>
      </c>
      <c r="K335" s="20">
        <f t="shared" si="48"/>
        <v>0</v>
      </c>
      <c r="L335" s="20">
        <f t="shared" si="49"/>
        <v>0</v>
      </c>
    </row>
    <row r="336" spans="4:12" x14ac:dyDescent="0.35">
      <c r="D336" s="20" t="str">
        <f t="shared" si="45"/>
        <v/>
      </c>
      <c r="E336" s="21" t="str">
        <f t="shared" si="46"/>
        <v/>
      </c>
      <c r="F336" s="20" t="str">
        <f t="shared" si="50"/>
        <v/>
      </c>
      <c r="G336" s="20">
        <f t="shared" si="51"/>
        <v>0</v>
      </c>
      <c r="H336" s="20">
        <f t="shared" si="52"/>
        <v>0</v>
      </c>
      <c r="I336" s="20">
        <f t="shared" si="53"/>
        <v>0</v>
      </c>
      <c r="J336" s="20">
        <f t="shared" si="47"/>
        <v>0</v>
      </c>
      <c r="K336" s="20">
        <f t="shared" si="48"/>
        <v>0</v>
      </c>
      <c r="L336" s="20">
        <f t="shared" si="49"/>
        <v>0</v>
      </c>
    </row>
    <row r="337" spans="4:12" x14ac:dyDescent="0.35">
      <c r="D337" s="20" t="str">
        <f t="shared" si="45"/>
        <v/>
      </c>
      <c r="E337" s="21" t="str">
        <f t="shared" si="46"/>
        <v/>
      </c>
      <c r="F337" s="20" t="str">
        <f t="shared" si="50"/>
        <v/>
      </c>
      <c r="G337" s="20">
        <f t="shared" si="51"/>
        <v>0</v>
      </c>
      <c r="H337" s="20">
        <f t="shared" si="52"/>
        <v>0</v>
      </c>
      <c r="I337" s="20">
        <f t="shared" si="53"/>
        <v>0</v>
      </c>
      <c r="J337" s="20">
        <f t="shared" si="47"/>
        <v>0</v>
      </c>
      <c r="K337" s="20">
        <f t="shared" si="48"/>
        <v>0</v>
      </c>
      <c r="L337" s="20">
        <f t="shared" si="49"/>
        <v>0</v>
      </c>
    </row>
    <row r="338" spans="4:12" x14ac:dyDescent="0.35">
      <c r="D338" s="20" t="str">
        <f t="shared" si="45"/>
        <v/>
      </c>
      <c r="E338" s="21" t="str">
        <f t="shared" si="46"/>
        <v/>
      </c>
      <c r="F338" s="20" t="str">
        <f t="shared" si="50"/>
        <v/>
      </c>
      <c r="G338" s="20">
        <f t="shared" si="51"/>
        <v>0</v>
      </c>
      <c r="H338" s="20">
        <f t="shared" si="52"/>
        <v>0</v>
      </c>
      <c r="I338" s="20">
        <f t="shared" si="53"/>
        <v>0</v>
      </c>
      <c r="J338" s="20">
        <f t="shared" si="47"/>
        <v>0</v>
      </c>
      <c r="K338" s="20">
        <f t="shared" si="48"/>
        <v>0</v>
      </c>
      <c r="L338" s="20">
        <f t="shared" si="49"/>
        <v>0</v>
      </c>
    </row>
    <row r="339" spans="4:12" x14ac:dyDescent="0.35">
      <c r="D339" s="20" t="str">
        <f t="shared" si="45"/>
        <v/>
      </c>
      <c r="E339" s="21" t="str">
        <f t="shared" si="46"/>
        <v/>
      </c>
      <c r="F339" s="20" t="str">
        <f t="shared" si="50"/>
        <v/>
      </c>
      <c r="G339" s="20">
        <f t="shared" si="51"/>
        <v>0</v>
      </c>
      <c r="H339" s="20">
        <f t="shared" si="52"/>
        <v>0</v>
      </c>
      <c r="I339" s="20">
        <f t="shared" si="53"/>
        <v>0</v>
      </c>
      <c r="J339" s="20">
        <f t="shared" si="47"/>
        <v>0</v>
      </c>
      <c r="K339" s="20">
        <f t="shared" si="48"/>
        <v>0</v>
      </c>
      <c r="L339" s="20">
        <f t="shared" si="49"/>
        <v>0</v>
      </c>
    </row>
    <row r="340" spans="4:12" x14ac:dyDescent="0.35">
      <c r="D340" s="20" t="str">
        <f t="shared" si="45"/>
        <v/>
      </c>
      <c r="E340" s="21" t="str">
        <f t="shared" si="46"/>
        <v/>
      </c>
      <c r="F340" s="20" t="str">
        <f t="shared" si="50"/>
        <v/>
      </c>
      <c r="G340" s="20">
        <f t="shared" si="51"/>
        <v>0</v>
      </c>
      <c r="H340" s="20">
        <f t="shared" si="52"/>
        <v>0</v>
      </c>
      <c r="I340" s="20">
        <f t="shared" si="53"/>
        <v>0</v>
      </c>
      <c r="J340" s="20">
        <f t="shared" si="47"/>
        <v>0</v>
      </c>
      <c r="K340" s="20">
        <f t="shared" si="48"/>
        <v>0</v>
      </c>
      <c r="L340" s="20">
        <f t="shared" si="49"/>
        <v>0</v>
      </c>
    </row>
    <row r="341" spans="4:12" x14ac:dyDescent="0.35">
      <c r="D341" s="20" t="str">
        <f t="shared" si="45"/>
        <v/>
      </c>
      <c r="E341" s="21" t="str">
        <f t="shared" si="46"/>
        <v/>
      </c>
      <c r="F341" s="20" t="str">
        <f t="shared" si="50"/>
        <v/>
      </c>
      <c r="G341" s="20">
        <f t="shared" si="51"/>
        <v>0</v>
      </c>
      <c r="H341" s="20">
        <f t="shared" si="52"/>
        <v>0</v>
      </c>
      <c r="I341" s="20">
        <f t="shared" si="53"/>
        <v>0</v>
      </c>
      <c r="J341" s="20">
        <f t="shared" si="47"/>
        <v>0</v>
      </c>
      <c r="K341" s="20">
        <f t="shared" si="48"/>
        <v>0</v>
      </c>
      <c r="L341" s="20">
        <f t="shared" si="49"/>
        <v>0</v>
      </c>
    </row>
    <row r="342" spans="4:12" x14ac:dyDescent="0.35">
      <c r="D342" s="20" t="str">
        <f t="shared" si="45"/>
        <v/>
      </c>
      <c r="E342" s="21" t="str">
        <f t="shared" si="46"/>
        <v/>
      </c>
      <c r="F342" s="20" t="str">
        <f t="shared" si="50"/>
        <v/>
      </c>
      <c r="G342" s="20">
        <f t="shared" si="51"/>
        <v>0</v>
      </c>
      <c r="H342" s="20">
        <f t="shared" si="52"/>
        <v>0</v>
      </c>
      <c r="I342" s="20">
        <f t="shared" si="53"/>
        <v>0</v>
      </c>
      <c r="J342" s="20">
        <f t="shared" si="47"/>
        <v>0</v>
      </c>
      <c r="K342" s="20">
        <f t="shared" si="48"/>
        <v>0</v>
      </c>
      <c r="L342" s="20">
        <f t="shared" si="49"/>
        <v>0</v>
      </c>
    </row>
    <row r="343" spans="4:12" x14ac:dyDescent="0.35">
      <c r="D343" s="20" t="str">
        <f t="shared" ref="D343:D406" si="54">IF(D342&lt;=$B$5,D342+1,"")</f>
        <v/>
      </c>
      <c r="E343" s="21" t="str">
        <f t="shared" ref="E343:E406" si="55">IF(D342&lt;=$B$5,E342+$B$6,"")</f>
        <v/>
      </c>
      <c r="F343" s="20" t="str">
        <f t="shared" si="50"/>
        <v/>
      </c>
      <c r="G343" s="20">
        <f t="shared" si="51"/>
        <v>0</v>
      </c>
      <c r="H343" s="20">
        <f t="shared" si="52"/>
        <v>0</v>
      </c>
      <c r="I343" s="20">
        <f t="shared" si="53"/>
        <v>0</v>
      </c>
      <c r="J343" s="20">
        <f t="shared" si="47"/>
        <v>0</v>
      </c>
      <c r="K343" s="20">
        <f t="shared" si="48"/>
        <v>0</v>
      </c>
      <c r="L343" s="20">
        <f t="shared" si="49"/>
        <v>0</v>
      </c>
    </row>
    <row r="344" spans="4:12" x14ac:dyDescent="0.35">
      <c r="D344" s="20" t="str">
        <f t="shared" si="54"/>
        <v/>
      </c>
      <c r="E344" s="21" t="str">
        <f t="shared" si="55"/>
        <v/>
      </c>
      <c r="F344" s="20" t="str">
        <f t="shared" si="50"/>
        <v/>
      </c>
      <c r="G344" s="20">
        <f t="shared" si="51"/>
        <v>0</v>
      </c>
      <c r="H344" s="20">
        <f t="shared" si="52"/>
        <v>0</v>
      </c>
      <c r="I344" s="20">
        <f t="shared" si="53"/>
        <v>0</v>
      </c>
      <c r="J344" s="20">
        <f t="shared" si="47"/>
        <v>0</v>
      </c>
      <c r="K344" s="20">
        <f t="shared" si="48"/>
        <v>0</v>
      </c>
      <c r="L344" s="20">
        <f t="shared" si="49"/>
        <v>0</v>
      </c>
    </row>
    <row r="345" spans="4:12" x14ac:dyDescent="0.35">
      <c r="D345" s="20" t="str">
        <f t="shared" si="54"/>
        <v/>
      </c>
      <c r="E345" s="21" t="str">
        <f t="shared" si="55"/>
        <v/>
      </c>
      <c r="F345" s="20" t="str">
        <f t="shared" si="50"/>
        <v/>
      </c>
      <c r="G345" s="20">
        <f t="shared" si="51"/>
        <v>0</v>
      </c>
      <c r="H345" s="20">
        <f t="shared" si="52"/>
        <v>0</v>
      </c>
      <c r="I345" s="20">
        <f t="shared" si="53"/>
        <v>0</v>
      </c>
      <c r="J345" s="20">
        <f t="shared" si="47"/>
        <v>0</v>
      </c>
      <c r="K345" s="20">
        <f t="shared" si="48"/>
        <v>0</v>
      </c>
      <c r="L345" s="20">
        <f t="shared" si="49"/>
        <v>0</v>
      </c>
    </row>
    <row r="346" spans="4:12" x14ac:dyDescent="0.35">
      <c r="D346" s="20" t="str">
        <f t="shared" si="54"/>
        <v/>
      </c>
      <c r="E346" s="21" t="str">
        <f t="shared" si="55"/>
        <v/>
      </c>
      <c r="F346" s="20" t="str">
        <f t="shared" si="50"/>
        <v/>
      </c>
      <c r="G346" s="20">
        <f t="shared" si="51"/>
        <v>0</v>
      </c>
      <c r="H346" s="20">
        <f t="shared" si="52"/>
        <v>0</v>
      </c>
      <c r="I346" s="20">
        <f t="shared" si="53"/>
        <v>0</v>
      </c>
      <c r="J346" s="20">
        <f t="shared" si="47"/>
        <v>0</v>
      </c>
      <c r="K346" s="20">
        <f t="shared" si="48"/>
        <v>0</v>
      </c>
      <c r="L346" s="20">
        <f t="shared" si="49"/>
        <v>0</v>
      </c>
    </row>
    <row r="347" spans="4:12" x14ac:dyDescent="0.35">
      <c r="D347" s="20" t="str">
        <f t="shared" si="54"/>
        <v/>
      </c>
      <c r="E347" s="21" t="str">
        <f t="shared" si="55"/>
        <v/>
      </c>
      <c r="F347" s="20" t="str">
        <f t="shared" si="50"/>
        <v/>
      </c>
      <c r="G347" s="20">
        <f t="shared" si="51"/>
        <v>0</v>
      </c>
      <c r="H347" s="20">
        <f t="shared" si="52"/>
        <v>0</v>
      </c>
      <c r="I347" s="20">
        <f t="shared" si="53"/>
        <v>0</v>
      </c>
      <c r="J347" s="20">
        <f t="shared" si="47"/>
        <v>0</v>
      </c>
      <c r="K347" s="20">
        <f t="shared" si="48"/>
        <v>0</v>
      </c>
      <c r="L347" s="20">
        <f t="shared" si="49"/>
        <v>0</v>
      </c>
    </row>
    <row r="348" spans="4:12" x14ac:dyDescent="0.35">
      <c r="D348" s="20" t="str">
        <f t="shared" si="54"/>
        <v/>
      </c>
      <c r="E348" s="21" t="str">
        <f t="shared" si="55"/>
        <v/>
      </c>
      <c r="F348" s="20" t="str">
        <f t="shared" si="50"/>
        <v/>
      </c>
      <c r="G348" s="20">
        <f t="shared" si="51"/>
        <v>0</v>
      </c>
      <c r="H348" s="20">
        <f t="shared" si="52"/>
        <v>0</v>
      </c>
      <c r="I348" s="20">
        <f t="shared" si="53"/>
        <v>0</v>
      </c>
      <c r="J348" s="20">
        <f t="shared" si="47"/>
        <v>0</v>
      </c>
      <c r="K348" s="20">
        <f t="shared" si="48"/>
        <v>0</v>
      </c>
      <c r="L348" s="20">
        <f t="shared" si="49"/>
        <v>0</v>
      </c>
    </row>
    <row r="349" spans="4:12" x14ac:dyDescent="0.35">
      <c r="D349" s="20" t="str">
        <f t="shared" si="54"/>
        <v/>
      </c>
      <c r="E349" s="21" t="str">
        <f t="shared" si="55"/>
        <v/>
      </c>
      <c r="F349" s="20" t="str">
        <f t="shared" si="50"/>
        <v/>
      </c>
      <c r="G349" s="20">
        <f t="shared" si="51"/>
        <v>0</v>
      </c>
      <c r="H349" s="20">
        <f t="shared" si="52"/>
        <v>0</v>
      </c>
      <c r="I349" s="20">
        <f t="shared" si="53"/>
        <v>0</v>
      </c>
      <c r="J349" s="20">
        <f t="shared" si="47"/>
        <v>0</v>
      </c>
      <c r="K349" s="20">
        <f t="shared" si="48"/>
        <v>0</v>
      </c>
      <c r="L349" s="20">
        <f t="shared" si="49"/>
        <v>0</v>
      </c>
    </row>
    <row r="350" spans="4:12" x14ac:dyDescent="0.35">
      <c r="D350" s="20" t="str">
        <f t="shared" si="54"/>
        <v/>
      </c>
      <c r="E350" s="21" t="str">
        <f t="shared" si="55"/>
        <v/>
      </c>
      <c r="F350" s="20" t="str">
        <f t="shared" si="50"/>
        <v/>
      </c>
      <c r="G350" s="20">
        <f t="shared" si="51"/>
        <v>0</v>
      </c>
      <c r="H350" s="20">
        <f t="shared" si="52"/>
        <v>0</v>
      </c>
      <c r="I350" s="20">
        <f t="shared" si="53"/>
        <v>0</v>
      </c>
      <c r="J350" s="20">
        <f t="shared" si="47"/>
        <v>0</v>
      </c>
      <c r="K350" s="20">
        <f t="shared" si="48"/>
        <v>0</v>
      </c>
      <c r="L350" s="20">
        <f t="shared" si="49"/>
        <v>0</v>
      </c>
    </row>
    <row r="351" spans="4:12" x14ac:dyDescent="0.35">
      <c r="D351" s="20" t="str">
        <f t="shared" si="54"/>
        <v/>
      </c>
      <c r="E351" s="21" t="str">
        <f t="shared" si="55"/>
        <v/>
      </c>
      <c r="F351" s="20" t="str">
        <f t="shared" si="50"/>
        <v/>
      </c>
      <c r="G351" s="20">
        <f t="shared" si="51"/>
        <v>0</v>
      </c>
      <c r="H351" s="20">
        <f t="shared" si="52"/>
        <v>0</v>
      </c>
      <c r="I351" s="20">
        <f t="shared" si="53"/>
        <v>0</v>
      </c>
      <c r="J351" s="20">
        <f t="shared" si="47"/>
        <v>0</v>
      </c>
      <c r="K351" s="20">
        <f t="shared" si="48"/>
        <v>0</v>
      </c>
      <c r="L351" s="20">
        <f t="shared" si="49"/>
        <v>0</v>
      </c>
    </row>
    <row r="352" spans="4:12" x14ac:dyDescent="0.35">
      <c r="D352" s="20" t="str">
        <f t="shared" si="54"/>
        <v/>
      </c>
      <c r="E352" s="21" t="str">
        <f t="shared" si="55"/>
        <v/>
      </c>
      <c r="F352" s="20" t="str">
        <f t="shared" si="50"/>
        <v/>
      </c>
      <c r="G352" s="20">
        <f t="shared" si="51"/>
        <v>0</v>
      </c>
      <c r="H352" s="20">
        <f t="shared" si="52"/>
        <v>0</v>
      </c>
      <c r="I352" s="20">
        <f t="shared" si="53"/>
        <v>0</v>
      </c>
      <c r="J352" s="20">
        <f t="shared" si="47"/>
        <v>0</v>
      </c>
      <c r="K352" s="20">
        <f t="shared" si="48"/>
        <v>0</v>
      </c>
      <c r="L352" s="20">
        <f t="shared" si="49"/>
        <v>0</v>
      </c>
    </row>
    <row r="353" spans="4:12" x14ac:dyDescent="0.35">
      <c r="D353" s="20" t="str">
        <f t="shared" si="54"/>
        <v/>
      </c>
      <c r="E353" s="21" t="str">
        <f t="shared" si="55"/>
        <v/>
      </c>
      <c r="F353" s="20" t="str">
        <f t="shared" si="50"/>
        <v/>
      </c>
      <c r="G353" s="20">
        <f t="shared" si="51"/>
        <v>0</v>
      </c>
      <c r="H353" s="20">
        <f t="shared" si="52"/>
        <v>0</v>
      </c>
      <c r="I353" s="20">
        <f t="shared" si="53"/>
        <v>0</v>
      </c>
      <c r="J353" s="20">
        <f t="shared" si="47"/>
        <v>0</v>
      </c>
      <c r="K353" s="20">
        <f t="shared" si="48"/>
        <v>0</v>
      </c>
      <c r="L353" s="20">
        <f t="shared" si="49"/>
        <v>0</v>
      </c>
    </row>
    <row r="354" spans="4:12" x14ac:dyDescent="0.35">
      <c r="D354" s="20" t="str">
        <f t="shared" si="54"/>
        <v/>
      </c>
      <c r="E354" s="21" t="str">
        <f t="shared" si="55"/>
        <v/>
      </c>
      <c r="F354" s="20" t="str">
        <f t="shared" si="50"/>
        <v/>
      </c>
      <c r="G354" s="20">
        <f t="shared" si="51"/>
        <v>0</v>
      </c>
      <c r="H354" s="20">
        <f t="shared" si="52"/>
        <v>0</v>
      </c>
      <c r="I354" s="20">
        <f t="shared" si="53"/>
        <v>0</v>
      </c>
      <c r="J354" s="20">
        <f t="shared" si="47"/>
        <v>0</v>
      </c>
      <c r="K354" s="20">
        <f t="shared" si="48"/>
        <v>0</v>
      </c>
      <c r="L354" s="20">
        <f t="shared" si="49"/>
        <v>0</v>
      </c>
    </row>
    <row r="355" spans="4:12" x14ac:dyDescent="0.35">
      <c r="D355" s="20" t="str">
        <f t="shared" si="54"/>
        <v/>
      </c>
      <c r="E355" s="21" t="str">
        <f t="shared" si="55"/>
        <v/>
      </c>
      <c r="F355" s="20" t="str">
        <f t="shared" si="50"/>
        <v/>
      </c>
      <c r="G355" s="20">
        <f t="shared" si="51"/>
        <v>0</v>
      </c>
      <c r="H355" s="20">
        <f t="shared" si="52"/>
        <v>0</v>
      </c>
      <c r="I355" s="20">
        <f t="shared" si="53"/>
        <v>0</v>
      </c>
      <c r="J355" s="20">
        <f t="shared" si="47"/>
        <v>0</v>
      </c>
      <c r="K355" s="20">
        <f t="shared" si="48"/>
        <v>0</v>
      </c>
      <c r="L355" s="20">
        <f t="shared" si="49"/>
        <v>0</v>
      </c>
    </row>
    <row r="356" spans="4:12" x14ac:dyDescent="0.35">
      <c r="D356" s="20" t="str">
        <f t="shared" si="54"/>
        <v/>
      </c>
      <c r="E356" s="21" t="str">
        <f t="shared" si="55"/>
        <v/>
      </c>
      <c r="F356" s="20" t="str">
        <f t="shared" si="50"/>
        <v/>
      </c>
      <c r="G356" s="20">
        <f t="shared" si="51"/>
        <v>0</v>
      </c>
      <c r="H356" s="20">
        <f t="shared" si="52"/>
        <v>0</v>
      </c>
      <c r="I356" s="20">
        <f t="shared" si="53"/>
        <v>0</v>
      </c>
      <c r="J356" s="20">
        <f t="shared" si="47"/>
        <v>0</v>
      </c>
      <c r="K356" s="20">
        <f t="shared" si="48"/>
        <v>0</v>
      </c>
      <c r="L356" s="20">
        <f t="shared" si="49"/>
        <v>0</v>
      </c>
    </row>
    <row r="357" spans="4:12" x14ac:dyDescent="0.35">
      <c r="D357" s="20" t="str">
        <f t="shared" si="54"/>
        <v/>
      </c>
      <c r="E357" s="21" t="str">
        <f t="shared" si="55"/>
        <v/>
      </c>
      <c r="F357" s="20" t="str">
        <f t="shared" si="50"/>
        <v/>
      </c>
      <c r="G357" s="20">
        <f t="shared" si="51"/>
        <v>0</v>
      </c>
      <c r="H357" s="20">
        <f t="shared" si="52"/>
        <v>0</v>
      </c>
      <c r="I357" s="20">
        <f t="shared" si="53"/>
        <v>0</v>
      </c>
      <c r="J357" s="20">
        <f t="shared" si="47"/>
        <v>0</v>
      </c>
      <c r="K357" s="20">
        <f t="shared" si="48"/>
        <v>0</v>
      </c>
      <c r="L357" s="20">
        <f t="shared" si="49"/>
        <v>0</v>
      </c>
    </row>
    <row r="358" spans="4:12" x14ac:dyDescent="0.35">
      <c r="D358" s="20" t="str">
        <f t="shared" si="54"/>
        <v/>
      </c>
      <c r="E358" s="21" t="str">
        <f t="shared" si="55"/>
        <v/>
      </c>
      <c r="F358" s="20" t="str">
        <f t="shared" si="50"/>
        <v/>
      </c>
      <c r="G358" s="20">
        <f t="shared" si="51"/>
        <v>0</v>
      </c>
      <c r="H358" s="20">
        <f t="shared" si="52"/>
        <v>0</v>
      </c>
      <c r="I358" s="20">
        <f t="shared" si="53"/>
        <v>0</v>
      </c>
      <c r="J358" s="20">
        <f t="shared" si="47"/>
        <v>0</v>
      </c>
      <c r="K358" s="20">
        <f t="shared" si="48"/>
        <v>0</v>
      </c>
      <c r="L358" s="20">
        <f t="shared" si="49"/>
        <v>0</v>
      </c>
    </row>
    <row r="359" spans="4:12" x14ac:dyDescent="0.35">
      <c r="D359" s="20" t="str">
        <f t="shared" si="54"/>
        <v/>
      </c>
      <c r="E359" s="21" t="str">
        <f t="shared" si="55"/>
        <v/>
      </c>
      <c r="F359" s="20" t="str">
        <f t="shared" si="50"/>
        <v/>
      </c>
      <c r="G359" s="20">
        <f t="shared" si="51"/>
        <v>0</v>
      </c>
      <c r="H359" s="20">
        <f t="shared" si="52"/>
        <v>0</v>
      </c>
      <c r="I359" s="20">
        <f t="shared" si="53"/>
        <v>0</v>
      </c>
      <c r="J359" s="20">
        <f t="shared" si="47"/>
        <v>0</v>
      </c>
      <c r="K359" s="20">
        <f t="shared" si="48"/>
        <v>0</v>
      </c>
      <c r="L359" s="20">
        <f t="shared" si="49"/>
        <v>0</v>
      </c>
    </row>
    <row r="360" spans="4:12" x14ac:dyDescent="0.35">
      <c r="D360" s="20" t="str">
        <f t="shared" si="54"/>
        <v/>
      </c>
      <c r="E360" s="21" t="str">
        <f t="shared" si="55"/>
        <v/>
      </c>
      <c r="F360" s="20" t="str">
        <f t="shared" si="50"/>
        <v/>
      </c>
      <c r="G360" s="20">
        <f t="shared" si="51"/>
        <v>0</v>
      </c>
      <c r="H360" s="20">
        <f t="shared" si="52"/>
        <v>0</v>
      </c>
      <c r="I360" s="20">
        <f t="shared" si="53"/>
        <v>0</v>
      </c>
      <c r="J360" s="20">
        <f t="shared" si="47"/>
        <v>0</v>
      </c>
      <c r="K360" s="20">
        <f t="shared" si="48"/>
        <v>0</v>
      </c>
      <c r="L360" s="20">
        <f t="shared" si="49"/>
        <v>0</v>
      </c>
    </row>
    <row r="361" spans="4:12" x14ac:dyDescent="0.35">
      <c r="D361" s="20" t="str">
        <f t="shared" si="54"/>
        <v/>
      </c>
      <c r="E361" s="21" t="str">
        <f t="shared" si="55"/>
        <v/>
      </c>
      <c r="F361" s="20" t="str">
        <f t="shared" si="50"/>
        <v/>
      </c>
      <c r="G361" s="20">
        <f t="shared" si="51"/>
        <v>0</v>
      </c>
      <c r="H361" s="20">
        <f t="shared" si="52"/>
        <v>0</v>
      </c>
      <c r="I361" s="20">
        <f t="shared" si="53"/>
        <v>0</v>
      </c>
      <c r="J361" s="20">
        <f t="shared" si="47"/>
        <v>0</v>
      </c>
      <c r="K361" s="20">
        <f t="shared" si="48"/>
        <v>0</v>
      </c>
      <c r="L361" s="20">
        <f t="shared" si="49"/>
        <v>0</v>
      </c>
    </row>
    <row r="362" spans="4:12" x14ac:dyDescent="0.35">
      <c r="D362" s="20" t="str">
        <f t="shared" si="54"/>
        <v/>
      </c>
      <c r="E362" s="21" t="str">
        <f t="shared" si="55"/>
        <v/>
      </c>
      <c r="F362" s="20" t="str">
        <f t="shared" si="50"/>
        <v/>
      </c>
      <c r="G362" s="20">
        <f t="shared" si="51"/>
        <v>0</v>
      </c>
      <c r="H362" s="20">
        <f t="shared" si="52"/>
        <v>0</v>
      </c>
      <c r="I362" s="20">
        <f t="shared" si="53"/>
        <v>0</v>
      </c>
      <c r="J362" s="20">
        <f t="shared" si="47"/>
        <v>0</v>
      </c>
      <c r="K362" s="20">
        <f t="shared" si="48"/>
        <v>0</v>
      </c>
      <c r="L362" s="20">
        <f t="shared" si="49"/>
        <v>0</v>
      </c>
    </row>
    <row r="363" spans="4:12" x14ac:dyDescent="0.35">
      <c r="D363" s="20" t="str">
        <f t="shared" si="54"/>
        <v/>
      </c>
      <c r="E363" s="21" t="str">
        <f t="shared" si="55"/>
        <v/>
      </c>
      <c r="F363" s="20" t="str">
        <f t="shared" si="50"/>
        <v/>
      </c>
      <c r="G363" s="20">
        <f t="shared" si="51"/>
        <v>0</v>
      </c>
      <c r="H363" s="20">
        <f t="shared" si="52"/>
        <v>0</v>
      </c>
      <c r="I363" s="20">
        <f t="shared" si="53"/>
        <v>0</v>
      </c>
      <c r="J363" s="20">
        <f t="shared" si="47"/>
        <v>0</v>
      </c>
      <c r="K363" s="20">
        <f t="shared" si="48"/>
        <v>0</v>
      </c>
      <c r="L363" s="20">
        <f t="shared" si="49"/>
        <v>0</v>
      </c>
    </row>
    <row r="364" spans="4:12" x14ac:dyDescent="0.35">
      <c r="D364" s="20" t="str">
        <f t="shared" si="54"/>
        <v/>
      </c>
      <c r="E364" s="21" t="str">
        <f t="shared" si="55"/>
        <v/>
      </c>
      <c r="F364" s="20" t="str">
        <f t="shared" si="50"/>
        <v/>
      </c>
      <c r="G364" s="20">
        <f t="shared" si="51"/>
        <v>0</v>
      </c>
      <c r="H364" s="20">
        <f t="shared" si="52"/>
        <v>0</v>
      </c>
      <c r="I364" s="20">
        <f t="shared" si="53"/>
        <v>0</v>
      </c>
      <c r="J364" s="20">
        <f t="shared" si="47"/>
        <v>0</v>
      </c>
      <c r="K364" s="20">
        <f t="shared" si="48"/>
        <v>0</v>
      </c>
      <c r="L364" s="20">
        <f t="shared" si="49"/>
        <v>0</v>
      </c>
    </row>
    <row r="365" spans="4:12" x14ac:dyDescent="0.35">
      <c r="D365" s="20" t="str">
        <f t="shared" si="54"/>
        <v/>
      </c>
      <c r="E365" s="21" t="str">
        <f t="shared" si="55"/>
        <v/>
      </c>
      <c r="F365" s="20" t="str">
        <f t="shared" si="50"/>
        <v/>
      </c>
      <c r="G365" s="20">
        <f t="shared" si="51"/>
        <v>0</v>
      </c>
      <c r="H365" s="20">
        <f t="shared" si="52"/>
        <v>0</v>
      </c>
      <c r="I365" s="20">
        <f t="shared" si="53"/>
        <v>0</v>
      </c>
      <c r="J365" s="20">
        <f t="shared" si="47"/>
        <v>0</v>
      </c>
      <c r="K365" s="20">
        <f t="shared" si="48"/>
        <v>0</v>
      </c>
      <c r="L365" s="20">
        <f t="shared" si="49"/>
        <v>0</v>
      </c>
    </row>
    <row r="366" spans="4:12" x14ac:dyDescent="0.35">
      <c r="D366" s="20" t="str">
        <f t="shared" si="54"/>
        <v/>
      </c>
      <c r="E366" s="21" t="str">
        <f t="shared" si="55"/>
        <v/>
      </c>
      <c r="F366" s="20" t="str">
        <f t="shared" si="50"/>
        <v/>
      </c>
      <c r="G366" s="20">
        <f t="shared" si="51"/>
        <v>0</v>
      </c>
      <c r="H366" s="20">
        <f t="shared" si="52"/>
        <v>0</v>
      </c>
      <c r="I366" s="20">
        <f t="shared" si="53"/>
        <v>0</v>
      </c>
      <c r="J366" s="20">
        <f t="shared" si="47"/>
        <v>0</v>
      </c>
      <c r="K366" s="20">
        <f t="shared" si="48"/>
        <v>0</v>
      </c>
      <c r="L366" s="20">
        <f t="shared" si="49"/>
        <v>0</v>
      </c>
    </row>
    <row r="367" spans="4:12" x14ac:dyDescent="0.35">
      <c r="D367" s="20" t="str">
        <f t="shared" si="54"/>
        <v/>
      </c>
      <c r="E367" s="21" t="str">
        <f t="shared" si="55"/>
        <v/>
      </c>
      <c r="F367" s="20" t="str">
        <f t="shared" si="50"/>
        <v/>
      </c>
      <c r="G367" s="20">
        <f t="shared" si="51"/>
        <v>0</v>
      </c>
      <c r="H367" s="20">
        <f t="shared" si="52"/>
        <v>0</v>
      </c>
      <c r="I367" s="20">
        <f t="shared" si="53"/>
        <v>0</v>
      </c>
      <c r="J367" s="20">
        <f t="shared" si="47"/>
        <v>0</v>
      </c>
      <c r="K367" s="20">
        <f t="shared" si="48"/>
        <v>0</v>
      </c>
      <c r="L367" s="20">
        <f t="shared" si="49"/>
        <v>0</v>
      </c>
    </row>
    <row r="368" spans="4:12" x14ac:dyDescent="0.35">
      <c r="D368" s="20" t="str">
        <f t="shared" si="54"/>
        <v/>
      </c>
      <c r="E368" s="21" t="str">
        <f t="shared" si="55"/>
        <v/>
      </c>
      <c r="F368" s="20" t="str">
        <f t="shared" si="50"/>
        <v/>
      </c>
      <c r="G368" s="20">
        <f t="shared" si="51"/>
        <v>0</v>
      </c>
      <c r="H368" s="20">
        <f t="shared" si="52"/>
        <v>0</v>
      </c>
      <c r="I368" s="20">
        <f t="shared" si="53"/>
        <v>0</v>
      </c>
      <c r="J368" s="20">
        <f t="shared" si="47"/>
        <v>0</v>
      </c>
      <c r="K368" s="20">
        <f t="shared" si="48"/>
        <v>0</v>
      </c>
      <c r="L368" s="20">
        <f t="shared" si="49"/>
        <v>0</v>
      </c>
    </row>
    <row r="369" spans="4:12" x14ac:dyDescent="0.35">
      <c r="D369" s="20" t="str">
        <f t="shared" si="54"/>
        <v/>
      </c>
      <c r="E369" s="21" t="str">
        <f t="shared" si="55"/>
        <v/>
      </c>
      <c r="F369" s="20" t="str">
        <f t="shared" si="50"/>
        <v/>
      </c>
      <c r="G369" s="20">
        <f t="shared" si="51"/>
        <v>0</v>
      </c>
      <c r="H369" s="20">
        <f t="shared" si="52"/>
        <v>0</v>
      </c>
      <c r="I369" s="20">
        <f t="shared" si="53"/>
        <v>0</v>
      </c>
      <c r="J369" s="20">
        <f t="shared" si="47"/>
        <v>0</v>
      </c>
      <c r="K369" s="20">
        <f t="shared" si="48"/>
        <v>0</v>
      </c>
      <c r="L369" s="20">
        <f t="shared" si="49"/>
        <v>0</v>
      </c>
    </row>
    <row r="370" spans="4:12" x14ac:dyDescent="0.35">
      <c r="D370" s="20" t="str">
        <f t="shared" si="54"/>
        <v/>
      </c>
      <c r="E370" s="21" t="str">
        <f t="shared" si="55"/>
        <v/>
      </c>
      <c r="F370" s="20" t="str">
        <f t="shared" si="50"/>
        <v/>
      </c>
      <c r="G370" s="20">
        <f t="shared" si="51"/>
        <v>0</v>
      </c>
      <c r="H370" s="20">
        <f t="shared" si="52"/>
        <v>0</v>
      </c>
      <c r="I370" s="20">
        <f t="shared" si="53"/>
        <v>0</v>
      </c>
      <c r="J370" s="20">
        <f t="shared" si="47"/>
        <v>0</v>
      </c>
      <c r="K370" s="20">
        <f t="shared" si="48"/>
        <v>0</v>
      </c>
      <c r="L370" s="20">
        <f t="shared" si="49"/>
        <v>0</v>
      </c>
    </row>
    <row r="371" spans="4:12" x14ac:dyDescent="0.35">
      <c r="D371" s="20" t="str">
        <f t="shared" si="54"/>
        <v/>
      </c>
      <c r="E371" s="21" t="str">
        <f t="shared" si="55"/>
        <v/>
      </c>
      <c r="F371" s="20" t="str">
        <f t="shared" si="50"/>
        <v/>
      </c>
      <c r="G371" s="20">
        <f t="shared" si="51"/>
        <v>0</v>
      </c>
      <c r="H371" s="20">
        <f t="shared" si="52"/>
        <v>0</v>
      </c>
      <c r="I371" s="20">
        <f t="shared" si="53"/>
        <v>0</v>
      </c>
      <c r="J371" s="20">
        <f t="shared" si="47"/>
        <v>0</v>
      </c>
      <c r="K371" s="20">
        <f t="shared" si="48"/>
        <v>0</v>
      </c>
      <c r="L371" s="20">
        <f t="shared" si="49"/>
        <v>0</v>
      </c>
    </row>
    <row r="372" spans="4:12" x14ac:dyDescent="0.35">
      <c r="D372" s="20" t="str">
        <f t="shared" si="54"/>
        <v/>
      </c>
      <c r="E372" s="21" t="str">
        <f t="shared" si="55"/>
        <v/>
      </c>
      <c r="F372" s="20" t="str">
        <f t="shared" si="50"/>
        <v/>
      </c>
      <c r="G372" s="20">
        <f t="shared" si="51"/>
        <v>0</v>
      </c>
      <c r="H372" s="20">
        <f t="shared" si="52"/>
        <v>0</v>
      </c>
      <c r="I372" s="20">
        <f t="shared" si="53"/>
        <v>0</v>
      </c>
      <c r="J372" s="20">
        <f t="shared" si="47"/>
        <v>0</v>
      </c>
      <c r="K372" s="20">
        <f t="shared" si="48"/>
        <v>0</v>
      </c>
      <c r="L372" s="20">
        <f t="shared" si="49"/>
        <v>0</v>
      </c>
    </row>
    <row r="373" spans="4:12" x14ac:dyDescent="0.35">
      <c r="D373" s="20" t="str">
        <f t="shared" si="54"/>
        <v/>
      </c>
      <c r="E373" s="21" t="str">
        <f t="shared" si="55"/>
        <v/>
      </c>
      <c r="F373" s="20" t="str">
        <f t="shared" si="50"/>
        <v/>
      </c>
      <c r="G373" s="20">
        <f t="shared" si="51"/>
        <v>0</v>
      </c>
      <c r="H373" s="20">
        <f t="shared" si="52"/>
        <v>0</v>
      </c>
      <c r="I373" s="20">
        <f t="shared" si="53"/>
        <v>0</v>
      </c>
      <c r="J373" s="20">
        <f t="shared" si="47"/>
        <v>0</v>
      </c>
      <c r="K373" s="20">
        <f t="shared" si="48"/>
        <v>0</v>
      </c>
      <c r="L373" s="20">
        <f t="shared" si="49"/>
        <v>0</v>
      </c>
    </row>
    <row r="374" spans="4:12" x14ac:dyDescent="0.35">
      <c r="D374" s="20" t="str">
        <f t="shared" si="54"/>
        <v/>
      </c>
      <c r="E374" s="21" t="str">
        <f t="shared" si="55"/>
        <v/>
      </c>
      <c r="F374" s="20" t="str">
        <f t="shared" si="50"/>
        <v/>
      </c>
      <c r="G374" s="20">
        <f t="shared" si="51"/>
        <v>0</v>
      </c>
      <c r="H374" s="20">
        <f t="shared" si="52"/>
        <v>0</v>
      </c>
      <c r="I374" s="20">
        <f t="shared" si="53"/>
        <v>0</v>
      </c>
      <c r="J374" s="20">
        <f t="shared" si="47"/>
        <v>0</v>
      </c>
      <c r="K374" s="20">
        <f t="shared" si="48"/>
        <v>0</v>
      </c>
      <c r="L374" s="20">
        <f t="shared" si="49"/>
        <v>0</v>
      </c>
    </row>
    <row r="375" spans="4:12" x14ac:dyDescent="0.35">
      <c r="D375" s="20" t="str">
        <f t="shared" si="54"/>
        <v/>
      </c>
      <c r="E375" s="21" t="str">
        <f t="shared" si="55"/>
        <v/>
      </c>
      <c r="F375" s="20" t="str">
        <f t="shared" si="50"/>
        <v/>
      </c>
      <c r="G375" s="20">
        <f t="shared" si="51"/>
        <v>0</v>
      </c>
      <c r="H375" s="20">
        <f t="shared" si="52"/>
        <v>0</v>
      </c>
      <c r="I375" s="20">
        <f t="shared" si="53"/>
        <v>0</v>
      </c>
      <c r="J375" s="20">
        <f t="shared" si="47"/>
        <v>0</v>
      </c>
      <c r="K375" s="20">
        <f t="shared" si="48"/>
        <v>0</v>
      </c>
      <c r="L375" s="20">
        <f t="shared" si="49"/>
        <v>0</v>
      </c>
    </row>
    <row r="376" spans="4:12" x14ac:dyDescent="0.35">
      <c r="D376" s="20" t="str">
        <f t="shared" si="54"/>
        <v/>
      </c>
      <c r="E376" s="21" t="str">
        <f t="shared" si="55"/>
        <v/>
      </c>
      <c r="F376" s="20" t="str">
        <f t="shared" si="50"/>
        <v/>
      </c>
      <c r="G376" s="20">
        <f t="shared" si="51"/>
        <v>0</v>
      </c>
      <c r="H376" s="20">
        <f t="shared" si="52"/>
        <v>0</v>
      </c>
      <c r="I376" s="20">
        <f t="shared" si="53"/>
        <v>0</v>
      </c>
      <c r="J376" s="20">
        <f t="shared" si="47"/>
        <v>0</v>
      </c>
      <c r="K376" s="20">
        <f t="shared" si="48"/>
        <v>0</v>
      </c>
      <c r="L376" s="20">
        <f t="shared" si="49"/>
        <v>0</v>
      </c>
    </row>
    <row r="377" spans="4:12" x14ac:dyDescent="0.35">
      <c r="D377" s="20" t="str">
        <f t="shared" si="54"/>
        <v/>
      </c>
      <c r="E377" s="21" t="str">
        <f t="shared" si="55"/>
        <v/>
      </c>
      <c r="F377" s="20" t="str">
        <f t="shared" si="50"/>
        <v/>
      </c>
      <c r="G377" s="20">
        <f t="shared" si="51"/>
        <v>0</v>
      </c>
      <c r="H377" s="20">
        <f t="shared" si="52"/>
        <v>0</v>
      </c>
      <c r="I377" s="20">
        <f t="shared" si="53"/>
        <v>0</v>
      </c>
      <c r="J377" s="20">
        <f t="shared" si="47"/>
        <v>0</v>
      </c>
      <c r="K377" s="20">
        <f t="shared" si="48"/>
        <v>0</v>
      </c>
      <c r="L377" s="20">
        <f t="shared" si="49"/>
        <v>0</v>
      </c>
    </row>
    <row r="378" spans="4:12" x14ac:dyDescent="0.35">
      <c r="D378" s="20" t="str">
        <f t="shared" si="54"/>
        <v/>
      </c>
      <c r="E378" s="21" t="str">
        <f t="shared" si="55"/>
        <v/>
      </c>
      <c r="F378" s="20" t="str">
        <f t="shared" si="50"/>
        <v/>
      </c>
      <c r="G378" s="20">
        <f t="shared" si="51"/>
        <v>0</v>
      </c>
      <c r="H378" s="20">
        <f t="shared" si="52"/>
        <v>0</v>
      </c>
      <c r="I378" s="20">
        <f t="shared" si="53"/>
        <v>0</v>
      </c>
      <c r="J378" s="20">
        <f t="shared" si="47"/>
        <v>0</v>
      </c>
      <c r="K378" s="20">
        <f t="shared" si="48"/>
        <v>0</v>
      </c>
      <c r="L378" s="20">
        <f t="shared" si="49"/>
        <v>0</v>
      </c>
    </row>
    <row r="379" spans="4:12" x14ac:dyDescent="0.35">
      <c r="D379" s="20" t="str">
        <f t="shared" si="54"/>
        <v/>
      </c>
      <c r="E379" s="21" t="str">
        <f t="shared" si="55"/>
        <v/>
      </c>
      <c r="F379" s="20" t="str">
        <f t="shared" si="50"/>
        <v/>
      </c>
      <c r="G379" s="20">
        <f t="shared" si="51"/>
        <v>0</v>
      </c>
      <c r="H379" s="20">
        <f t="shared" si="52"/>
        <v>0</v>
      </c>
      <c r="I379" s="20">
        <f t="shared" si="53"/>
        <v>0</v>
      </c>
      <c r="J379" s="20">
        <f t="shared" si="47"/>
        <v>0</v>
      </c>
      <c r="K379" s="20">
        <f t="shared" si="48"/>
        <v>0</v>
      </c>
      <c r="L379" s="20">
        <f t="shared" si="49"/>
        <v>0</v>
      </c>
    </row>
    <row r="380" spans="4:12" x14ac:dyDescent="0.35">
      <c r="D380" s="20" t="str">
        <f t="shared" si="54"/>
        <v/>
      </c>
      <c r="E380" s="21" t="str">
        <f t="shared" si="55"/>
        <v/>
      </c>
      <c r="F380" s="20" t="str">
        <f t="shared" si="50"/>
        <v/>
      </c>
      <c r="G380" s="20">
        <f t="shared" si="51"/>
        <v>0</v>
      </c>
      <c r="H380" s="20">
        <f t="shared" si="52"/>
        <v>0</v>
      </c>
      <c r="I380" s="20">
        <f t="shared" si="53"/>
        <v>0</v>
      </c>
      <c r="J380" s="20">
        <f t="shared" si="47"/>
        <v>0</v>
      </c>
      <c r="K380" s="20">
        <f t="shared" si="48"/>
        <v>0</v>
      </c>
      <c r="L380" s="20">
        <f t="shared" si="49"/>
        <v>0</v>
      </c>
    </row>
    <row r="381" spans="4:12" x14ac:dyDescent="0.35">
      <c r="D381" s="20" t="str">
        <f t="shared" si="54"/>
        <v/>
      </c>
      <c r="E381" s="21" t="str">
        <f t="shared" si="55"/>
        <v/>
      </c>
      <c r="F381" s="20" t="str">
        <f t="shared" si="50"/>
        <v/>
      </c>
      <c r="G381" s="20">
        <f t="shared" si="51"/>
        <v>0</v>
      </c>
      <c r="H381" s="20">
        <f t="shared" si="52"/>
        <v>0</v>
      </c>
      <c r="I381" s="20">
        <f t="shared" si="53"/>
        <v>0</v>
      </c>
      <c r="J381" s="20">
        <f t="shared" si="47"/>
        <v>0</v>
      </c>
      <c r="K381" s="20">
        <f t="shared" si="48"/>
        <v>0</v>
      </c>
      <c r="L381" s="20">
        <f t="shared" si="49"/>
        <v>0</v>
      </c>
    </row>
    <row r="382" spans="4:12" x14ac:dyDescent="0.35">
      <c r="D382" s="20" t="str">
        <f t="shared" si="54"/>
        <v/>
      </c>
      <c r="E382" s="21" t="str">
        <f t="shared" si="55"/>
        <v/>
      </c>
      <c r="F382" s="20" t="str">
        <f t="shared" si="50"/>
        <v/>
      </c>
      <c r="G382" s="20">
        <f t="shared" si="51"/>
        <v>0</v>
      </c>
      <c r="H382" s="20">
        <f t="shared" si="52"/>
        <v>0</v>
      </c>
      <c r="I382" s="20">
        <f t="shared" si="53"/>
        <v>0</v>
      </c>
      <c r="J382" s="20">
        <f t="shared" si="47"/>
        <v>0</v>
      </c>
      <c r="K382" s="20">
        <f t="shared" si="48"/>
        <v>0</v>
      </c>
      <c r="L382" s="20">
        <f t="shared" si="49"/>
        <v>0</v>
      </c>
    </row>
    <row r="383" spans="4:12" x14ac:dyDescent="0.35">
      <c r="D383" s="20" t="str">
        <f t="shared" si="54"/>
        <v/>
      </c>
      <c r="E383" s="21" t="str">
        <f t="shared" si="55"/>
        <v/>
      </c>
      <c r="F383" s="20" t="str">
        <f t="shared" si="50"/>
        <v/>
      </c>
      <c r="G383" s="20">
        <f t="shared" si="51"/>
        <v>0</v>
      </c>
      <c r="H383" s="20">
        <f t="shared" si="52"/>
        <v>0</v>
      </c>
      <c r="I383" s="20">
        <f t="shared" si="53"/>
        <v>0</v>
      </c>
      <c r="J383" s="20">
        <f t="shared" si="47"/>
        <v>0</v>
      </c>
      <c r="K383" s="20">
        <f t="shared" si="48"/>
        <v>0</v>
      </c>
      <c r="L383" s="20">
        <f t="shared" si="49"/>
        <v>0</v>
      </c>
    </row>
    <row r="384" spans="4:12" x14ac:dyDescent="0.35">
      <c r="D384" s="20" t="str">
        <f t="shared" si="54"/>
        <v/>
      </c>
      <c r="E384" s="21" t="str">
        <f t="shared" si="55"/>
        <v/>
      </c>
      <c r="F384" s="20" t="str">
        <f t="shared" si="50"/>
        <v/>
      </c>
      <c r="G384" s="20">
        <f t="shared" si="51"/>
        <v>0</v>
      </c>
      <c r="H384" s="20">
        <f t="shared" si="52"/>
        <v>0</v>
      </c>
      <c r="I384" s="20">
        <f t="shared" si="53"/>
        <v>0</v>
      </c>
      <c r="J384" s="20">
        <f t="shared" si="47"/>
        <v>0</v>
      </c>
      <c r="K384" s="20">
        <f t="shared" si="48"/>
        <v>0</v>
      </c>
      <c r="L384" s="20">
        <f t="shared" si="49"/>
        <v>0</v>
      </c>
    </row>
    <row r="385" spans="4:12" x14ac:dyDescent="0.35">
      <c r="D385" s="20" t="str">
        <f t="shared" si="54"/>
        <v/>
      </c>
      <c r="E385" s="21" t="str">
        <f t="shared" si="55"/>
        <v/>
      </c>
      <c r="F385" s="20" t="str">
        <f t="shared" si="50"/>
        <v/>
      </c>
      <c r="G385" s="20">
        <f t="shared" si="51"/>
        <v>0</v>
      </c>
      <c r="H385" s="20">
        <f t="shared" si="52"/>
        <v>0</v>
      </c>
      <c r="I385" s="20">
        <f t="shared" si="53"/>
        <v>0</v>
      </c>
      <c r="J385" s="20">
        <f t="shared" si="47"/>
        <v>0</v>
      </c>
      <c r="K385" s="20">
        <f t="shared" si="48"/>
        <v>0</v>
      </c>
      <c r="L385" s="20">
        <f t="shared" si="49"/>
        <v>0</v>
      </c>
    </row>
    <row r="386" spans="4:12" x14ac:dyDescent="0.35">
      <c r="D386" s="20" t="str">
        <f t="shared" si="54"/>
        <v/>
      </c>
      <c r="E386" s="21" t="str">
        <f t="shared" si="55"/>
        <v/>
      </c>
      <c r="F386" s="20" t="str">
        <f t="shared" si="50"/>
        <v/>
      </c>
      <c r="G386" s="20">
        <f t="shared" si="51"/>
        <v>0</v>
      </c>
      <c r="H386" s="20">
        <f t="shared" si="52"/>
        <v>0</v>
      </c>
      <c r="I386" s="20">
        <f t="shared" si="53"/>
        <v>0</v>
      </c>
      <c r="J386" s="20">
        <f t="shared" si="47"/>
        <v>0</v>
      </c>
      <c r="K386" s="20">
        <f t="shared" si="48"/>
        <v>0</v>
      </c>
      <c r="L386" s="20">
        <f t="shared" si="49"/>
        <v>0</v>
      </c>
    </row>
    <row r="387" spans="4:12" x14ac:dyDescent="0.35">
      <c r="D387" s="20" t="str">
        <f t="shared" si="54"/>
        <v/>
      </c>
      <c r="E387" s="21" t="str">
        <f t="shared" si="55"/>
        <v/>
      </c>
      <c r="F387" s="20" t="str">
        <f t="shared" si="50"/>
        <v/>
      </c>
      <c r="G387" s="20">
        <f t="shared" si="51"/>
        <v>0</v>
      </c>
      <c r="H387" s="20">
        <f t="shared" si="52"/>
        <v>0</v>
      </c>
      <c r="I387" s="20">
        <f t="shared" si="53"/>
        <v>0</v>
      </c>
      <c r="J387" s="20">
        <f t="shared" ref="J387:J450" si="56">ABS(G387)</f>
        <v>0</v>
      </c>
      <c r="K387" s="20">
        <f t="shared" ref="K387:K450" si="57">ABS(H387)</f>
        <v>0</v>
      </c>
      <c r="L387" s="20">
        <f t="shared" ref="L387:L450" si="58">ABS(I387)</f>
        <v>0</v>
      </c>
    </row>
    <row r="388" spans="4:12" x14ac:dyDescent="0.35">
      <c r="D388" s="20" t="str">
        <f t="shared" si="54"/>
        <v/>
      </c>
      <c r="E388" s="21" t="str">
        <f t="shared" si="55"/>
        <v/>
      </c>
      <c r="F388" s="20" t="str">
        <f t="shared" ref="F388:F451" si="59">IF(D387&lt;=$B$5,((3*E388^2)-(4*E388)*(SIN(1.4*E388^3)^2))/((0.4*E388^2+1)^(1/4)),"")</f>
        <v/>
      </c>
      <c r="G388" s="20">
        <f t="shared" ref="G388:G451" si="60">IF(D388=$B$5+1,F388,0)</f>
        <v>0</v>
      </c>
      <c r="H388" s="20">
        <f t="shared" ref="H388:H451" si="61">IF(D387&lt;$B$5,F388*MOD(D387,2),0)</f>
        <v>0</v>
      </c>
      <c r="I388" s="20">
        <f t="shared" ref="I388:I451" si="62">IF(D387&lt;$B$5,F388*MOD(D388,2),0)</f>
        <v>0</v>
      </c>
      <c r="J388" s="20">
        <f t="shared" si="56"/>
        <v>0</v>
      </c>
      <c r="K388" s="20">
        <f t="shared" si="57"/>
        <v>0</v>
      </c>
      <c r="L388" s="20">
        <f t="shared" si="58"/>
        <v>0</v>
      </c>
    </row>
    <row r="389" spans="4:12" x14ac:dyDescent="0.35">
      <c r="D389" s="20" t="str">
        <f t="shared" si="54"/>
        <v/>
      </c>
      <c r="E389" s="21" t="str">
        <f t="shared" si="55"/>
        <v/>
      </c>
      <c r="F389" s="20" t="str">
        <f t="shared" si="59"/>
        <v/>
      </c>
      <c r="G389" s="20">
        <f t="shared" si="60"/>
        <v>0</v>
      </c>
      <c r="H389" s="20">
        <f t="shared" si="61"/>
        <v>0</v>
      </c>
      <c r="I389" s="20">
        <f t="shared" si="62"/>
        <v>0</v>
      </c>
      <c r="J389" s="20">
        <f t="shared" si="56"/>
        <v>0</v>
      </c>
      <c r="K389" s="20">
        <f t="shared" si="57"/>
        <v>0</v>
      </c>
      <c r="L389" s="20">
        <f t="shared" si="58"/>
        <v>0</v>
      </c>
    </row>
    <row r="390" spans="4:12" x14ac:dyDescent="0.35">
      <c r="D390" s="20" t="str">
        <f t="shared" si="54"/>
        <v/>
      </c>
      <c r="E390" s="21" t="str">
        <f t="shared" si="55"/>
        <v/>
      </c>
      <c r="F390" s="20" t="str">
        <f t="shared" si="59"/>
        <v/>
      </c>
      <c r="G390" s="20">
        <f t="shared" si="60"/>
        <v>0</v>
      </c>
      <c r="H390" s="20">
        <f t="shared" si="61"/>
        <v>0</v>
      </c>
      <c r="I390" s="20">
        <f t="shared" si="62"/>
        <v>0</v>
      </c>
      <c r="J390" s="20">
        <f t="shared" si="56"/>
        <v>0</v>
      </c>
      <c r="K390" s="20">
        <f t="shared" si="57"/>
        <v>0</v>
      </c>
      <c r="L390" s="20">
        <f t="shared" si="58"/>
        <v>0</v>
      </c>
    </row>
    <row r="391" spans="4:12" x14ac:dyDescent="0.35">
      <c r="D391" s="20" t="str">
        <f t="shared" si="54"/>
        <v/>
      </c>
      <c r="E391" s="21" t="str">
        <f t="shared" si="55"/>
        <v/>
      </c>
      <c r="F391" s="20" t="str">
        <f t="shared" si="59"/>
        <v/>
      </c>
      <c r="G391" s="20">
        <f t="shared" si="60"/>
        <v>0</v>
      </c>
      <c r="H391" s="20">
        <f t="shared" si="61"/>
        <v>0</v>
      </c>
      <c r="I391" s="20">
        <f t="shared" si="62"/>
        <v>0</v>
      </c>
      <c r="J391" s="20">
        <f t="shared" si="56"/>
        <v>0</v>
      </c>
      <c r="K391" s="20">
        <f t="shared" si="57"/>
        <v>0</v>
      </c>
      <c r="L391" s="20">
        <f t="shared" si="58"/>
        <v>0</v>
      </c>
    </row>
    <row r="392" spans="4:12" x14ac:dyDescent="0.35">
      <c r="D392" s="20" t="str">
        <f t="shared" si="54"/>
        <v/>
      </c>
      <c r="E392" s="21" t="str">
        <f t="shared" si="55"/>
        <v/>
      </c>
      <c r="F392" s="20" t="str">
        <f t="shared" si="59"/>
        <v/>
      </c>
      <c r="G392" s="20">
        <f t="shared" si="60"/>
        <v>0</v>
      </c>
      <c r="H392" s="20">
        <f t="shared" si="61"/>
        <v>0</v>
      </c>
      <c r="I392" s="20">
        <f t="shared" si="62"/>
        <v>0</v>
      </c>
      <c r="J392" s="20">
        <f t="shared" si="56"/>
        <v>0</v>
      </c>
      <c r="K392" s="20">
        <f t="shared" si="57"/>
        <v>0</v>
      </c>
      <c r="L392" s="20">
        <f t="shared" si="58"/>
        <v>0</v>
      </c>
    </row>
    <row r="393" spans="4:12" x14ac:dyDescent="0.35">
      <c r="D393" s="20" t="str">
        <f t="shared" si="54"/>
        <v/>
      </c>
      <c r="E393" s="21" t="str">
        <f t="shared" si="55"/>
        <v/>
      </c>
      <c r="F393" s="20" t="str">
        <f t="shared" si="59"/>
        <v/>
      </c>
      <c r="G393" s="20">
        <f t="shared" si="60"/>
        <v>0</v>
      </c>
      <c r="H393" s="20">
        <f t="shared" si="61"/>
        <v>0</v>
      </c>
      <c r="I393" s="20">
        <f t="shared" si="62"/>
        <v>0</v>
      </c>
      <c r="J393" s="20">
        <f t="shared" si="56"/>
        <v>0</v>
      </c>
      <c r="K393" s="20">
        <f t="shared" si="57"/>
        <v>0</v>
      </c>
      <c r="L393" s="20">
        <f t="shared" si="58"/>
        <v>0</v>
      </c>
    </row>
    <row r="394" spans="4:12" x14ac:dyDescent="0.35">
      <c r="D394" s="20" t="str">
        <f t="shared" si="54"/>
        <v/>
      </c>
      <c r="E394" s="21" t="str">
        <f t="shared" si="55"/>
        <v/>
      </c>
      <c r="F394" s="20" t="str">
        <f t="shared" si="59"/>
        <v/>
      </c>
      <c r="G394" s="20">
        <f t="shared" si="60"/>
        <v>0</v>
      </c>
      <c r="H394" s="20">
        <f t="shared" si="61"/>
        <v>0</v>
      </c>
      <c r="I394" s="20">
        <f t="shared" si="62"/>
        <v>0</v>
      </c>
      <c r="J394" s="20">
        <f t="shared" si="56"/>
        <v>0</v>
      </c>
      <c r="K394" s="20">
        <f t="shared" si="57"/>
        <v>0</v>
      </c>
      <c r="L394" s="20">
        <f t="shared" si="58"/>
        <v>0</v>
      </c>
    </row>
    <row r="395" spans="4:12" x14ac:dyDescent="0.35">
      <c r="D395" s="20" t="str">
        <f t="shared" si="54"/>
        <v/>
      </c>
      <c r="E395" s="21" t="str">
        <f t="shared" si="55"/>
        <v/>
      </c>
      <c r="F395" s="20" t="str">
        <f t="shared" si="59"/>
        <v/>
      </c>
      <c r="G395" s="20">
        <f t="shared" si="60"/>
        <v>0</v>
      </c>
      <c r="H395" s="20">
        <f t="shared" si="61"/>
        <v>0</v>
      </c>
      <c r="I395" s="20">
        <f t="shared" si="62"/>
        <v>0</v>
      </c>
      <c r="J395" s="20">
        <f t="shared" si="56"/>
        <v>0</v>
      </c>
      <c r="K395" s="20">
        <f t="shared" si="57"/>
        <v>0</v>
      </c>
      <c r="L395" s="20">
        <f t="shared" si="58"/>
        <v>0</v>
      </c>
    </row>
    <row r="396" spans="4:12" x14ac:dyDescent="0.35">
      <c r="D396" s="20" t="str">
        <f t="shared" si="54"/>
        <v/>
      </c>
      <c r="E396" s="21" t="str">
        <f t="shared" si="55"/>
        <v/>
      </c>
      <c r="F396" s="20" t="str">
        <f t="shared" si="59"/>
        <v/>
      </c>
      <c r="G396" s="20">
        <f t="shared" si="60"/>
        <v>0</v>
      </c>
      <c r="H396" s="20">
        <f t="shared" si="61"/>
        <v>0</v>
      </c>
      <c r="I396" s="20">
        <f t="shared" si="62"/>
        <v>0</v>
      </c>
      <c r="J396" s="20">
        <f t="shared" si="56"/>
        <v>0</v>
      </c>
      <c r="K396" s="20">
        <f t="shared" si="57"/>
        <v>0</v>
      </c>
      <c r="L396" s="20">
        <f t="shared" si="58"/>
        <v>0</v>
      </c>
    </row>
    <row r="397" spans="4:12" x14ac:dyDescent="0.35">
      <c r="D397" s="20" t="str">
        <f t="shared" si="54"/>
        <v/>
      </c>
      <c r="E397" s="21" t="str">
        <f t="shared" si="55"/>
        <v/>
      </c>
      <c r="F397" s="20" t="str">
        <f t="shared" si="59"/>
        <v/>
      </c>
      <c r="G397" s="20">
        <f t="shared" si="60"/>
        <v>0</v>
      </c>
      <c r="H397" s="20">
        <f t="shared" si="61"/>
        <v>0</v>
      </c>
      <c r="I397" s="20">
        <f t="shared" si="62"/>
        <v>0</v>
      </c>
      <c r="J397" s="20">
        <f t="shared" si="56"/>
        <v>0</v>
      </c>
      <c r="K397" s="20">
        <f t="shared" si="57"/>
        <v>0</v>
      </c>
      <c r="L397" s="20">
        <f t="shared" si="58"/>
        <v>0</v>
      </c>
    </row>
    <row r="398" spans="4:12" x14ac:dyDescent="0.35">
      <c r="D398" s="20" t="str">
        <f t="shared" si="54"/>
        <v/>
      </c>
      <c r="E398" s="21" t="str">
        <f t="shared" si="55"/>
        <v/>
      </c>
      <c r="F398" s="20" t="str">
        <f t="shared" si="59"/>
        <v/>
      </c>
      <c r="G398" s="20">
        <f t="shared" si="60"/>
        <v>0</v>
      </c>
      <c r="H398" s="20">
        <f t="shared" si="61"/>
        <v>0</v>
      </c>
      <c r="I398" s="20">
        <f t="shared" si="62"/>
        <v>0</v>
      </c>
      <c r="J398" s="20">
        <f t="shared" si="56"/>
        <v>0</v>
      </c>
      <c r="K398" s="20">
        <f t="shared" si="57"/>
        <v>0</v>
      </c>
      <c r="L398" s="20">
        <f t="shared" si="58"/>
        <v>0</v>
      </c>
    </row>
    <row r="399" spans="4:12" x14ac:dyDescent="0.35">
      <c r="D399" s="20" t="str">
        <f t="shared" si="54"/>
        <v/>
      </c>
      <c r="E399" s="21" t="str">
        <f t="shared" si="55"/>
        <v/>
      </c>
      <c r="F399" s="20" t="str">
        <f t="shared" si="59"/>
        <v/>
      </c>
      <c r="G399" s="20">
        <f t="shared" si="60"/>
        <v>0</v>
      </c>
      <c r="H399" s="20">
        <f t="shared" si="61"/>
        <v>0</v>
      </c>
      <c r="I399" s="20">
        <f t="shared" si="62"/>
        <v>0</v>
      </c>
      <c r="J399" s="20">
        <f t="shared" si="56"/>
        <v>0</v>
      </c>
      <c r="K399" s="20">
        <f t="shared" si="57"/>
        <v>0</v>
      </c>
      <c r="L399" s="20">
        <f t="shared" si="58"/>
        <v>0</v>
      </c>
    </row>
    <row r="400" spans="4:12" x14ac:dyDescent="0.35">
      <c r="D400" s="20" t="str">
        <f t="shared" si="54"/>
        <v/>
      </c>
      <c r="E400" s="21" t="str">
        <f t="shared" si="55"/>
        <v/>
      </c>
      <c r="F400" s="20" t="str">
        <f t="shared" si="59"/>
        <v/>
      </c>
      <c r="G400" s="20">
        <f t="shared" si="60"/>
        <v>0</v>
      </c>
      <c r="H400" s="20">
        <f t="shared" si="61"/>
        <v>0</v>
      </c>
      <c r="I400" s="20">
        <f t="shared" si="62"/>
        <v>0</v>
      </c>
      <c r="J400" s="20">
        <f t="shared" si="56"/>
        <v>0</v>
      </c>
      <c r="K400" s="20">
        <f t="shared" si="57"/>
        <v>0</v>
      </c>
      <c r="L400" s="20">
        <f t="shared" si="58"/>
        <v>0</v>
      </c>
    </row>
    <row r="401" spans="4:12" x14ac:dyDescent="0.35">
      <c r="D401" s="20" t="str">
        <f t="shared" si="54"/>
        <v/>
      </c>
      <c r="E401" s="21" t="str">
        <f t="shared" si="55"/>
        <v/>
      </c>
      <c r="F401" s="20" t="str">
        <f t="shared" si="59"/>
        <v/>
      </c>
      <c r="G401" s="20">
        <f t="shared" si="60"/>
        <v>0</v>
      </c>
      <c r="H401" s="20">
        <f t="shared" si="61"/>
        <v>0</v>
      </c>
      <c r="I401" s="20">
        <f t="shared" si="62"/>
        <v>0</v>
      </c>
      <c r="J401" s="20">
        <f t="shared" si="56"/>
        <v>0</v>
      </c>
      <c r="K401" s="20">
        <f t="shared" si="57"/>
        <v>0</v>
      </c>
      <c r="L401" s="20">
        <f t="shared" si="58"/>
        <v>0</v>
      </c>
    </row>
    <row r="402" spans="4:12" x14ac:dyDescent="0.35">
      <c r="D402" s="20" t="str">
        <f t="shared" si="54"/>
        <v/>
      </c>
      <c r="E402" s="21" t="str">
        <f t="shared" si="55"/>
        <v/>
      </c>
      <c r="F402" s="20" t="str">
        <f t="shared" si="59"/>
        <v/>
      </c>
      <c r="G402" s="20">
        <f t="shared" si="60"/>
        <v>0</v>
      </c>
      <c r="H402" s="20">
        <f t="shared" si="61"/>
        <v>0</v>
      </c>
      <c r="I402" s="20">
        <f t="shared" si="62"/>
        <v>0</v>
      </c>
      <c r="J402" s="20">
        <f t="shared" si="56"/>
        <v>0</v>
      </c>
      <c r="K402" s="20">
        <f t="shared" si="57"/>
        <v>0</v>
      </c>
      <c r="L402" s="20">
        <f t="shared" si="58"/>
        <v>0</v>
      </c>
    </row>
    <row r="403" spans="4:12" x14ac:dyDescent="0.35">
      <c r="D403" s="20" t="str">
        <f t="shared" si="54"/>
        <v/>
      </c>
      <c r="E403" s="21" t="str">
        <f t="shared" si="55"/>
        <v/>
      </c>
      <c r="F403" s="20" t="str">
        <f t="shared" si="59"/>
        <v/>
      </c>
      <c r="G403" s="20">
        <f t="shared" si="60"/>
        <v>0</v>
      </c>
      <c r="H403" s="20">
        <f t="shared" si="61"/>
        <v>0</v>
      </c>
      <c r="I403" s="20">
        <f t="shared" si="62"/>
        <v>0</v>
      </c>
      <c r="J403" s="20">
        <f t="shared" si="56"/>
        <v>0</v>
      </c>
      <c r="K403" s="20">
        <f t="shared" si="57"/>
        <v>0</v>
      </c>
      <c r="L403" s="20">
        <f t="shared" si="58"/>
        <v>0</v>
      </c>
    </row>
    <row r="404" spans="4:12" x14ac:dyDescent="0.35">
      <c r="D404" s="20" t="str">
        <f t="shared" si="54"/>
        <v/>
      </c>
      <c r="E404" s="21" t="str">
        <f t="shared" si="55"/>
        <v/>
      </c>
      <c r="F404" s="20" t="str">
        <f t="shared" si="59"/>
        <v/>
      </c>
      <c r="G404" s="20">
        <f t="shared" si="60"/>
        <v>0</v>
      </c>
      <c r="H404" s="20">
        <f t="shared" si="61"/>
        <v>0</v>
      </c>
      <c r="I404" s="20">
        <f t="shared" si="62"/>
        <v>0</v>
      </c>
      <c r="J404" s="20">
        <f t="shared" si="56"/>
        <v>0</v>
      </c>
      <c r="K404" s="20">
        <f t="shared" si="57"/>
        <v>0</v>
      </c>
      <c r="L404" s="20">
        <f t="shared" si="58"/>
        <v>0</v>
      </c>
    </row>
    <row r="405" spans="4:12" x14ac:dyDescent="0.35">
      <c r="D405" s="20" t="str">
        <f t="shared" si="54"/>
        <v/>
      </c>
      <c r="E405" s="21" t="str">
        <f t="shared" si="55"/>
        <v/>
      </c>
      <c r="F405" s="20" t="str">
        <f t="shared" si="59"/>
        <v/>
      </c>
      <c r="G405" s="20">
        <f t="shared" si="60"/>
        <v>0</v>
      </c>
      <c r="H405" s="20">
        <f t="shared" si="61"/>
        <v>0</v>
      </c>
      <c r="I405" s="20">
        <f t="shared" si="62"/>
        <v>0</v>
      </c>
      <c r="J405" s="20">
        <f t="shared" si="56"/>
        <v>0</v>
      </c>
      <c r="K405" s="20">
        <f t="shared" si="57"/>
        <v>0</v>
      </c>
      <c r="L405" s="20">
        <f t="shared" si="58"/>
        <v>0</v>
      </c>
    </row>
    <row r="406" spans="4:12" x14ac:dyDescent="0.35">
      <c r="D406" s="20" t="str">
        <f t="shared" si="54"/>
        <v/>
      </c>
      <c r="E406" s="21" t="str">
        <f t="shared" si="55"/>
        <v/>
      </c>
      <c r="F406" s="20" t="str">
        <f t="shared" si="59"/>
        <v/>
      </c>
      <c r="G406" s="20">
        <f t="shared" si="60"/>
        <v>0</v>
      </c>
      <c r="H406" s="20">
        <f t="shared" si="61"/>
        <v>0</v>
      </c>
      <c r="I406" s="20">
        <f t="shared" si="62"/>
        <v>0</v>
      </c>
      <c r="J406" s="20">
        <f t="shared" si="56"/>
        <v>0</v>
      </c>
      <c r="K406" s="20">
        <f t="shared" si="57"/>
        <v>0</v>
      </c>
      <c r="L406" s="20">
        <f t="shared" si="58"/>
        <v>0</v>
      </c>
    </row>
    <row r="407" spans="4:12" x14ac:dyDescent="0.35">
      <c r="D407" s="20" t="str">
        <f t="shared" ref="D407:D470" si="63">IF(D406&lt;=$B$5,D406+1,"")</f>
        <v/>
      </c>
      <c r="E407" s="21" t="str">
        <f t="shared" ref="E407:E470" si="64">IF(D406&lt;=$B$5,E406+$B$6,"")</f>
        <v/>
      </c>
      <c r="F407" s="20" t="str">
        <f t="shared" si="59"/>
        <v/>
      </c>
      <c r="G407" s="20">
        <f t="shared" si="60"/>
        <v>0</v>
      </c>
      <c r="H407" s="20">
        <f t="shared" si="61"/>
        <v>0</v>
      </c>
      <c r="I407" s="20">
        <f t="shared" si="62"/>
        <v>0</v>
      </c>
      <c r="J407" s="20">
        <f t="shared" si="56"/>
        <v>0</v>
      </c>
      <c r="K407" s="20">
        <f t="shared" si="57"/>
        <v>0</v>
      </c>
      <c r="L407" s="20">
        <f t="shared" si="58"/>
        <v>0</v>
      </c>
    </row>
    <row r="408" spans="4:12" x14ac:dyDescent="0.35">
      <c r="D408" s="20" t="str">
        <f t="shared" si="63"/>
        <v/>
      </c>
      <c r="E408" s="21" t="str">
        <f t="shared" si="64"/>
        <v/>
      </c>
      <c r="F408" s="20" t="str">
        <f t="shared" si="59"/>
        <v/>
      </c>
      <c r="G408" s="20">
        <f t="shared" si="60"/>
        <v>0</v>
      </c>
      <c r="H408" s="20">
        <f t="shared" si="61"/>
        <v>0</v>
      </c>
      <c r="I408" s="20">
        <f t="shared" si="62"/>
        <v>0</v>
      </c>
      <c r="J408" s="20">
        <f t="shared" si="56"/>
        <v>0</v>
      </c>
      <c r="K408" s="20">
        <f t="shared" si="57"/>
        <v>0</v>
      </c>
      <c r="L408" s="20">
        <f t="shared" si="58"/>
        <v>0</v>
      </c>
    </row>
    <row r="409" spans="4:12" x14ac:dyDescent="0.35">
      <c r="D409" s="20" t="str">
        <f t="shared" si="63"/>
        <v/>
      </c>
      <c r="E409" s="21" t="str">
        <f t="shared" si="64"/>
        <v/>
      </c>
      <c r="F409" s="20" t="str">
        <f t="shared" si="59"/>
        <v/>
      </c>
      <c r="G409" s="20">
        <f t="shared" si="60"/>
        <v>0</v>
      </c>
      <c r="H409" s="20">
        <f t="shared" si="61"/>
        <v>0</v>
      </c>
      <c r="I409" s="20">
        <f t="shared" si="62"/>
        <v>0</v>
      </c>
      <c r="J409" s="20">
        <f t="shared" si="56"/>
        <v>0</v>
      </c>
      <c r="K409" s="20">
        <f t="shared" si="57"/>
        <v>0</v>
      </c>
      <c r="L409" s="20">
        <f t="shared" si="58"/>
        <v>0</v>
      </c>
    </row>
    <row r="410" spans="4:12" x14ac:dyDescent="0.35">
      <c r="D410" s="20" t="str">
        <f t="shared" si="63"/>
        <v/>
      </c>
      <c r="E410" s="21" t="str">
        <f t="shared" si="64"/>
        <v/>
      </c>
      <c r="F410" s="20" t="str">
        <f t="shared" si="59"/>
        <v/>
      </c>
      <c r="G410" s="20">
        <f t="shared" si="60"/>
        <v>0</v>
      </c>
      <c r="H410" s="20">
        <f t="shared" si="61"/>
        <v>0</v>
      </c>
      <c r="I410" s="20">
        <f t="shared" si="62"/>
        <v>0</v>
      </c>
      <c r="J410" s="20">
        <f t="shared" si="56"/>
        <v>0</v>
      </c>
      <c r="K410" s="20">
        <f t="shared" si="57"/>
        <v>0</v>
      </c>
      <c r="L410" s="20">
        <f t="shared" si="58"/>
        <v>0</v>
      </c>
    </row>
    <row r="411" spans="4:12" x14ac:dyDescent="0.35">
      <c r="D411" s="20" t="str">
        <f t="shared" si="63"/>
        <v/>
      </c>
      <c r="E411" s="21" t="str">
        <f t="shared" si="64"/>
        <v/>
      </c>
      <c r="F411" s="20" t="str">
        <f t="shared" si="59"/>
        <v/>
      </c>
      <c r="G411" s="20">
        <f t="shared" si="60"/>
        <v>0</v>
      </c>
      <c r="H411" s="20">
        <f t="shared" si="61"/>
        <v>0</v>
      </c>
      <c r="I411" s="20">
        <f t="shared" si="62"/>
        <v>0</v>
      </c>
      <c r="J411" s="20">
        <f t="shared" si="56"/>
        <v>0</v>
      </c>
      <c r="K411" s="20">
        <f t="shared" si="57"/>
        <v>0</v>
      </c>
      <c r="L411" s="20">
        <f t="shared" si="58"/>
        <v>0</v>
      </c>
    </row>
    <row r="412" spans="4:12" x14ac:dyDescent="0.35">
      <c r="D412" s="20" t="str">
        <f t="shared" si="63"/>
        <v/>
      </c>
      <c r="E412" s="21" t="str">
        <f t="shared" si="64"/>
        <v/>
      </c>
      <c r="F412" s="20" t="str">
        <f t="shared" si="59"/>
        <v/>
      </c>
      <c r="G412" s="20">
        <f t="shared" si="60"/>
        <v>0</v>
      </c>
      <c r="H412" s="20">
        <f t="shared" si="61"/>
        <v>0</v>
      </c>
      <c r="I412" s="20">
        <f t="shared" si="62"/>
        <v>0</v>
      </c>
      <c r="J412" s="20">
        <f t="shared" si="56"/>
        <v>0</v>
      </c>
      <c r="K412" s="20">
        <f t="shared" si="57"/>
        <v>0</v>
      </c>
      <c r="L412" s="20">
        <f t="shared" si="58"/>
        <v>0</v>
      </c>
    </row>
    <row r="413" spans="4:12" x14ac:dyDescent="0.35">
      <c r="D413" s="20" t="str">
        <f t="shared" si="63"/>
        <v/>
      </c>
      <c r="E413" s="21" t="str">
        <f t="shared" si="64"/>
        <v/>
      </c>
      <c r="F413" s="20" t="str">
        <f t="shared" si="59"/>
        <v/>
      </c>
      <c r="G413" s="20">
        <f t="shared" si="60"/>
        <v>0</v>
      </c>
      <c r="H413" s="20">
        <f t="shared" si="61"/>
        <v>0</v>
      </c>
      <c r="I413" s="20">
        <f t="shared" si="62"/>
        <v>0</v>
      </c>
      <c r="J413" s="20">
        <f t="shared" si="56"/>
        <v>0</v>
      </c>
      <c r="K413" s="20">
        <f t="shared" si="57"/>
        <v>0</v>
      </c>
      <c r="L413" s="20">
        <f t="shared" si="58"/>
        <v>0</v>
      </c>
    </row>
    <row r="414" spans="4:12" x14ac:dyDescent="0.35">
      <c r="D414" s="20" t="str">
        <f t="shared" si="63"/>
        <v/>
      </c>
      <c r="E414" s="21" t="str">
        <f t="shared" si="64"/>
        <v/>
      </c>
      <c r="F414" s="20" t="str">
        <f t="shared" si="59"/>
        <v/>
      </c>
      <c r="G414" s="20">
        <f t="shared" si="60"/>
        <v>0</v>
      </c>
      <c r="H414" s="20">
        <f t="shared" si="61"/>
        <v>0</v>
      </c>
      <c r="I414" s="20">
        <f t="shared" si="62"/>
        <v>0</v>
      </c>
      <c r="J414" s="20">
        <f t="shared" si="56"/>
        <v>0</v>
      </c>
      <c r="K414" s="20">
        <f t="shared" si="57"/>
        <v>0</v>
      </c>
      <c r="L414" s="20">
        <f t="shared" si="58"/>
        <v>0</v>
      </c>
    </row>
    <row r="415" spans="4:12" x14ac:dyDescent="0.35">
      <c r="D415" s="20" t="str">
        <f t="shared" si="63"/>
        <v/>
      </c>
      <c r="E415" s="21" t="str">
        <f t="shared" si="64"/>
        <v/>
      </c>
      <c r="F415" s="20" t="str">
        <f t="shared" si="59"/>
        <v/>
      </c>
      <c r="G415" s="20">
        <f t="shared" si="60"/>
        <v>0</v>
      </c>
      <c r="H415" s="20">
        <f t="shared" si="61"/>
        <v>0</v>
      </c>
      <c r="I415" s="20">
        <f t="shared" si="62"/>
        <v>0</v>
      </c>
      <c r="J415" s="20">
        <f t="shared" si="56"/>
        <v>0</v>
      </c>
      <c r="K415" s="20">
        <f t="shared" si="57"/>
        <v>0</v>
      </c>
      <c r="L415" s="20">
        <f t="shared" si="58"/>
        <v>0</v>
      </c>
    </row>
    <row r="416" spans="4:12" x14ac:dyDescent="0.35">
      <c r="D416" s="20" t="str">
        <f t="shared" si="63"/>
        <v/>
      </c>
      <c r="E416" s="21" t="str">
        <f t="shared" si="64"/>
        <v/>
      </c>
      <c r="F416" s="20" t="str">
        <f t="shared" si="59"/>
        <v/>
      </c>
      <c r="G416" s="20">
        <f t="shared" si="60"/>
        <v>0</v>
      </c>
      <c r="H416" s="20">
        <f t="shared" si="61"/>
        <v>0</v>
      </c>
      <c r="I416" s="20">
        <f t="shared" si="62"/>
        <v>0</v>
      </c>
      <c r="J416" s="20">
        <f t="shared" si="56"/>
        <v>0</v>
      </c>
      <c r="K416" s="20">
        <f t="shared" si="57"/>
        <v>0</v>
      </c>
      <c r="L416" s="20">
        <f t="shared" si="58"/>
        <v>0</v>
      </c>
    </row>
    <row r="417" spans="4:12" x14ac:dyDescent="0.35">
      <c r="D417" s="20" t="str">
        <f t="shared" si="63"/>
        <v/>
      </c>
      <c r="E417" s="21" t="str">
        <f t="shared" si="64"/>
        <v/>
      </c>
      <c r="F417" s="20" t="str">
        <f t="shared" si="59"/>
        <v/>
      </c>
      <c r="G417" s="20">
        <f t="shared" si="60"/>
        <v>0</v>
      </c>
      <c r="H417" s="20">
        <f t="shared" si="61"/>
        <v>0</v>
      </c>
      <c r="I417" s="20">
        <f t="shared" si="62"/>
        <v>0</v>
      </c>
      <c r="J417" s="20">
        <f t="shared" si="56"/>
        <v>0</v>
      </c>
      <c r="K417" s="20">
        <f t="shared" si="57"/>
        <v>0</v>
      </c>
      <c r="L417" s="20">
        <f t="shared" si="58"/>
        <v>0</v>
      </c>
    </row>
    <row r="418" spans="4:12" x14ac:dyDescent="0.35">
      <c r="D418" s="20" t="str">
        <f t="shared" si="63"/>
        <v/>
      </c>
      <c r="E418" s="21" t="str">
        <f t="shared" si="64"/>
        <v/>
      </c>
      <c r="F418" s="20" t="str">
        <f t="shared" si="59"/>
        <v/>
      </c>
      <c r="G418" s="20">
        <f t="shared" si="60"/>
        <v>0</v>
      </c>
      <c r="H418" s="20">
        <f t="shared" si="61"/>
        <v>0</v>
      </c>
      <c r="I418" s="20">
        <f t="shared" si="62"/>
        <v>0</v>
      </c>
      <c r="J418" s="20">
        <f t="shared" si="56"/>
        <v>0</v>
      </c>
      <c r="K418" s="20">
        <f t="shared" si="57"/>
        <v>0</v>
      </c>
      <c r="L418" s="20">
        <f t="shared" si="58"/>
        <v>0</v>
      </c>
    </row>
    <row r="419" spans="4:12" x14ac:dyDescent="0.35">
      <c r="D419" s="20" t="str">
        <f t="shared" si="63"/>
        <v/>
      </c>
      <c r="E419" s="21" t="str">
        <f t="shared" si="64"/>
        <v/>
      </c>
      <c r="F419" s="20" t="str">
        <f t="shared" si="59"/>
        <v/>
      </c>
      <c r="G419" s="20">
        <f t="shared" si="60"/>
        <v>0</v>
      </c>
      <c r="H419" s="20">
        <f t="shared" si="61"/>
        <v>0</v>
      </c>
      <c r="I419" s="20">
        <f t="shared" si="62"/>
        <v>0</v>
      </c>
      <c r="J419" s="20">
        <f t="shared" si="56"/>
        <v>0</v>
      </c>
      <c r="K419" s="20">
        <f t="shared" si="57"/>
        <v>0</v>
      </c>
      <c r="L419" s="20">
        <f t="shared" si="58"/>
        <v>0</v>
      </c>
    </row>
    <row r="420" spans="4:12" x14ac:dyDescent="0.35">
      <c r="D420" s="20" t="str">
        <f t="shared" si="63"/>
        <v/>
      </c>
      <c r="E420" s="21" t="str">
        <f t="shared" si="64"/>
        <v/>
      </c>
      <c r="F420" s="20" t="str">
        <f t="shared" si="59"/>
        <v/>
      </c>
      <c r="G420" s="20">
        <f t="shared" si="60"/>
        <v>0</v>
      </c>
      <c r="H420" s="20">
        <f t="shared" si="61"/>
        <v>0</v>
      </c>
      <c r="I420" s="20">
        <f t="shared" si="62"/>
        <v>0</v>
      </c>
      <c r="J420" s="20">
        <f t="shared" si="56"/>
        <v>0</v>
      </c>
      <c r="K420" s="20">
        <f t="shared" si="57"/>
        <v>0</v>
      </c>
      <c r="L420" s="20">
        <f t="shared" si="58"/>
        <v>0</v>
      </c>
    </row>
    <row r="421" spans="4:12" x14ac:dyDescent="0.35">
      <c r="D421" s="20" t="str">
        <f t="shared" si="63"/>
        <v/>
      </c>
      <c r="E421" s="21" t="str">
        <f t="shared" si="64"/>
        <v/>
      </c>
      <c r="F421" s="20" t="str">
        <f t="shared" si="59"/>
        <v/>
      </c>
      <c r="G421" s="20">
        <f t="shared" si="60"/>
        <v>0</v>
      </c>
      <c r="H421" s="20">
        <f t="shared" si="61"/>
        <v>0</v>
      </c>
      <c r="I421" s="20">
        <f t="shared" si="62"/>
        <v>0</v>
      </c>
      <c r="J421" s="20">
        <f t="shared" si="56"/>
        <v>0</v>
      </c>
      <c r="K421" s="20">
        <f t="shared" si="57"/>
        <v>0</v>
      </c>
      <c r="L421" s="20">
        <f t="shared" si="58"/>
        <v>0</v>
      </c>
    </row>
    <row r="422" spans="4:12" x14ac:dyDescent="0.35">
      <c r="D422" s="20" t="str">
        <f t="shared" si="63"/>
        <v/>
      </c>
      <c r="E422" s="21" t="str">
        <f t="shared" si="64"/>
        <v/>
      </c>
      <c r="F422" s="20" t="str">
        <f t="shared" si="59"/>
        <v/>
      </c>
      <c r="G422" s="20">
        <f t="shared" si="60"/>
        <v>0</v>
      </c>
      <c r="H422" s="20">
        <f t="shared" si="61"/>
        <v>0</v>
      </c>
      <c r="I422" s="20">
        <f t="shared" si="62"/>
        <v>0</v>
      </c>
      <c r="J422" s="20">
        <f t="shared" si="56"/>
        <v>0</v>
      </c>
      <c r="K422" s="20">
        <f t="shared" si="57"/>
        <v>0</v>
      </c>
      <c r="L422" s="20">
        <f t="shared" si="58"/>
        <v>0</v>
      </c>
    </row>
    <row r="423" spans="4:12" x14ac:dyDescent="0.35">
      <c r="D423" s="20" t="str">
        <f t="shared" si="63"/>
        <v/>
      </c>
      <c r="E423" s="21" t="str">
        <f t="shared" si="64"/>
        <v/>
      </c>
      <c r="F423" s="20" t="str">
        <f t="shared" si="59"/>
        <v/>
      </c>
      <c r="G423" s="20">
        <f t="shared" si="60"/>
        <v>0</v>
      </c>
      <c r="H423" s="20">
        <f t="shared" si="61"/>
        <v>0</v>
      </c>
      <c r="I423" s="20">
        <f t="shared" si="62"/>
        <v>0</v>
      </c>
      <c r="J423" s="20">
        <f t="shared" si="56"/>
        <v>0</v>
      </c>
      <c r="K423" s="20">
        <f t="shared" si="57"/>
        <v>0</v>
      </c>
      <c r="L423" s="20">
        <f t="shared" si="58"/>
        <v>0</v>
      </c>
    </row>
    <row r="424" spans="4:12" x14ac:dyDescent="0.35">
      <c r="D424" s="20" t="str">
        <f t="shared" si="63"/>
        <v/>
      </c>
      <c r="E424" s="21" t="str">
        <f t="shared" si="64"/>
        <v/>
      </c>
      <c r="F424" s="20" t="str">
        <f t="shared" si="59"/>
        <v/>
      </c>
      <c r="G424" s="20">
        <f t="shared" si="60"/>
        <v>0</v>
      </c>
      <c r="H424" s="20">
        <f t="shared" si="61"/>
        <v>0</v>
      </c>
      <c r="I424" s="20">
        <f t="shared" si="62"/>
        <v>0</v>
      </c>
      <c r="J424" s="20">
        <f t="shared" si="56"/>
        <v>0</v>
      </c>
      <c r="K424" s="20">
        <f t="shared" si="57"/>
        <v>0</v>
      </c>
      <c r="L424" s="20">
        <f t="shared" si="58"/>
        <v>0</v>
      </c>
    </row>
    <row r="425" spans="4:12" x14ac:dyDescent="0.35">
      <c r="D425" s="20" t="str">
        <f t="shared" si="63"/>
        <v/>
      </c>
      <c r="E425" s="21" t="str">
        <f t="shared" si="64"/>
        <v/>
      </c>
      <c r="F425" s="20" t="str">
        <f t="shared" si="59"/>
        <v/>
      </c>
      <c r="G425" s="20">
        <f t="shared" si="60"/>
        <v>0</v>
      </c>
      <c r="H425" s="20">
        <f t="shared" si="61"/>
        <v>0</v>
      </c>
      <c r="I425" s="20">
        <f t="shared" si="62"/>
        <v>0</v>
      </c>
      <c r="J425" s="20">
        <f t="shared" si="56"/>
        <v>0</v>
      </c>
      <c r="K425" s="20">
        <f t="shared" si="57"/>
        <v>0</v>
      </c>
      <c r="L425" s="20">
        <f t="shared" si="58"/>
        <v>0</v>
      </c>
    </row>
    <row r="426" spans="4:12" x14ac:dyDescent="0.35">
      <c r="D426" s="20" t="str">
        <f t="shared" si="63"/>
        <v/>
      </c>
      <c r="E426" s="21" t="str">
        <f t="shared" si="64"/>
        <v/>
      </c>
      <c r="F426" s="20" t="str">
        <f t="shared" si="59"/>
        <v/>
      </c>
      <c r="G426" s="20">
        <f t="shared" si="60"/>
        <v>0</v>
      </c>
      <c r="H426" s="20">
        <f t="shared" si="61"/>
        <v>0</v>
      </c>
      <c r="I426" s="20">
        <f t="shared" si="62"/>
        <v>0</v>
      </c>
      <c r="J426" s="20">
        <f t="shared" si="56"/>
        <v>0</v>
      </c>
      <c r="K426" s="20">
        <f t="shared" si="57"/>
        <v>0</v>
      </c>
      <c r="L426" s="20">
        <f t="shared" si="58"/>
        <v>0</v>
      </c>
    </row>
    <row r="427" spans="4:12" x14ac:dyDescent="0.35">
      <c r="D427" s="20" t="str">
        <f t="shared" si="63"/>
        <v/>
      </c>
      <c r="E427" s="21" t="str">
        <f t="shared" si="64"/>
        <v/>
      </c>
      <c r="F427" s="20" t="str">
        <f t="shared" si="59"/>
        <v/>
      </c>
      <c r="G427" s="20">
        <f t="shared" si="60"/>
        <v>0</v>
      </c>
      <c r="H427" s="20">
        <f t="shared" si="61"/>
        <v>0</v>
      </c>
      <c r="I427" s="20">
        <f t="shared" si="62"/>
        <v>0</v>
      </c>
      <c r="J427" s="20">
        <f t="shared" si="56"/>
        <v>0</v>
      </c>
      <c r="K427" s="20">
        <f t="shared" si="57"/>
        <v>0</v>
      </c>
      <c r="L427" s="20">
        <f t="shared" si="58"/>
        <v>0</v>
      </c>
    </row>
    <row r="428" spans="4:12" x14ac:dyDescent="0.35">
      <c r="D428" s="20" t="str">
        <f t="shared" si="63"/>
        <v/>
      </c>
      <c r="E428" s="21" t="str">
        <f t="shared" si="64"/>
        <v/>
      </c>
      <c r="F428" s="20" t="str">
        <f t="shared" si="59"/>
        <v/>
      </c>
      <c r="G428" s="20">
        <f t="shared" si="60"/>
        <v>0</v>
      </c>
      <c r="H428" s="20">
        <f t="shared" si="61"/>
        <v>0</v>
      </c>
      <c r="I428" s="20">
        <f t="shared" si="62"/>
        <v>0</v>
      </c>
      <c r="J428" s="20">
        <f t="shared" si="56"/>
        <v>0</v>
      </c>
      <c r="K428" s="20">
        <f t="shared" si="57"/>
        <v>0</v>
      </c>
      <c r="L428" s="20">
        <f t="shared" si="58"/>
        <v>0</v>
      </c>
    </row>
    <row r="429" spans="4:12" x14ac:dyDescent="0.35">
      <c r="D429" s="20" t="str">
        <f t="shared" si="63"/>
        <v/>
      </c>
      <c r="E429" s="21" t="str">
        <f t="shared" si="64"/>
        <v/>
      </c>
      <c r="F429" s="20" t="str">
        <f t="shared" si="59"/>
        <v/>
      </c>
      <c r="G429" s="20">
        <f t="shared" si="60"/>
        <v>0</v>
      </c>
      <c r="H429" s="20">
        <f t="shared" si="61"/>
        <v>0</v>
      </c>
      <c r="I429" s="20">
        <f t="shared" si="62"/>
        <v>0</v>
      </c>
      <c r="J429" s="20">
        <f t="shared" si="56"/>
        <v>0</v>
      </c>
      <c r="K429" s="20">
        <f t="shared" si="57"/>
        <v>0</v>
      </c>
      <c r="L429" s="20">
        <f t="shared" si="58"/>
        <v>0</v>
      </c>
    </row>
    <row r="430" spans="4:12" x14ac:dyDescent="0.35">
      <c r="D430" s="20" t="str">
        <f t="shared" si="63"/>
        <v/>
      </c>
      <c r="E430" s="21" t="str">
        <f t="shared" si="64"/>
        <v/>
      </c>
      <c r="F430" s="20" t="str">
        <f t="shared" si="59"/>
        <v/>
      </c>
      <c r="G430" s="20">
        <f t="shared" si="60"/>
        <v>0</v>
      </c>
      <c r="H430" s="20">
        <f t="shared" si="61"/>
        <v>0</v>
      </c>
      <c r="I430" s="20">
        <f t="shared" si="62"/>
        <v>0</v>
      </c>
      <c r="J430" s="20">
        <f t="shared" si="56"/>
        <v>0</v>
      </c>
      <c r="K430" s="20">
        <f t="shared" si="57"/>
        <v>0</v>
      </c>
      <c r="L430" s="20">
        <f t="shared" si="58"/>
        <v>0</v>
      </c>
    </row>
    <row r="431" spans="4:12" x14ac:dyDescent="0.35">
      <c r="D431" s="20" t="str">
        <f t="shared" si="63"/>
        <v/>
      </c>
      <c r="E431" s="21" t="str">
        <f t="shared" si="64"/>
        <v/>
      </c>
      <c r="F431" s="20" t="str">
        <f t="shared" si="59"/>
        <v/>
      </c>
      <c r="G431" s="20">
        <f t="shared" si="60"/>
        <v>0</v>
      </c>
      <c r="H431" s="20">
        <f t="shared" si="61"/>
        <v>0</v>
      </c>
      <c r="I431" s="20">
        <f t="shared" si="62"/>
        <v>0</v>
      </c>
      <c r="J431" s="20">
        <f t="shared" si="56"/>
        <v>0</v>
      </c>
      <c r="K431" s="20">
        <f t="shared" si="57"/>
        <v>0</v>
      </c>
      <c r="L431" s="20">
        <f t="shared" si="58"/>
        <v>0</v>
      </c>
    </row>
    <row r="432" spans="4:12" x14ac:dyDescent="0.35">
      <c r="D432" s="20" t="str">
        <f t="shared" si="63"/>
        <v/>
      </c>
      <c r="E432" s="21" t="str">
        <f t="shared" si="64"/>
        <v/>
      </c>
      <c r="F432" s="20" t="str">
        <f t="shared" si="59"/>
        <v/>
      </c>
      <c r="G432" s="20">
        <f t="shared" si="60"/>
        <v>0</v>
      </c>
      <c r="H432" s="20">
        <f t="shared" si="61"/>
        <v>0</v>
      </c>
      <c r="I432" s="20">
        <f t="shared" si="62"/>
        <v>0</v>
      </c>
      <c r="J432" s="20">
        <f t="shared" si="56"/>
        <v>0</v>
      </c>
      <c r="K432" s="20">
        <f t="shared" si="57"/>
        <v>0</v>
      </c>
      <c r="L432" s="20">
        <f t="shared" si="58"/>
        <v>0</v>
      </c>
    </row>
    <row r="433" spans="4:12" x14ac:dyDescent="0.35">
      <c r="D433" s="20" t="str">
        <f t="shared" si="63"/>
        <v/>
      </c>
      <c r="E433" s="21" t="str">
        <f t="shared" si="64"/>
        <v/>
      </c>
      <c r="F433" s="20" t="str">
        <f t="shared" si="59"/>
        <v/>
      </c>
      <c r="G433" s="20">
        <f t="shared" si="60"/>
        <v>0</v>
      </c>
      <c r="H433" s="20">
        <f t="shared" si="61"/>
        <v>0</v>
      </c>
      <c r="I433" s="20">
        <f t="shared" si="62"/>
        <v>0</v>
      </c>
      <c r="J433" s="20">
        <f t="shared" si="56"/>
        <v>0</v>
      </c>
      <c r="K433" s="20">
        <f t="shared" si="57"/>
        <v>0</v>
      </c>
      <c r="L433" s="20">
        <f t="shared" si="58"/>
        <v>0</v>
      </c>
    </row>
    <row r="434" spans="4:12" x14ac:dyDescent="0.35">
      <c r="D434" s="20" t="str">
        <f t="shared" si="63"/>
        <v/>
      </c>
      <c r="E434" s="21" t="str">
        <f t="shared" si="64"/>
        <v/>
      </c>
      <c r="F434" s="20" t="str">
        <f t="shared" si="59"/>
        <v/>
      </c>
      <c r="G434" s="20">
        <f t="shared" si="60"/>
        <v>0</v>
      </c>
      <c r="H434" s="20">
        <f t="shared" si="61"/>
        <v>0</v>
      </c>
      <c r="I434" s="20">
        <f t="shared" si="62"/>
        <v>0</v>
      </c>
      <c r="J434" s="20">
        <f t="shared" si="56"/>
        <v>0</v>
      </c>
      <c r="K434" s="20">
        <f t="shared" si="57"/>
        <v>0</v>
      </c>
      <c r="L434" s="20">
        <f t="shared" si="58"/>
        <v>0</v>
      </c>
    </row>
    <row r="435" spans="4:12" x14ac:dyDescent="0.35">
      <c r="D435" s="20" t="str">
        <f t="shared" si="63"/>
        <v/>
      </c>
      <c r="E435" s="21" t="str">
        <f t="shared" si="64"/>
        <v/>
      </c>
      <c r="F435" s="20" t="str">
        <f t="shared" si="59"/>
        <v/>
      </c>
      <c r="G435" s="20">
        <f t="shared" si="60"/>
        <v>0</v>
      </c>
      <c r="H435" s="20">
        <f t="shared" si="61"/>
        <v>0</v>
      </c>
      <c r="I435" s="20">
        <f t="shared" si="62"/>
        <v>0</v>
      </c>
      <c r="J435" s="20">
        <f t="shared" si="56"/>
        <v>0</v>
      </c>
      <c r="K435" s="20">
        <f t="shared" si="57"/>
        <v>0</v>
      </c>
      <c r="L435" s="20">
        <f t="shared" si="58"/>
        <v>0</v>
      </c>
    </row>
    <row r="436" spans="4:12" x14ac:dyDescent="0.35">
      <c r="D436" s="20" t="str">
        <f t="shared" si="63"/>
        <v/>
      </c>
      <c r="E436" s="21" t="str">
        <f t="shared" si="64"/>
        <v/>
      </c>
      <c r="F436" s="20" t="str">
        <f t="shared" si="59"/>
        <v/>
      </c>
      <c r="G436" s="20">
        <f t="shared" si="60"/>
        <v>0</v>
      </c>
      <c r="H436" s="20">
        <f t="shared" si="61"/>
        <v>0</v>
      </c>
      <c r="I436" s="20">
        <f t="shared" si="62"/>
        <v>0</v>
      </c>
      <c r="J436" s="20">
        <f t="shared" si="56"/>
        <v>0</v>
      </c>
      <c r="K436" s="20">
        <f t="shared" si="57"/>
        <v>0</v>
      </c>
      <c r="L436" s="20">
        <f t="shared" si="58"/>
        <v>0</v>
      </c>
    </row>
    <row r="437" spans="4:12" x14ac:dyDescent="0.35">
      <c r="D437" s="20" t="str">
        <f t="shared" si="63"/>
        <v/>
      </c>
      <c r="E437" s="21" t="str">
        <f t="shared" si="64"/>
        <v/>
      </c>
      <c r="F437" s="20" t="str">
        <f t="shared" si="59"/>
        <v/>
      </c>
      <c r="G437" s="20">
        <f t="shared" si="60"/>
        <v>0</v>
      </c>
      <c r="H437" s="20">
        <f t="shared" si="61"/>
        <v>0</v>
      </c>
      <c r="I437" s="20">
        <f t="shared" si="62"/>
        <v>0</v>
      </c>
      <c r="J437" s="20">
        <f t="shared" si="56"/>
        <v>0</v>
      </c>
      <c r="K437" s="20">
        <f t="shared" si="57"/>
        <v>0</v>
      </c>
      <c r="L437" s="20">
        <f t="shared" si="58"/>
        <v>0</v>
      </c>
    </row>
    <row r="438" spans="4:12" x14ac:dyDescent="0.35">
      <c r="D438" s="20" t="str">
        <f t="shared" si="63"/>
        <v/>
      </c>
      <c r="E438" s="21" t="str">
        <f t="shared" si="64"/>
        <v/>
      </c>
      <c r="F438" s="20" t="str">
        <f t="shared" si="59"/>
        <v/>
      </c>
      <c r="G438" s="20">
        <f t="shared" si="60"/>
        <v>0</v>
      </c>
      <c r="H438" s="20">
        <f t="shared" si="61"/>
        <v>0</v>
      </c>
      <c r="I438" s="20">
        <f t="shared" si="62"/>
        <v>0</v>
      </c>
      <c r="J438" s="20">
        <f t="shared" si="56"/>
        <v>0</v>
      </c>
      <c r="K438" s="20">
        <f t="shared" si="57"/>
        <v>0</v>
      </c>
      <c r="L438" s="20">
        <f t="shared" si="58"/>
        <v>0</v>
      </c>
    </row>
    <row r="439" spans="4:12" x14ac:dyDescent="0.35">
      <c r="D439" s="20" t="str">
        <f t="shared" si="63"/>
        <v/>
      </c>
      <c r="E439" s="21" t="str">
        <f t="shared" si="64"/>
        <v/>
      </c>
      <c r="F439" s="20" t="str">
        <f t="shared" si="59"/>
        <v/>
      </c>
      <c r="G439" s="20">
        <f t="shared" si="60"/>
        <v>0</v>
      </c>
      <c r="H439" s="20">
        <f t="shared" si="61"/>
        <v>0</v>
      </c>
      <c r="I439" s="20">
        <f t="shared" si="62"/>
        <v>0</v>
      </c>
      <c r="J439" s="20">
        <f t="shared" si="56"/>
        <v>0</v>
      </c>
      <c r="K439" s="20">
        <f t="shared" si="57"/>
        <v>0</v>
      </c>
      <c r="L439" s="20">
        <f t="shared" si="58"/>
        <v>0</v>
      </c>
    </row>
    <row r="440" spans="4:12" x14ac:dyDescent="0.35">
      <c r="D440" s="20" t="str">
        <f t="shared" si="63"/>
        <v/>
      </c>
      <c r="E440" s="21" t="str">
        <f t="shared" si="64"/>
        <v/>
      </c>
      <c r="F440" s="20" t="str">
        <f t="shared" si="59"/>
        <v/>
      </c>
      <c r="G440" s="20">
        <f t="shared" si="60"/>
        <v>0</v>
      </c>
      <c r="H440" s="20">
        <f t="shared" si="61"/>
        <v>0</v>
      </c>
      <c r="I440" s="20">
        <f t="shared" si="62"/>
        <v>0</v>
      </c>
      <c r="J440" s="20">
        <f t="shared" si="56"/>
        <v>0</v>
      </c>
      <c r="K440" s="20">
        <f t="shared" si="57"/>
        <v>0</v>
      </c>
      <c r="L440" s="20">
        <f t="shared" si="58"/>
        <v>0</v>
      </c>
    </row>
    <row r="441" spans="4:12" x14ac:dyDescent="0.35">
      <c r="D441" s="20" t="str">
        <f t="shared" si="63"/>
        <v/>
      </c>
      <c r="E441" s="21" t="str">
        <f t="shared" si="64"/>
        <v/>
      </c>
      <c r="F441" s="20" t="str">
        <f t="shared" si="59"/>
        <v/>
      </c>
      <c r="G441" s="20">
        <f t="shared" si="60"/>
        <v>0</v>
      </c>
      <c r="H441" s="20">
        <f t="shared" si="61"/>
        <v>0</v>
      </c>
      <c r="I441" s="20">
        <f t="shared" si="62"/>
        <v>0</v>
      </c>
      <c r="J441" s="20">
        <f t="shared" si="56"/>
        <v>0</v>
      </c>
      <c r="K441" s="20">
        <f t="shared" si="57"/>
        <v>0</v>
      </c>
      <c r="L441" s="20">
        <f t="shared" si="58"/>
        <v>0</v>
      </c>
    </row>
    <row r="442" spans="4:12" x14ac:dyDescent="0.35">
      <c r="D442" s="20" t="str">
        <f t="shared" si="63"/>
        <v/>
      </c>
      <c r="E442" s="21" t="str">
        <f t="shared" si="64"/>
        <v/>
      </c>
      <c r="F442" s="20" t="str">
        <f t="shared" si="59"/>
        <v/>
      </c>
      <c r="G442" s="20">
        <f t="shared" si="60"/>
        <v>0</v>
      </c>
      <c r="H442" s="20">
        <f t="shared" si="61"/>
        <v>0</v>
      </c>
      <c r="I442" s="20">
        <f t="shared" si="62"/>
        <v>0</v>
      </c>
      <c r="J442" s="20">
        <f t="shared" si="56"/>
        <v>0</v>
      </c>
      <c r="K442" s="20">
        <f t="shared" si="57"/>
        <v>0</v>
      </c>
      <c r="L442" s="20">
        <f t="shared" si="58"/>
        <v>0</v>
      </c>
    </row>
    <row r="443" spans="4:12" x14ac:dyDescent="0.35">
      <c r="D443" s="20" t="str">
        <f t="shared" si="63"/>
        <v/>
      </c>
      <c r="E443" s="21" t="str">
        <f t="shared" si="64"/>
        <v/>
      </c>
      <c r="F443" s="20" t="str">
        <f t="shared" si="59"/>
        <v/>
      </c>
      <c r="G443" s="20">
        <f t="shared" si="60"/>
        <v>0</v>
      </c>
      <c r="H443" s="20">
        <f t="shared" si="61"/>
        <v>0</v>
      </c>
      <c r="I443" s="20">
        <f t="shared" si="62"/>
        <v>0</v>
      </c>
      <c r="J443" s="20">
        <f t="shared" si="56"/>
        <v>0</v>
      </c>
      <c r="K443" s="20">
        <f t="shared" si="57"/>
        <v>0</v>
      </c>
      <c r="L443" s="20">
        <f t="shared" si="58"/>
        <v>0</v>
      </c>
    </row>
    <row r="444" spans="4:12" x14ac:dyDescent="0.35">
      <c r="D444" s="20" t="str">
        <f t="shared" si="63"/>
        <v/>
      </c>
      <c r="E444" s="21" t="str">
        <f t="shared" si="64"/>
        <v/>
      </c>
      <c r="F444" s="20" t="str">
        <f t="shared" si="59"/>
        <v/>
      </c>
      <c r="G444" s="20">
        <f t="shared" si="60"/>
        <v>0</v>
      </c>
      <c r="H444" s="20">
        <f t="shared" si="61"/>
        <v>0</v>
      </c>
      <c r="I444" s="20">
        <f t="shared" si="62"/>
        <v>0</v>
      </c>
      <c r="J444" s="20">
        <f t="shared" si="56"/>
        <v>0</v>
      </c>
      <c r="K444" s="20">
        <f t="shared" si="57"/>
        <v>0</v>
      </c>
      <c r="L444" s="20">
        <f t="shared" si="58"/>
        <v>0</v>
      </c>
    </row>
    <row r="445" spans="4:12" x14ac:dyDescent="0.35">
      <c r="D445" s="20" t="str">
        <f t="shared" si="63"/>
        <v/>
      </c>
      <c r="E445" s="21" t="str">
        <f t="shared" si="64"/>
        <v/>
      </c>
      <c r="F445" s="20" t="str">
        <f t="shared" si="59"/>
        <v/>
      </c>
      <c r="G445" s="20">
        <f t="shared" si="60"/>
        <v>0</v>
      </c>
      <c r="H445" s="20">
        <f t="shared" si="61"/>
        <v>0</v>
      </c>
      <c r="I445" s="20">
        <f t="shared" si="62"/>
        <v>0</v>
      </c>
      <c r="J445" s="20">
        <f t="shared" si="56"/>
        <v>0</v>
      </c>
      <c r="K445" s="20">
        <f t="shared" si="57"/>
        <v>0</v>
      </c>
      <c r="L445" s="20">
        <f t="shared" si="58"/>
        <v>0</v>
      </c>
    </row>
    <row r="446" spans="4:12" x14ac:dyDescent="0.35">
      <c r="D446" s="20" t="str">
        <f t="shared" si="63"/>
        <v/>
      </c>
      <c r="E446" s="21" t="str">
        <f t="shared" si="64"/>
        <v/>
      </c>
      <c r="F446" s="20" t="str">
        <f t="shared" si="59"/>
        <v/>
      </c>
      <c r="G446" s="20">
        <f t="shared" si="60"/>
        <v>0</v>
      </c>
      <c r="H446" s="20">
        <f t="shared" si="61"/>
        <v>0</v>
      </c>
      <c r="I446" s="20">
        <f t="shared" si="62"/>
        <v>0</v>
      </c>
      <c r="J446" s="20">
        <f t="shared" si="56"/>
        <v>0</v>
      </c>
      <c r="K446" s="20">
        <f t="shared" si="57"/>
        <v>0</v>
      </c>
      <c r="L446" s="20">
        <f t="shared" si="58"/>
        <v>0</v>
      </c>
    </row>
    <row r="447" spans="4:12" x14ac:dyDescent="0.35">
      <c r="D447" s="20" t="str">
        <f t="shared" si="63"/>
        <v/>
      </c>
      <c r="E447" s="21" t="str">
        <f t="shared" si="64"/>
        <v/>
      </c>
      <c r="F447" s="20" t="str">
        <f t="shared" si="59"/>
        <v/>
      </c>
      <c r="G447" s="20">
        <f t="shared" si="60"/>
        <v>0</v>
      </c>
      <c r="H447" s="20">
        <f t="shared" si="61"/>
        <v>0</v>
      </c>
      <c r="I447" s="20">
        <f t="shared" si="62"/>
        <v>0</v>
      </c>
      <c r="J447" s="20">
        <f t="shared" si="56"/>
        <v>0</v>
      </c>
      <c r="K447" s="20">
        <f t="shared" si="57"/>
        <v>0</v>
      </c>
      <c r="L447" s="20">
        <f t="shared" si="58"/>
        <v>0</v>
      </c>
    </row>
    <row r="448" spans="4:12" x14ac:dyDescent="0.35">
      <c r="D448" s="20" t="str">
        <f t="shared" si="63"/>
        <v/>
      </c>
      <c r="E448" s="21" t="str">
        <f t="shared" si="64"/>
        <v/>
      </c>
      <c r="F448" s="20" t="str">
        <f t="shared" si="59"/>
        <v/>
      </c>
      <c r="G448" s="20">
        <f t="shared" si="60"/>
        <v>0</v>
      </c>
      <c r="H448" s="20">
        <f t="shared" si="61"/>
        <v>0</v>
      </c>
      <c r="I448" s="20">
        <f t="shared" si="62"/>
        <v>0</v>
      </c>
      <c r="J448" s="20">
        <f t="shared" si="56"/>
        <v>0</v>
      </c>
      <c r="K448" s="20">
        <f t="shared" si="57"/>
        <v>0</v>
      </c>
      <c r="L448" s="20">
        <f t="shared" si="58"/>
        <v>0</v>
      </c>
    </row>
    <row r="449" spans="4:12" x14ac:dyDescent="0.35">
      <c r="D449" s="20" t="str">
        <f t="shared" si="63"/>
        <v/>
      </c>
      <c r="E449" s="21" t="str">
        <f t="shared" si="64"/>
        <v/>
      </c>
      <c r="F449" s="20" t="str">
        <f t="shared" si="59"/>
        <v/>
      </c>
      <c r="G449" s="20">
        <f t="shared" si="60"/>
        <v>0</v>
      </c>
      <c r="H449" s="20">
        <f t="shared" si="61"/>
        <v>0</v>
      </c>
      <c r="I449" s="20">
        <f t="shared" si="62"/>
        <v>0</v>
      </c>
      <c r="J449" s="20">
        <f t="shared" si="56"/>
        <v>0</v>
      </c>
      <c r="K449" s="20">
        <f t="shared" si="57"/>
        <v>0</v>
      </c>
      <c r="L449" s="20">
        <f t="shared" si="58"/>
        <v>0</v>
      </c>
    </row>
    <row r="450" spans="4:12" x14ac:dyDescent="0.35">
      <c r="D450" s="20" t="str">
        <f t="shared" si="63"/>
        <v/>
      </c>
      <c r="E450" s="21" t="str">
        <f t="shared" si="64"/>
        <v/>
      </c>
      <c r="F450" s="20" t="str">
        <f t="shared" si="59"/>
        <v/>
      </c>
      <c r="G450" s="20">
        <f t="shared" si="60"/>
        <v>0</v>
      </c>
      <c r="H450" s="20">
        <f t="shared" si="61"/>
        <v>0</v>
      </c>
      <c r="I450" s="20">
        <f t="shared" si="62"/>
        <v>0</v>
      </c>
      <c r="J450" s="20">
        <f t="shared" si="56"/>
        <v>0</v>
      </c>
      <c r="K450" s="20">
        <f t="shared" si="57"/>
        <v>0</v>
      </c>
      <c r="L450" s="20">
        <f t="shared" si="58"/>
        <v>0</v>
      </c>
    </row>
    <row r="451" spans="4:12" x14ac:dyDescent="0.35">
      <c r="D451" s="20" t="str">
        <f t="shared" si="63"/>
        <v/>
      </c>
      <c r="E451" s="21" t="str">
        <f t="shared" si="64"/>
        <v/>
      </c>
      <c r="F451" s="20" t="str">
        <f t="shared" si="59"/>
        <v/>
      </c>
      <c r="G451" s="20">
        <f t="shared" si="60"/>
        <v>0</v>
      </c>
      <c r="H451" s="20">
        <f t="shared" si="61"/>
        <v>0</v>
      </c>
      <c r="I451" s="20">
        <f t="shared" si="62"/>
        <v>0</v>
      </c>
      <c r="J451" s="20">
        <f t="shared" ref="J451:J501" si="65">ABS(G451)</f>
        <v>0</v>
      </c>
      <c r="K451" s="20">
        <f t="shared" ref="K451:K501" si="66">ABS(H451)</f>
        <v>0</v>
      </c>
      <c r="L451" s="20">
        <f t="shared" ref="L451:L501" si="67">ABS(I451)</f>
        <v>0</v>
      </c>
    </row>
    <row r="452" spans="4:12" x14ac:dyDescent="0.35">
      <c r="D452" s="20" t="str">
        <f t="shared" si="63"/>
        <v/>
      </c>
      <c r="E452" s="21" t="str">
        <f t="shared" si="64"/>
        <v/>
      </c>
      <c r="F452" s="20" t="str">
        <f t="shared" ref="F452:F501" si="68">IF(D451&lt;=$B$5,((3*E452^2)-(4*E452)*(SIN(1.4*E452^3)^2))/((0.4*E452^2+1)^(1/4)),"")</f>
        <v/>
      </c>
      <c r="G452" s="20">
        <f t="shared" ref="G452:G501" si="69">IF(D452=$B$5+1,F452,0)</f>
        <v>0</v>
      </c>
      <c r="H452" s="20">
        <f t="shared" ref="H452:H501" si="70">IF(D451&lt;$B$5,F452*MOD(D451,2),0)</f>
        <v>0</v>
      </c>
      <c r="I452" s="20">
        <f t="shared" ref="I452:I501" si="71">IF(D451&lt;$B$5,F452*MOD(D452,2),0)</f>
        <v>0</v>
      </c>
      <c r="J452" s="20">
        <f t="shared" si="65"/>
        <v>0</v>
      </c>
      <c r="K452" s="20">
        <f t="shared" si="66"/>
        <v>0</v>
      </c>
      <c r="L452" s="20">
        <f t="shared" si="67"/>
        <v>0</v>
      </c>
    </row>
    <row r="453" spans="4:12" x14ac:dyDescent="0.35">
      <c r="D453" s="20" t="str">
        <f t="shared" si="63"/>
        <v/>
      </c>
      <c r="E453" s="21" t="str">
        <f t="shared" si="64"/>
        <v/>
      </c>
      <c r="F453" s="20" t="str">
        <f t="shared" si="68"/>
        <v/>
      </c>
      <c r="G453" s="20">
        <f t="shared" si="69"/>
        <v>0</v>
      </c>
      <c r="H453" s="20">
        <f t="shared" si="70"/>
        <v>0</v>
      </c>
      <c r="I453" s="20">
        <f t="shared" si="71"/>
        <v>0</v>
      </c>
      <c r="J453" s="20">
        <f t="shared" si="65"/>
        <v>0</v>
      </c>
      <c r="K453" s="20">
        <f t="shared" si="66"/>
        <v>0</v>
      </c>
      <c r="L453" s="20">
        <f t="shared" si="67"/>
        <v>0</v>
      </c>
    </row>
    <row r="454" spans="4:12" x14ac:dyDescent="0.35">
      <c r="D454" s="20" t="str">
        <f t="shared" si="63"/>
        <v/>
      </c>
      <c r="E454" s="21" t="str">
        <f t="shared" si="64"/>
        <v/>
      </c>
      <c r="F454" s="20" t="str">
        <f t="shared" si="68"/>
        <v/>
      </c>
      <c r="G454" s="20">
        <f t="shared" si="69"/>
        <v>0</v>
      </c>
      <c r="H454" s="20">
        <f t="shared" si="70"/>
        <v>0</v>
      </c>
      <c r="I454" s="20">
        <f t="shared" si="71"/>
        <v>0</v>
      </c>
      <c r="J454" s="20">
        <f t="shared" si="65"/>
        <v>0</v>
      </c>
      <c r="K454" s="20">
        <f t="shared" si="66"/>
        <v>0</v>
      </c>
      <c r="L454" s="20">
        <f t="shared" si="67"/>
        <v>0</v>
      </c>
    </row>
    <row r="455" spans="4:12" x14ac:dyDescent="0.35">
      <c r="D455" s="20" t="str">
        <f t="shared" si="63"/>
        <v/>
      </c>
      <c r="E455" s="21" t="str">
        <f t="shared" si="64"/>
        <v/>
      </c>
      <c r="F455" s="20" t="str">
        <f t="shared" si="68"/>
        <v/>
      </c>
      <c r="G455" s="20">
        <f t="shared" si="69"/>
        <v>0</v>
      </c>
      <c r="H455" s="20">
        <f t="shared" si="70"/>
        <v>0</v>
      </c>
      <c r="I455" s="20">
        <f t="shared" si="71"/>
        <v>0</v>
      </c>
      <c r="J455" s="20">
        <f t="shared" si="65"/>
        <v>0</v>
      </c>
      <c r="K455" s="20">
        <f t="shared" si="66"/>
        <v>0</v>
      </c>
      <c r="L455" s="20">
        <f t="shared" si="67"/>
        <v>0</v>
      </c>
    </row>
    <row r="456" spans="4:12" x14ac:dyDescent="0.35">
      <c r="D456" s="20" t="str">
        <f t="shared" si="63"/>
        <v/>
      </c>
      <c r="E456" s="21" t="str">
        <f t="shared" si="64"/>
        <v/>
      </c>
      <c r="F456" s="20" t="str">
        <f t="shared" si="68"/>
        <v/>
      </c>
      <c r="G456" s="20">
        <f t="shared" si="69"/>
        <v>0</v>
      </c>
      <c r="H456" s="20">
        <f t="shared" si="70"/>
        <v>0</v>
      </c>
      <c r="I456" s="20">
        <f t="shared" si="71"/>
        <v>0</v>
      </c>
      <c r="J456" s="20">
        <f t="shared" si="65"/>
        <v>0</v>
      </c>
      <c r="K456" s="20">
        <f t="shared" si="66"/>
        <v>0</v>
      </c>
      <c r="L456" s="20">
        <f t="shared" si="67"/>
        <v>0</v>
      </c>
    </row>
    <row r="457" spans="4:12" x14ac:dyDescent="0.35">
      <c r="D457" s="20" t="str">
        <f t="shared" si="63"/>
        <v/>
      </c>
      <c r="E457" s="21" t="str">
        <f t="shared" si="64"/>
        <v/>
      </c>
      <c r="F457" s="20" t="str">
        <f t="shared" si="68"/>
        <v/>
      </c>
      <c r="G457" s="20">
        <f t="shared" si="69"/>
        <v>0</v>
      </c>
      <c r="H457" s="20">
        <f t="shared" si="70"/>
        <v>0</v>
      </c>
      <c r="I457" s="20">
        <f t="shared" si="71"/>
        <v>0</v>
      </c>
      <c r="J457" s="20">
        <f t="shared" si="65"/>
        <v>0</v>
      </c>
      <c r="K457" s="20">
        <f t="shared" si="66"/>
        <v>0</v>
      </c>
      <c r="L457" s="20">
        <f t="shared" si="67"/>
        <v>0</v>
      </c>
    </row>
    <row r="458" spans="4:12" x14ac:dyDescent="0.35">
      <c r="D458" s="20" t="str">
        <f t="shared" si="63"/>
        <v/>
      </c>
      <c r="E458" s="21" t="str">
        <f t="shared" si="64"/>
        <v/>
      </c>
      <c r="F458" s="20" t="str">
        <f t="shared" si="68"/>
        <v/>
      </c>
      <c r="G458" s="20">
        <f t="shared" si="69"/>
        <v>0</v>
      </c>
      <c r="H458" s="20">
        <f t="shared" si="70"/>
        <v>0</v>
      </c>
      <c r="I458" s="20">
        <f t="shared" si="71"/>
        <v>0</v>
      </c>
      <c r="J458" s="20">
        <f t="shared" si="65"/>
        <v>0</v>
      </c>
      <c r="K458" s="20">
        <f t="shared" si="66"/>
        <v>0</v>
      </c>
      <c r="L458" s="20">
        <f t="shared" si="67"/>
        <v>0</v>
      </c>
    </row>
    <row r="459" spans="4:12" x14ac:dyDescent="0.35">
      <c r="D459" s="20" t="str">
        <f t="shared" si="63"/>
        <v/>
      </c>
      <c r="E459" s="21" t="str">
        <f t="shared" si="64"/>
        <v/>
      </c>
      <c r="F459" s="20" t="str">
        <f t="shared" si="68"/>
        <v/>
      </c>
      <c r="G459" s="20">
        <f t="shared" si="69"/>
        <v>0</v>
      </c>
      <c r="H459" s="20">
        <f t="shared" si="70"/>
        <v>0</v>
      </c>
      <c r="I459" s="20">
        <f t="shared" si="71"/>
        <v>0</v>
      </c>
      <c r="J459" s="20">
        <f t="shared" si="65"/>
        <v>0</v>
      </c>
      <c r="K459" s="20">
        <f t="shared" si="66"/>
        <v>0</v>
      </c>
      <c r="L459" s="20">
        <f t="shared" si="67"/>
        <v>0</v>
      </c>
    </row>
    <row r="460" spans="4:12" x14ac:dyDescent="0.35">
      <c r="D460" s="20" t="str">
        <f t="shared" si="63"/>
        <v/>
      </c>
      <c r="E460" s="21" t="str">
        <f t="shared" si="64"/>
        <v/>
      </c>
      <c r="F460" s="20" t="str">
        <f t="shared" si="68"/>
        <v/>
      </c>
      <c r="G460" s="20">
        <f t="shared" si="69"/>
        <v>0</v>
      </c>
      <c r="H460" s="20">
        <f t="shared" si="70"/>
        <v>0</v>
      </c>
      <c r="I460" s="20">
        <f t="shared" si="71"/>
        <v>0</v>
      </c>
      <c r="J460" s="20">
        <f t="shared" si="65"/>
        <v>0</v>
      </c>
      <c r="K460" s="20">
        <f t="shared" si="66"/>
        <v>0</v>
      </c>
      <c r="L460" s="20">
        <f t="shared" si="67"/>
        <v>0</v>
      </c>
    </row>
    <row r="461" spans="4:12" x14ac:dyDescent="0.35">
      <c r="D461" s="20" t="str">
        <f t="shared" si="63"/>
        <v/>
      </c>
      <c r="E461" s="21" t="str">
        <f t="shared" si="64"/>
        <v/>
      </c>
      <c r="F461" s="20" t="str">
        <f t="shared" si="68"/>
        <v/>
      </c>
      <c r="G461" s="20">
        <f t="shared" si="69"/>
        <v>0</v>
      </c>
      <c r="H461" s="20">
        <f t="shared" si="70"/>
        <v>0</v>
      </c>
      <c r="I461" s="20">
        <f t="shared" si="71"/>
        <v>0</v>
      </c>
      <c r="J461" s="20">
        <f t="shared" si="65"/>
        <v>0</v>
      </c>
      <c r="K461" s="20">
        <f t="shared" si="66"/>
        <v>0</v>
      </c>
      <c r="L461" s="20">
        <f t="shared" si="67"/>
        <v>0</v>
      </c>
    </row>
    <row r="462" spans="4:12" x14ac:dyDescent="0.35">
      <c r="D462" s="20" t="str">
        <f t="shared" si="63"/>
        <v/>
      </c>
      <c r="E462" s="21" t="str">
        <f t="shared" si="64"/>
        <v/>
      </c>
      <c r="F462" s="20" t="str">
        <f t="shared" si="68"/>
        <v/>
      </c>
      <c r="G462" s="20">
        <f t="shared" si="69"/>
        <v>0</v>
      </c>
      <c r="H462" s="20">
        <f t="shared" si="70"/>
        <v>0</v>
      </c>
      <c r="I462" s="20">
        <f t="shared" si="71"/>
        <v>0</v>
      </c>
      <c r="J462" s="20">
        <f t="shared" si="65"/>
        <v>0</v>
      </c>
      <c r="K462" s="20">
        <f t="shared" si="66"/>
        <v>0</v>
      </c>
      <c r="L462" s="20">
        <f t="shared" si="67"/>
        <v>0</v>
      </c>
    </row>
    <row r="463" spans="4:12" x14ac:dyDescent="0.35">
      <c r="D463" s="20" t="str">
        <f t="shared" si="63"/>
        <v/>
      </c>
      <c r="E463" s="21" t="str">
        <f t="shared" si="64"/>
        <v/>
      </c>
      <c r="F463" s="20" t="str">
        <f t="shared" si="68"/>
        <v/>
      </c>
      <c r="G463" s="20">
        <f t="shared" si="69"/>
        <v>0</v>
      </c>
      <c r="H463" s="20">
        <f t="shared" si="70"/>
        <v>0</v>
      </c>
      <c r="I463" s="20">
        <f t="shared" si="71"/>
        <v>0</v>
      </c>
      <c r="J463" s="20">
        <f t="shared" si="65"/>
        <v>0</v>
      </c>
      <c r="K463" s="20">
        <f t="shared" si="66"/>
        <v>0</v>
      </c>
      <c r="L463" s="20">
        <f t="shared" si="67"/>
        <v>0</v>
      </c>
    </row>
    <row r="464" spans="4:12" x14ac:dyDescent="0.35">
      <c r="D464" s="20" t="str">
        <f t="shared" si="63"/>
        <v/>
      </c>
      <c r="E464" s="21" t="str">
        <f t="shared" si="64"/>
        <v/>
      </c>
      <c r="F464" s="20" t="str">
        <f t="shared" si="68"/>
        <v/>
      </c>
      <c r="G464" s="20">
        <f t="shared" si="69"/>
        <v>0</v>
      </c>
      <c r="H464" s="20">
        <f t="shared" si="70"/>
        <v>0</v>
      </c>
      <c r="I464" s="20">
        <f t="shared" si="71"/>
        <v>0</v>
      </c>
      <c r="J464" s="20">
        <f t="shared" si="65"/>
        <v>0</v>
      </c>
      <c r="K464" s="20">
        <f t="shared" si="66"/>
        <v>0</v>
      </c>
      <c r="L464" s="20">
        <f t="shared" si="67"/>
        <v>0</v>
      </c>
    </row>
    <row r="465" spans="4:12" x14ac:dyDescent="0.35">
      <c r="D465" s="20" t="str">
        <f t="shared" si="63"/>
        <v/>
      </c>
      <c r="E465" s="21" t="str">
        <f t="shared" si="64"/>
        <v/>
      </c>
      <c r="F465" s="20" t="str">
        <f t="shared" si="68"/>
        <v/>
      </c>
      <c r="G465" s="20">
        <f t="shared" si="69"/>
        <v>0</v>
      </c>
      <c r="H465" s="20">
        <f t="shared" si="70"/>
        <v>0</v>
      </c>
      <c r="I465" s="20">
        <f t="shared" si="71"/>
        <v>0</v>
      </c>
      <c r="J465" s="20">
        <f t="shared" si="65"/>
        <v>0</v>
      </c>
      <c r="K465" s="20">
        <f t="shared" si="66"/>
        <v>0</v>
      </c>
      <c r="L465" s="20">
        <f t="shared" si="67"/>
        <v>0</v>
      </c>
    </row>
    <row r="466" spans="4:12" x14ac:dyDescent="0.35">
      <c r="D466" s="20" t="str">
        <f t="shared" si="63"/>
        <v/>
      </c>
      <c r="E466" s="21" t="str">
        <f t="shared" si="64"/>
        <v/>
      </c>
      <c r="F466" s="20" t="str">
        <f t="shared" si="68"/>
        <v/>
      </c>
      <c r="G466" s="20">
        <f t="shared" si="69"/>
        <v>0</v>
      </c>
      <c r="H466" s="20">
        <f t="shared" si="70"/>
        <v>0</v>
      </c>
      <c r="I466" s="20">
        <f t="shared" si="71"/>
        <v>0</v>
      </c>
      <c r="J466" s="20">
        <f t="shared" si="65"/>
        <v>0</v>
      </c>
      <c r="K466" s="20">
        <f t="shared" si="66"/>
        <v>0</v>
      </c>
      <c r="L466" s="20">
        <f t="shared" si="67"/>
        <v>0</v>
      </c>
    </row>
    <row r="467" spans="4:12" x14ac:dyDescent="0.35">
      <c r="D467" s="20" t="str">
        <f t="shared" si="63"/>
        <v/>
      </c>
      <c r="E467" s="21" t="str">
        <f t="shared" si="64"/>
        <v/>
      </c>
      <c r="F467" s="20" t="str">
        <f t="shared" si="68"/>
        <v/>
      </c>
      <c r="G467" s="20">
        <f t="shared" si="69"/>
        <v>0</v>
      </c>
      <c r="H467" s="20">
        <f t="shared" si="70"/>
        <v>0</v>
      </c>
      <c r="I467" s="20">
        <f t="shared" si="71"/>
        <v>0</v>
      </c>
      <c r="J467" s="20">
        <f t="shared" si="65"/>
        <v>0</v>
      </c>
      <c r="K467" s="20">
        <f t="shared" si="66"/>
        <v>0</v>
      </c>
      <c r="L467" s="20">
        <f t="shared" si="67"/>
        <v>0</v>
      </c>
    </row>
    <row r="468" spans="4:12" x14ac:dyDescent="0.35">
      <c r="D468" s="20" t="str">
        <f t="shared" si="63"/>
        <v/>
      </c>
      <c r="E468" s="21" t="str">
        <f t="shared" si="64"/>
        <v/>
      </c>
      <c r="F468" s="20" t="str">
        <f t="shared" si="68"/>
        <v/>
      </c>
      <c r="G468" s="20">
        <f t="shared" si="69"/>
        <v>0</v>
      </c>
      <c r="H468" s="20">
        <f t="shared" si="70"/>
        <v>0</v>
      </c>
      <c r="I468" s="20">
        <f t="shared" si="71"/>
        <v>0</v>
      </c>
      <c r="J468" s="20">
        <f t="shared" si="65"/>
        <v>0</v>
      </c>
      <c r="K468" s="20">
        <f t="shared" si="66"/>
        <v>0</v>
      </c>
      <c r="L468" s="20">
        <f t="shared" si="67"/>
        <v>0</v>
      </c>
    </row>
    <row r="469" spans="4:12" x14ac:dyDescent="0.35">
      <c r="D469" s="20" t="str">
        <f t="shared" si="63"/>
        <v/>
      </c>
      <c r="E469" s="21" t="str">
        <f t="shared" si="64"/>
        <v/>
      </c>
      <c r="F469" s="20" t="str">
        <f t="shared" si="68"/>
        <v/>
      </c>
      <c r="G469" s="20">
        <f t="shared" si="69"/>
        <v>0</v>
      </c>
      <c r="H469" s="20">
        <f t="shared" si="70"/>
        <v>0</v>
      </c>
      <c r="I469" s="20">
        <f t="shared" si="71"/>
        <v>0</v>
      </c>
      <c r="J469" s="20">
        <f t="shared" si="65"/>
        <v>0</v>
      </c>
      <c r="K469" s="20">
        <f t="shared" si="66"/>
        <v>0</v>
      </c>
      <c r="L469" s="20">
        <f t="shared" si="67"/>
        <v>0</v>
      </c>
    </row>
    <row r="470" spans="4:12" x14ac:dyDescent="0.35">
      <c r="D470" s="20" t="str">
        <f t="shared" si="63"/>
        <v/>
      </c>
      <c r="E470" s="21" t="str">
        <f t="shared" si="64"/>
        <v/>
      </c>
      <c r="F470" s="20" t="str">
        <f t="shared" si="68"/>
        <v/>
      </c>
      <c r="G470" s="20">
        <f t="shared" si="69"/>
        <v>0</v>
      </c>
      <c r="H470" s="20">
        <f t="shared" si="70"/>
        <v>0</v>
      </c>
      <c r="I470" s="20">
        <f t="shared" si="71"/>
        <v>0</v>
      </c>
      <c r="J470" s="20">
        <f t="shared" si="65"/>
        <v>0</v>
      </c>
      <c r="K470" s="20">
        <f t="shared" si="66"/>
        <v>0</v>
      </c>
      <c r="L470" s="20">
        <f t="shared" si="67"/>
        <v>0</v>
      </c>
    </row>
    <row r="471" spans="4:12" x14ac:dyDescent="0.35">
      <c r="D471" s="20" t="str">
        <f t="shared" ref="D471:D501" si="72">IF(D470&lt;=$B$5,D470+1,"")</f>
        <v/>
      </c>
      <c r="E471" s="21" t="str">
        <f t="shared" ref="E471:E501" si="73">IF(D470&lt;=$B$5,E470+$B$6,"")</f>
        <v/>
      </c>
      <c r="F471" s="20" t="str">
        <f t="shared" si="68"/>
        <v/>
      </c>
      <c r="G471" s="20">
        <f t="shared" si="69"/>
        <v>0</v>
      </c>
      <c r="H471" s="20">
        <f t="shared" si="70"/>
        <v>0</v>
      </c>
      <c r="I471" s="20">
        <f t="shared" si="71"/>
        <v>0</v>
      </c>
      <c r="J471" s="20">
        <f t="shared" si="65"/>
        <v>0</v>
      </c>
      <c r="K471" s="20">
        <f t="shared" si="66"/>
        <v>0</v>
      </c>
      <c r="L471" s="20">
        <f t="shared" si="67"/>
        <v>0</v>
      </c>
    </row>
    <row r="472" spans="4:12" x14ac:dyDescent="0.35">
      <c r="D472" s="20" t="str">
        <f t="shared" si="72"/>
        <v/>
      </c>
      <c r="E472" s="21" t="str">
        <f t="shared" si="73"/>
        <v/>
      </c>
      <c r="F472" s="20" t="str">
        <f t="shared" si="68"/>
        <v/>
      </c>
      <c r="G472" s="20">
        <f t="shared" si="69"/>
        <v>0</v>
      </c>
      <c r="H472" s="20">
        <f t="shared" si="70"/>
        <v>0</v>
      </c>
      <c r="I472" s="20">
        <f t="shared" si="71"/>
        <v>0</v>
      </c>
      <c r="J472" s="20">
        <f t="shared" si="65"/>
        <v>0</v>
      </c>
      <c r="K472" s="20">
        <f t="shared" si="66"/>
        <v>0</v>
      </c>
      <c r="L472" s="20">
        <f t="shared" si="67"/>
        <v>0</v>
      </c>
    </row>
    <row r="473" spans="4:12" x14ac:dyDescent="0.35">
      <c r="D473" s="20" t="str">
        <f t="shared" si="72"/>
        <v/>
      </c>
      <c r="E473" s="21" t="str">
        <f t="shared" si="73"/>
        <v/>
      </c>
      <c r="F473" s="20" t="str">
        <f t="shared" si="68"/>
        <v/>
      </c>
      <c r="G473" s="20">
        <f t="shared" si="69"/>
        <v>0</v>
      </c>
      <c r="H473" s="20">
        <f t="shared" si="70"/>
        <v>0</v>
      </c>
      <c r="I473" s="20">
        <f t="shared" si="71"/>
        <v>0</v>
      </c>
      <c r="J473" s="20">
        <f t="shared" si="65"/>
        <v>0</v>
      </c>
      <c r="K473" s="20">
        <f t="shared" si="66"/>
        <v>0</v>
      </c>
      <c r="L473" s="20">
        <f t="shared" si="67"/>
        <v>0</v>
      </c>
    </row>
    <row r="474" spans="4:12" x14ac:dyDescent="0.35">
      <c r="D474" s="20" t="str">
        <f t="shared" si="72"/>
        <v/>
      </c>
      <c r="E474" s="21" t="str">
        <f t="shared" si="73"/>
        <v/>
      </c>
      <c r="F474" s="20" t="str">
        <f t="shared" si="68"/>
        <v/>
      </c>
      <c r="G474" s="20">
        <f t="shared" si="69"/>
        <v>0</v>
      </c>
      <c r="H474" s="20">
        <f t="shared" si="70"/>
        <v>0</v>
      </c>
      <c r="I474" s="20">
        <f t="shared" si="71"/>
        <v>0</v>
      </c>
      <c r="J474" s="20">
        <f t="shared" si="65"/>
        <v>0</v>
      </c>
      <c r="K474" s="20">
        <f t="shared" si="66"/>
        <v>0</v>
      </c>
      <c r="L474" s="20">
        <f t="shared" si="67"/>
        <v>0</v>
      </c>
    </row>
    <row r="475" spans="4:12" x14ac:dyDescent="0.35">
      <c r="D475" s="20" t="str">
        <f t="shared" si="72"/>
        <v/>
      </c>
      <c r="E475" s="21" t="str">
        <f t="shared" si="73"/>
        <v/>
      </c>
      <c r="F475" s="20" t="str">
        <f t="shared" si="68"/>
        <v/>
      </c>
      <c r="G475" s="20">
        <f t="shared" si="69"/>
        <v>0</v>
      </c>
      <c r="H475" s="20">
        <f t="shared" si="70"/>
        <v>0</v>
      </c>
      <c r="I475" s="20">
        <f t="shared" si="71"/>
        <v>0</v>
      </c>
      <c r="J475" s="20">
        <f t="shared" si="65"/>
        <v>0</v>
      </c>
      <c r="K475" s="20">
        <f t="shared" si="66"/>
        <v>0</v>
      </c>
      <c r="L475" s="20">
        <f t="shared" si="67"/>
        <v>0</v>
      </c>
    </row>
    <row r="476" spans="4:12" x14ac:dyDescent="0.35">
      <c r="D476" s="20" t="str">
        <f t="shared" si="72"/>
        <v/>
      </c>
      <c r="E476" s="21" t="str">
        <f t="shared" si="73"/>
        <v/>
      </c>
      <c r="F476" s="20" t="str">
        <f t="shared" si="68"/>
        <v/>
      </c>
      <c r="G476" s="20">
        <f t="shared" si="69"/>
        <v>0</v>
      </c>
      <c r="H476" s="20">
        <f t="shared" si="70"/>
        <v>0</v>
      </c>
      <c r="I476" s="20">
        <f t="shared" si="71"/>
        <v>0</v>
      </c>
      <c r="J476" s="20">
        <f t="shared" si="65"/>
        <v>0</v>
      </c>
      <c r="K476" s="20">
        <f t="shared" si="66"/>
        <v>0</v>
      </c>
      <c r="L476" s="20">
        <f t="shared" si="67"/>
        <v>0</v>
      </c>
    </row>
    <row r="477" spans="4:12" x14ac:dyDescent="0.35">
      <c r="D477" s="20" t="str">
        <f t="shared" si="72"/>
        <v/>
      </c>
      <c r="E477" s="21" t="str">
        <f t="shared" si="73"/>
        <v/>
      </c>
      <c r="F477" s="20" t="str">
        <f t="shared" si="68"/>
        <v/>
      </c>
      <c r="G477" s="20">
        <f t="shared" si="69"/>
        <v>0</v>
      </c>
      <c r="H477" s="20">
        <f t="shared" si="70"/>
        <v>0</v>
      </c>
      <c r="I477" s="20">
        <f t="shared" si="71"/>
        <v>0</v>
      </c>
      <c r="J477" s="20">
        <f t="shared" si="65"/>
        <v>0</v>
      </c>
      <c r="K477" s="20">
        <f t="shared" si="66"/>
        <v>0</v>
      </c>
      <c r="L477" s="20">
        <f t="shared" si="67"/>
        <v>0</v>
      </c>
    </row>
    <row r="478" spans="4:12" x14ac:dyDescent="0.35">
      <c r="D478" s="20" t="str">
        <f t="shared" si="72"/>
        <v/>
      </c>
      <c r="E478" s="21" t="str">
        <f t="shared" si="73"/>
        <v/>
      </c>
      <c r="F478" s="20" t="str">
        <f t="shared" si="68"/>
        <v/>
      </c>
      <c r="G478" s="20">
        <f t="shared" si="69"/>
        <v>0</v>
      </c>
      <c r="H478" s="20">
        <f t="shared" si="70"/>
        <v>0</v>
      </c>
      <c r="I478" s="20">
        <f t="shared" si="71"/>
        <v>0</v>
      </c>
      <c r="J478" s="20">
        <f t="shared" si="65"/>
        <v>0</v>
      </c>
      <c r="K478" s="20">
        <f t="shared" si="66"/>
        <v>0</v>
      </c>
      <c r="L478" s="20">
        <f t="shared" si="67"/>
        <v>0</v>
      </c>
    </row>
    <row r="479" spans="4:12" x14ac:dyDescent="0.35">
      <c r="D479" s="20" t="str">
        <f t="shared" si="72"/>
        <v/>
      </c>
      <c r="E479" s="21" t="str">
        <f t="shared" si="73"/>
        <v/>
      </c>
      <c r="F479" s="20" t="str">
        <f t="shared" si="68"/>
        <v/>
      </c>
      <c r="G479" s="20">
        <f t="shared" si="69"/>
        <v>0</v>
      </c>
      <c r="H479" s="20">
        <f t="shared" si="70"/>
        <v>0</v>
      </c>
      <c r="I479" s="20">
        <f t="shared" si="71"/>
        <v>0</v>
      </c>
      <c r="J479" s="20">
        <f t="shared" si="65"/>
        <v>0</v>
      </c>
      <c r="K479" s="20">
        <f t="shared" si="66"/>
        <v>0</v>
      </c>
      <c r="L479" s="20">
        <f t="shared" si="67"/>
        <v>0</v>
      </c>
    </row>
    <row r="480" spans="4:12" x14ac:dyDescent="0.35">
      <c r="D480" s="20" t="str">
        <f t="shared" si="72"/>
        <v/>
      </c>
      <c r="E480" s="21" t="str">
        <f t="shared" si="73"/>
        <v/>
      </c>
      <c r="F480" s="20" t="str">
        <f t="shared" si="68"/>
        <v/>
      </c>
      <c r="G480" s="20">
        <f t="shared" si="69"/>
        <v>0</v>
      </c>
      <c r="H480" s="20">
        <f t="shared" si="70"/>
        <v>0</v>
      </c>
      <c r="I480" s="20">
        <f t="shared" si="71"/>
        <v>0</v>
      </c>
      <c r="J480" s="20">
        <f t="shared" si="65"/>
        <v>0</v>
      </c>
      <c r="K480" s="20">
        <f t="shared" si="66"/>
        <v>0</v>
      </c>
      <c r="L480" s="20">
        <f t="shared" si="67"/>
        <v>0</v>
      </c>
    </row>
    <row r="481" spans="4:12" x14ac:dyDescent="0.35">
      <c r="D481" s="20" t="str">
        <f t="shared" si="72"/>
        <v/>
      </c>
      <c r="E481" s="21" t="str">
        <f t="shared" si="73"/>
        <v/>
      </c>
      <c r="F481" s="20" t="str">
        <f t="shared" si="68"/>
        <v/>
      </c>
      <c r="G481" s="20">
        <f t="shared" si="69"/>
        <v>0</v>
      </c>
      <c r="H481" s="20">
        <f t="shared" si="70"/>
        <v>0</v>
      </c>
      <c r="I481" s="20">
        <f t="shared" si="71"/>
        <v>0</v>
      </c>
      <c r="J481" s="20">
        <f t="shared" si="65"/>
        <v>0</v>
      </c>
      <c r="K481" s="20">
        <f t="shared" si="66"/>
        <v>0</v>
      </c>
      <c r="L481" s="20">
        <f t="shared" si="67"/>
        <v>0</v>
      </c>
    </row>
    <row r="482" spans="4:12" x14ac:dyDescent="0.35">
      <c r="D482" s="20" t="str">
        <f t="shared" si="72"/>
        <v/>
      </c>
      <c r="E482" s="21" t="str">
        <f t="shared" si="73"/>
        <v/>
      </c>
      <c r="F482" s="20" t="str">
        <f t="shared" si="68"/>
        <v/>
      </c>
      <c r="G482" s="20">
        <f t="shared" si="69"/>
        <v>0</v>
      </c>
      <c r="H482" s="20">
        <f t="shared" si="70"/>
        <v>0</v>
      </c>
      <c r="I482" s="20">
        <f t="shared" si="71"/>
        <v>0</v>
      </c>
      <c r="J482" s="20">
        <f t="shared" si="65"/>
        <v>0</v>
      </c>
      <c r="K482" s="20">
        <f t="shared" si="66"/>
        <v>0</v>
      </c>
      <c r="L482" s="20">
        <f t="shared" si="67"/>
        <v>0</v>
      </c>
    </row>
    <row r="483" spans="4:12" x14ac:dyDescent="0.35">
      <c r="D483" s="20" t="str">
        <f t="shared" si="72"/>
        <v/>
      </c>
      <c r="E483" s="21" t="str">
        <f t="shared" si="73"/>
        <v/>
      </c>
      <c r="F483" s="20" t="str">
        <f t="shared" si="68"/>
        <v/>
      </c>
      <c r="G483" s="20">
        <f t="shared" si="69"/>
        <v>0</v>
      </c>
      <c r="H483" s="20">
        <f t="shared" si="70"/>
        <v>0</v>
      </c>
      <c r="I483" s="20">
        <f t="shared" si="71"/>
        <v>0</v>
      </c>
      <c r="J483" s="20">
        <f t="shared" si="65"/>
        <v>0</v>
      </c>
      <c r="K483" s="20">
        <f t="shared" si="66"/>
        <v>0</v>
      </c>
      <c r="L483" s="20">
        <f t="shared" si="67"/>
        <v>0</v>
      </c>
    </row>
    <row r="484" spans="4:12" x14ac:dyDescent="0.35">
      <c r="D484" s="20" t="str">
        <f t="shared" si="72"/>
        <v/>
      </c>
      <c r="E484" s="21" t="str">
        <f t="shared" si="73"/>
        <v/>
      </c>
      <c r="F484" s="20" t="str">
        <f t="shared" si="68"/>
        <v/>
      </c>
      <c r="G484" s="20">
        <f t="shared" si="69"/>
        <v>0</v>
      </c>
      <c r="H484" s="20">
        <f t="shared" si="70"/>
        <v>0</v>
      </c>
      <c r="I484" s="20">
        <f t="shared" si="71"/>
        <v>0</v>
      </c>
      <c r="J484" s="20">
        <f t="shared" si="65"/>
        <v>0</v>
      </c>
      <c r="K484" s="20">
        <f t="shared" si="66"/>
        <v>0</v>
      </c>
      <c r="L484" s="20">
        <f t="shared" si="67"/>
        <v>0</v>
      </c>
    </row>
    <row r="485" spans="4:12" x14ac:dyDescent="0.35">
      <c r="D485" s="20" t="str">
        <f t="shared" si="72"/>
        <v/>
      </c>
      <c r="E485" s="21" t="str">
        <f t="shared" si="73"/>
        <v/>
      </c>
      <c r="F485" s="20" t="str">
        <f t="shared" si="68"/>
        <v/>
      </c>
      <c r="G485" s="20">
        <f t="shared" si="69"/>
        <v>0</v>
      </c>
      <c r="H485" s="20">
        <f t="shared" si="70"/>
        <v>0</v>
      </c>
      <c r="I485" s="20">
        <f t="shared" si="71"/>
        <v>0</v>
      </c>
      <c r="J485" s="20">
        <f t="shared" si="65"/>
        <v>0</v>
      </c>
      <c r="K485" s="20">
        <f t="shared" si="66"/>
        <v>0</v>
      </c>
      <c r="L485" s="20">
        <f t="shared" si="67"/>
        <v>0</v>
      </c>
    </row>
    <row r="486" spans="4:12" x14ac:dyDescent="0.35">
      <c r="D486" s="20" t="str">
        <f t="shared" si="72"/>
        <v/>
      </c>
      <c r="E486" s="21" t="str">
        <f t="shared" si="73"/>
        <v/>
      </c>
      <c r="F486" s="20" t="str">
        <f t="shared" si="68"/>
        <v/>
      </c>
      <c r="G486" s="20">
        <f t="shared" si="69"/>
        <v>0</v>
      </c>
      <c r="H486" s="20">
        <f t="shared" si="70"/>
        <v>0</v>
      </c>
      <c r="I486" s="20">
        <f t="shared" si="71"/>
        <v>0</v>
      </c>
      <c r="J486" s="20">
        <f t="shared" si="65"/>
        <v>0</v>
      </c>
      <c r="K486" s="20">
        <f t="shared" si="66"/>
        <v>0</v>
      </c>
      <c r="L486" s="20">
        <f t="shared" si="67"/>
        <v>0</v>
      </c>
    </row>
    <row r="487" spans="4:12" x14ac:dyDescent="0.35">
      <c r="D487" s="20" t="str">
        <f t="shared" si="72"/>
        <v/>
      </c>
      <c r="E487" s="21" t="str">
        <f t="shared" si="73"/>
        <v/>
      </c>
      <c r="F487" s="20" t="str">
        <f t="shared" si="68"/>
        <v/>
      </c>
      <c r="G487" s="20">
        <f t="shared" si="69"/>
        <v>0</v>
      </c>
      <c r="H487" s="20">
        <f t="shared" si="70"/>
        <v>0</v>
      </c>
      <c r="I487" s="20">
        <f t="shared" si="71"/>
        <v>0</v>
      </c>
      <c r="J487" s="20">
        <f t="shared" si="65"/>
        <v>0</v>
      </c>
      <c r="K487" s="20">
        <f t="shared" si="66"/>
        <v>0</v>
      </c>
      <c r="L487" s="20">
        <f t="shared" si="67"/>
        <v>0</v>
      </c>
    </row>
    <row r="488" spans="4:12" x14ac:dyDescent="0.35">
      <c r="D488" s="20" t="str">
        <f t="shared" si="72"/>
        <v/>
      </c>
      <c r="E488" s="21" t="str">
        <f t="shared" si="73"/>
        <v/>
      </c>
      <c r="F488" s="20" t="str">
        <f t="shared" si="68"/>
        <v/>
      </c>
      <c r="G488" s="20">
        <f t="shared" si="69"/>
        <v>0</v>
      </c>
      <c r="H488" s="20">
        <f t="shared" si="70"/>
        <v>0</v>
      </c>
      <c r="I488" s="20">
        <f t="shared" si="71"/>
        <v>0</v>
      </c>
      <c r="J488" s="20">
        <f t="shared" si="65"/>
        <v>0</v>
      </c>
      <c r="K488" s="20">
        <f t="shared" si="66"/>
        <v>0</v>
      </c>
      <c r="L488" s="20">
        <f t="shared" si="67"/>
        <v>0</v>
      </c>
    </row>
    <row r="489" spans="4:12" x14ac:dyDescent="0.35">
      <c r="D489" s="20" t="str">
        <f t="shared" si="72"/>
        <v/>
      </c>
      <c r="E489" s="21" t="str">
        <f t="shared" si="73"/>
        <v/>
      </c>
      <c r="F489" s="20" t="str">
        <f t="shared" si="68"/>
        <v/>
      </c>
      <c r="G489" s="20">
        <f t="shared" si="69"/>
        <v>0</v>
      </c>
      <c r="H489" s="20">
        <f t="shared" si="70"/>
        <v>0</v>
      </c>
      <c r="I489" s="20">
        <f t="shared" si="71"/>
        <v>0</v>
      </c>
      <c r="J489" s="20">
        <f t="shared" si="65"/>
        <v>0</v>
      </c>
      <c r="K489" s="20">
        <f t="shared" si="66"/>
        <v>0</v>
      </c>
      <c r="L489" s="20">
        <f t="shared" si="67"/>
        <v>0</v>
      </c>
    </row>
    <row r="490" spans="4:12" x14ac:dyDescent="0.35">
      <c r="D490" s="20" t="str">
        <f t="shared" si="72"/>
        <v/>
      </c>
      <c r="E490" s="21" t="str">
        <f t="shared" si="73"/>
        <v/>
      </c>
      <c r="F490" s="20" t="str">
        <f t="shared" si="68"/>
        <v/>
      </c>
      <c r="G490" s="20">
        <f t="shared" si="69"/>
        <v>0</v>
      </c>
      <c r="H490" s="20">
        <f t="shared" si="70"/>
        <v>0</v>
      </c>
      <c r="I490" s="20">
        <f t="shared" si="71"/>
        <v>0</v>
      </c>
      <c r="J490" s="20">
        <f t="shared" si="65"/>
        <v>0</v>
      </c>
      <c r="K490" s="20">
        <f t="shared" si="66"/>
        <v>0</v>
      </c>
      <c r="L490" s="20">
        <f t="shared" si="67"/>
        <v>0</v>
      </c>
    </row>
    <row r="491" spans="4:12" x14ac:dyDescent="0.35">
      <c r="D491" s="20" t="str">
        <f t="shared" si="72"/>
        <v/>
      </c>
      <c r="E491" s="21" t="str">
        <f t="shared" si="73"/>
        <v/>
      </c>
      <c r="F491" s="20" t="str">
        <f t="shared" si="68"/>
        <v/>
      </c>
      <c r="G491" s="20">
        <f t="shared" si="69"/>
        <v>0</v>
      </c>
      <c r="H491" s="20">
        <f t="shared" si="70"/>
        <v>0</v>
      </c>
      <c r="I491" s="20">
        <f t="shared" si="71"/>
        <v>0</v>
      </c>
      <c r="J491" s="20">
        <f t="shared" si="65"/>
        <v>0</v>
      </c>
      <c r="K491" s="20">
        <f t="shared" si="66"/>
        <v>0</v>
      </c>
      <c r="L491" s="20">
        <f t="shared" si="67"/>
        <v>0</v>
      </c>
    </row>
    <row r="492" spans="4:12" x14ac:dyDescent="0.35">
      <c r="D492" s="20" t="str">
        <f t="shared" si="72"/>
        <v/>
      </c>
      <c r="E492" s="21" t="str">
        <f t="shared" si="73"/>
        <v/>
      </c>
      <c r="F492" s="20" t="str">
        <f t="shared" si="68"/>
        <v/>
      </c>
      <c r="G492" s="20">
        <f t="shared" si="69"/>
        <v>0</v>
      </c>
      <c r="H492" s="20">
        <f t="shared" si="70"/>
        <v>0</v>
      </c>
      <c r="I492" s="20">
        <f t="shared" si="71"/>
        <v>0</v>
      </c>
      <c r="J492" s="20">
        <f t="shared" si="65"/>
        <v>0</v>
      </c>
      <c r="K492" s="20">
        <f t="shared" si="66"/>
        <v>0</v>
      </c>
      <c r="L492" s="20">
        <f t="shared" si="67"/>
        <v>0</v>
      </c>
    </row>
    <row r="493" spans="4:12" x14ac:dyDescent="0.35">
      <c r="D493" s="20" t="str">
        <f t="shared" si="72"/>
        <v/>
      </c>
      <c r="E493" s="21" t="str">
        <f t="shared" si="73"/>
        <v/>
      </c>
      <c r="F493" s="20" t="str">
        <f t="shared" si="68"/>
        <v/>
      </c>
      <c r="G493" s="20">
        <f t="shared" si="69"/>
        <v>0</v>
      </c>
      <c r="H493" s="20">
        <f t="shared" si="70"/>
        <v>0</v>
      </c>
      <c r="I493" s="20">
        <f t="shared" si="71"/>
        <v>0</v>
      </c>
      <c r="J493" s="20">
        <f t="shared" si="65"/>
        <v>0</v>
      </c>
      <c r="K493" s="20">
        <f t="shared" si="66"/>
        <v>0</v>
      </c>
      <c r="L493" s="20">
        <f t="shared" si="67"/>
        <v>0</v>
      </c>
    </row>
    <row r="494" spans="4:12" x14ac:dyDescent="0.35">
      <c r="D494" s="20" t="str">
        <f t="shared" si="72"/>
        <v/>
      </c>
      <c r="E494" s="21" t="str">
        <f t="shared" si="73"/>
        <v/>
      </c>
      <c r="F494" s="20" t="str">
        <f t="shared" si="68"/>
        <v/>
      </c>
      <c r="G494" s="20">
        <f t="shared" si="69"/>
        <v>0</v>
      </c>
      <c r="H494" s="20">
        <f t="shared" si="70"/>
        <v>0</v>
      </c>
      <c r="I494" s="20">
        <f t="shared" si="71"/>
        <v>0</v>
      </c>
      <c r="J494" s="20">
        <f t="shared" si="65"/>
        <v>0</v>
      </c>
      <c r="K494" s="20">
        <f t="shared" si="66"/>
        <v>0</v>
      </c>
      <c r="L494" s="20">
        <f t="shared" si="67"/>
        <v>0</v>
      </c>
    </row>
    <row r="495" spans="4:12" x14ac:dyDescent="0.35">
      <c r="D495" s="20" t="str">
        <f t="shared" si="72"/>
        <v/>
      </c>
      <c r="E495" s="21" t="str">
        <f t="shared" si="73"/>
        <v/>
      </c>
      <c r="F495" s="20" t="str">
        <f t="shared" si="68"/>
        <v/>
      </c>
      <c r="G495" s="20">
        <f t="shared" si="69"/>
        <v>0</v>
      </c>
      <c r="H495" s="20">
        <f t="shared" si="70"/>
        <v>0</v>
      </c>
      <c r="I495" s="20">
        <f t="shared" si="71"/>
        <v>0</v>
      </c>
      <c r="J495" s="20">
        <f t="shared" si="65"/>
        <v>0</v>
      </c>
      <c r="K495" s="20">
        <f t="shared" si="66"/>
        <v>0</v>
      </c>
      <c r="L495" s="20">
        <f t="shared" si="67"/>
        <v>0</v>
      </c>
    </row>
    <row r="496" spans="4:12" x14ac:dyDescent="0.35">
      <c r="D496" s="20" t="str">
        <f t="shared" si="72"/>
        <v/>
      </c>
      <c r="E496" s="21" t="str">
        <f t="shared" si="73"/>
        <v/>
      </c>
      <c r="F496" s="20" t="str">
        <f t="shared" si="68"/>
        <v/>
      </c>
      <c r="G496" s="20">
        <f t="shared" si="69"/>
        <v>0</v>
      </c>
      <c r="H496" s="20">
        <f t="shared" si="70"/>
        <v>0</v>
      </c>
      <c r="I496" s="20">
        <f t="shared" si="71"/>
        <v>0</v>
      </c>
      <c r="J496" s="20">
        <f t="shared" si="65"/>
        <v>0</v>
      </c>
      <c r="K496" s="20">
        <f t="shared" si="66"/>
        <v>0</v>
      </c>
      <c r="L496" s="20">
        <f t="shared" si="67"/>
        <v>0</v>
      </c>
    </row>
    <row r="497" spans="4:12" x14ac:dyDescent="0.35">
      <c r="D497" s="20" t="str">
        <f t="shared" si="72"/>
        <v/>
      </c>
      <c r="E497" s="21" t="str">
        <f t="shared" si="73"/>
        <v/>
      </c>
      <c r="F497" s="20" t="str">
        <f t="shared" si="68"/>
        <v/>
      </c>
      <c r="G497" s="20">
        <f t="shared" si="69"/>
        <v>0</v>
      </c>
      <c r="H497" s="20">
        <f t="shared" si="70"/>
        <v>0</v>
      </c>
      <c r="I497" s="20">
        <f t="shared" si="71"/>
        <v>0</v>
      </c>
      <c r="J497" s="20">
        <f t="shared" si="65"/>
        <v>0</v>
      </c>
      <c r="K497" s="20">
        <f t="shared" si="66"/>
        <v>0</v>
      </c>
      <c r="L497" s="20">
        <f t="shared" si="67"/>
        <v>0</v>
      </c>
    </row>
    <row r="498" spans="4:12" x14ac:dyDescent="0.35">
      <c r="D498" s="20" t="str">
        <f t="shared" si="72"/>
        <v/>
      </c>
      <c r="E498" s="21" t="str">
        <f t="shared" si="73"/>
        <v/>
      </c>
      <c r="F498" s="20" t="str">
        <f t="shared" si="68"/>
        <v/>
      </c>
      <c r="G498" s="20">
        <f t="shared" si="69"/>
        <v>0</v>
      </c>
      <c r="H498" s="20">
        <f t="shared" si="70"/>
        <v>0</v>
      </c>
      <c r="I498" s="20">
        <f t="shared" si="71"/>
        <v>0</v>
      </c>
      <c r="J498" s="20">
        <f t="shared" si="65"/>
        <v>0</v>
      </c>
      <c r="K498" s="20">
        <f t="shared" si="66"/>
        <v>0</v>
      </c>
      <c r="L498" s="20">
        <f t="shared" si="67"/>
        <v>0</v>
      </c>
    </row>
    <row r="499" spans="4:12" x14ac:dyDescent="0.35">
      <c r="D499" s="20" t="str">
        <f t="shared" si="72"/>
        <v/>
      </c>
      <c r="E499" s="21" t="str">
        <f t="shared" si="73"/>
        <v/>
      </c>
      <c r="F499" s="20" t="str">
        <f t="shared" si="68"/>
        <v/>
      </c>
      <c r="G499" s="20">
        <f t="shared" si="69"/>
        <v>0</v>
      </c>
      <c r="H499" s="20">
        <f t="shared" si="70"/>
        <v>0</v>
      </c>
      <c r="I499" s="20">
        <f t="shared" si="71"/>
        <v>0</v>
      </c>
      <c r="J499" s="20">
        <f t="shared" si="65"/>
        <v>0</v>
      </c>
      <c r="K499" s="20">
        <f t="shared" si="66"/>
        <v>0</v>
      </c>
      <c r="L499" s="20">
        <f t="shared" si="67"/>
        <v>0</v>
      </c>
    </row>
    <row r="500" spans="4:12" x14ac:dyDescent="0.35">
      <c r="D500" s="20" t="str">
        <f t="shared" si="72"/>
        <v/>
      </c>
      <c r="E500" s="21" t="str">
        <f t="shared" si="73"/>
        <v/>
      </c>
      <c r="F500" s="20" t="str">
        <f t="shared" si="68"/>
        <v/>
      </c>
      <c r="G500" s="20">
        <f t="shared" si="69"/>
        <v>0</v>
      </c>
      <c r="H500" s="20">
        <f t="shared" si="70"/>
        <v>0</v>
      </c>
      <c r="I500" s="20">
        <f t="shared" si="71"/>
        <v>0</v>
      </c>
      <c r="J500" s="20">
        <f t="shared" si="65"/>
        <v>0</v>
      </c>
      <c r="K500" s="20">
        <f t="shared" si="66"/>
        <v>0</v>
      </c>
      <c r="L500" s="20">
        <f t="shared" si="67"/>
        <v>0</v>
      </c>
    </row>
    <row r="501" spans="4:12" x14ac:dyDescent="0.35">
      <c r="D501" s="20" t="str">
        <f t="shared" si="72"/>
        <v/>
      </c>
      <c r="E501" s="21" t="str">
        <f t="shared" si="73"/>
        <v/>
      </c>
      <c r="F501" s="20" t="str">
        <f t="shared" si="68"/>
        <v/>
      </c>
      <c r="G501" s="20">
        <f t="shared" si="69"/>
        <v>0</v>
      </c>
      <c r="H501" s="20">
        <f t="shared" si="70"/>
        <v>0</v>
      </c>
      <c r="I501" s="20">
        <f t="shared" si="71"/>
        <v>0</v>
      </c>
      <c r="J501" s="20">
        <f t="shared" si="65"/>
        <v>0</v>
      </c>
      <c r="K501" s="20">
        <f t="shared" si="66"/>
        <v>0</v>
      </c>
      <c r="L501" s="20">
        <f t="shared" si="67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68F8-F70C-40A6-B250-96A767085E72}">
  <dimension ref="A1:Q501"/>
  <sheetViews>
    <sheetView workbookViewId="0">
      <selection activeCell="G27" sqref="G27"/>
    </sheetView>
  </sheetViews>
  <sheetFormatPr baseColWidth="10" defaultRowHeight="14.5" x14ac:dyDescent="0.35"/>
  <cols>
    <col min="1" max="1" width="15.6328125" customWidth="1"/>
    <col min="2" max="2" width="10.36328125" customWidth="1"/>
    <col min="3" max="3" width="4.6328125" customWidth="1"/>
    <col min="5" max="5" width="10.90625" style="22"/>
    <col min="6" max="6" width="14.1796875" style="22" customWidth="1"/>
    <col min="7" max="7" width="14.1796875" customWidth="1"/>
    <col min="8" max="8" width="14.1796875" hidden="1" customWidth="1"/>
    <col min="10" max="10" width="14.1796875" hidden="1" customWidth="1"/>
    <col min="12" max="12" width="14.1796875" hidden="1" customWidth="1"/>
    <col min="14" max="14" width="14.1796875" customWidth="1"/>
  </cols>
  <sheetData>
    <row r="1" spans="1:17" x14ac:dyDescent="0.35">
      <c r="D1" s="20" t="s">
        <v>0</v>
      </c>
      <c r="E1" s="23" t="s">
        <v>1</v>
      </c>
      <c r="F1" s="23" t="s">
        <v>2</v>
      </c>
      <c r="G1" s="20" t="s">
        <v>35</v>
      </c>
      <c r="H1" s="20" t="s">
        <v>43</v>
      </c>
      <c r="I1" s="20" t="s">
        <v>36</v>
      </c>
      <c r="J1" s="20" t="s">
        <v>43</v>
      </c>
      <c r="K1" s="20" t="s">
        <v>37</v>
      </c>
      <c r="L1" s="20" t="s">
        <v>43</v>
      </c>
      <c r="M1" s="20" t="s">
        <v>41</v>
      </c>
      <c r="N1" s="20" t="s">
        <v>38</v>
      </c>
      <c r="O1" s="20" t="s">
        <v>39</v>
      </c>
      <c r="P1" s="20" t="s">
        <v>40</v>
      </c>
      <c r="Q1" s="20" t="s">
        <v>42</v>
      </c>
    </row>
    <row r="2" spans="1:17" x14ac:dyDescent="0.35">
      <c r="D2" s="20">
        <v>1</v>
      </c>
      <c r="E2" s="23">
        <v>-2</v>
      </c>
      <c r="F2" s="23">
        <f>(20*COS((5/2)*E2^2+1))/(E2^2+2)</f>
        <v>1.4752326626835953E-2</v>
      </c>
      <c r="G2" s="20">
        <f>IF(D2=1,F2,"")</f>
        <v>1.4752326626835953E-2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f>ABS(G2)</f>
        <v>1.4752326626835953E-2</v>
      </c>
      <c r="O2" s="20">
        <f>ABS(I2)</f>
        <v>0</v>
      </c>
      <c r="P2" s="20">
        <f>ABS(K2)</f>
        <v>0</v>
      </c>
      <c r="Q2" s="20">
        <f t="shared" ref="Q2:Q17" si="0">ABS(M2)</f>
        <v>0</v>
      </c>
    </row>
    <row r="3" spans="1:17" x14ac:dyDescent="0.35">
      <c r="A3" t="s">
        <v>27</v>
      </c>
      <c r="B3">
        <v>-2</v>
      </c>
      <c r="D3" s="20">
        <f>IF(D2&lt;=$B$5,D2+1,0)</f>
        <v>2</v>
      </c>
      <c r="E3" s="23">
        <f>IF(D2&lt;=$B$5,E2+$B$6,0)</f>
        <v>-1.9393939393939394</v>
      </c>
      <c r="F3" s="23">
        <f>IF(D2&lt;=$B$5,(20*COS((5/2)*E3^2+1))/(E3^2+2),0)</f>
        <v>-1.9384579962583226</v>
      </c>
      <c r="G3" s="20">
        <f>IF(D3=$B$5+1,F3,0)</f>
        <v>0</v>
      </c>
      <c r="H3" s="20">
        <v>1</v>
      </c>
      <c r="I3" s="20">
        <f>IF(D2&lt;$B$5,F3*H3,0)</f>
        <v>-1.9384579962583226</v>
      </c>
      <c r="J3" s="20">
        <v>0</v>
      </c>
      <c r="K3" s="20">
        <f>IF(D2&lt;$B$5,F3*J3,0)</f>
        <v>0</v>
      </c>
      <c r="L3" s="20">
        <v>0</v>
      </c>
      <c r="M3" s="20">
        <f>IF(D2&lt;$B$5,F3*L3,0)</f>
        <v>0</v>
      </c>
      <c r="N3" s="20">
        <f>ABS(G3)</f>
        <v>0</v>
      </c>
      <c r="O3" s="20">
        <f>ABS(I3)</f>
        <v>1.9384579962583226</v>
      </c>
      <c r="P3" s="20">
        <f>ABS(K3)</f>
        <v>0</v>
      </c>
      <c r="Q3" s="20">
        <f t="shared" si="0"/>
        <v>0</v>
      </c>
    </row>
    <row r="4" spans="1:17" x14ac:dyDescent="0.35">
      <c r="A4" t="s">
        <v>28</v>
      </c>
      <c r="B4">
        <v>4</v>
      </c>
      <c r="D4" s="20">
        <f t="shared" ref="D4:D21" si="1">IF(D3&lt;=$B$5,D3+1,"")</f>
        <v>3</v>
      </c>
      <c r="E4" s="23">
        <f>IF(D3&lt;=$B$5,E3+$B$6,"")</f>
        <v>-1.8787878787878789</v>
      </c>
      <c r="F4" s="23">
        <f>IF(D3&lt;=$B$5,(20*COS((5/2)*E4^2+1))/(E4^2+2),"")</f>
        <v>-3.3314737609922753</v>
      </c>
      <c r="G4" s="20">
        <f t="shared" ref="G4:G67" si="2">IF(D4=$B$5+1,F4,0)</f>
        <v>0</v>
      </c>
      <c r="H4" s="20">
        <v>0</v>
      </c>
      <c r="I4" s="20">
        <f t="shared" ref="I4:I67" si="3">IF(D3&lt;$B$5,F4*H4,0)</f>
        <v>0</v>
      </c>
      <c r="J4" s="20">
        <v>1</v>
      </c>
      <c r="K4" s="20">
        <f t="shared" ref="K4:K67" si="4">IF(D3&lt;$B$5,F4*J4,0)</f>
        <v>-3.3314737609922753</v>
      </c>
      <c r="L4" s="20">
        <v>0</v>
      </c>
      <c r="M4" s="20">
        <f t="shared" ref="M4:M67" si="5">IF(D3&lt;$B$5,F4*L4,0)</f>
        <v>0</v>
      </c>
      <c r="N4" s="20">
        <f>ABS(G4)</f>
        <v>0</v>
      </c>
      <c r="O4" s="20">
        <f>ABS(I4)</f>
        <v>0</v>
      </c>
      <c r="P4" s="20">
        <f>ABS(K4)</f>
        <v>3.3314737609922753</v>
      </c>
      <c r="Q4" s="20">
        <f t="shared" si="0"/>
        <v>0</v>
      </c>
    </row>
    <row r="5" spans="1:17" x14ac:dyDescent="0.35">
      <c r="A5" t="s">
        <v>29</v>
      </c>
      <c r="B5">
        <v>99</v>
      </c>
      <c r="C5" t="str">
        <f>IF(MOD(B5,3)&lt;&gt;0,"x","")</f>
        <v/>
      </c>
      <c r="D5" s="20">
        <f t="shared" si="1"/>
        <v>4</v>
      </c>
      <c r="E5" s="23">
        <f>IF(D4&lt;=$B$5,E4+$B$6,"")</f>
        <v>-1.8181818181818183</v>
      </c>
      <c r="F5" s="23">
        <f>IF(D4&lt;=$B$5,(20*COS((5/2)*E5^2+1))/(E5^2+2),"")</f>
        <v>-3.7211345805277865</v>
      </c>
      <c r="G5" s="20">
        <f t="shared" si="2"/>
        <v>0</v>
      </c>
      <c r="H5" s="20">
        <v>0</v>
      </c>
      <c r="I5" s="20">
        <f t="shared" si="3"/>
        <v>0</v>
      </c>
      <c r="J5" s="20">
        <v>0</v>
      </c>
      <c r="K5" s="20">
        <f t="shared" si="4"/>
        <v>0</v>
      </c>
      <c r="L5" s="20">
        <v>1</v>
      </c>
      <c r="M5" s="20">
        <f t="shared" si="5"/>
        <v>-3.7211345805277865</v>
      </c>
      <c r="N5" s="20">
        <f>ABS(G5)</f>
        <v>0</v>
      </c>
      <c r="O5" s="20">
        <f>ABS(I5)</f>
        <v>0</v>
      </c>
      <c r="P5" s="20">
        <f>ABS(K5)</f>
        <v>0</v>
      </c>
      <c r="Q5" s="20">
        <f t="shared" si="0"/>
        <v>3.7211345805277865</v>
      </c>
    </row>
    <row r="6" spans="1:17" x14ac:dyDescent="0.35">
      <c r="A6" t="s">
        <v>18</v>
      </c>
      <c r="B6">
        <f>(B4-B3)/B5</f>
        <v>6.0606060606060608E-2</v>
      </c>
      <c r="D6" s="20">
        <f t="shared" si="1"/>
        <v>5</v>
      </c>
      <c r="E6" s="23">
        <f>IF(D5&lt;=$B$5,E5+$B$6,"")</f>
        <v>-1.7575757575757578</v>
      </c>
      <c r="F6" s="23">
        <f>IF(D5&lt;=$B$5,(20*COS((5/2)*E6^2+1))/(E6^2+2),"")</f>
        <v>-3.0005068027372532</v>
      </c>
      <c r="G6" s="20">
        <f t="shared" si="2"/>
        <v>0</v>
      </c>
      <c r="H6" s="20">
        <f>IF(H5+H4=0,1,0)</f>
        <v>1</v>
      </c>
      <c r="I6" s="20">
        <f t="shared" si="3"/>
        <v>-3.0005068027372532</v>
      </c>
      <c r="J6" s="20">
        <f>IF(J5+J4=0,1,0)</f>
        <v>0</v>
      </c>
      <c r="K6" s="20">
        <f t="shared" si="4"/>
        <v>0</v>
      </c>
      <c r="L6" s="20">
        <f>IF(L5+L4=0,1,0)</f>
        <v>0</v>
      </c>
      <c r="M6" s="20">
        <f t="shared" si="5"/>
        <v>0</v>
      </c>
      <c r="N6" s="20">
        <f>ABS(G6)</f>
        <v>0</v>
      </c>
      <c r="O6" s="20">
        <f>ABS(I6)</f>
        <v>3.0005068027372532</v>
      </c>
      <c r="P6" s="20">
        <f>ABS(K6)</f>
        <v>0</v>
      </c>
      <c r="Q6" s="20">
        <f t="shared" si="0"/>
        <v>0</v>
      </c>
    </row>
    <row r="7" spans="1:17" x14ac:dyDescent="0.35">
      <c r="D7" s="20">
        <f t="shared" si="1"/>
        <v>6</v>
      </c>
      <c r="E7" s="23">
        <f>IF(D6&lt;=$B$5,E6+$B$6,"")</f>
        <v>-1.6969696969696972</v>
      </c>
      <c r="F7" s="23">
        <f>IF(D6&lt;=$B$5,(20*COS((5/2)*E7^2+1))/(E7^2+2),"")</f>
        <v>-1.387229806450581</v>
      </c>
      <c r="G7" s="20">
        <f t="shared" si="2"/>
        <v>0</v>
      </c>
      <c r="H7" s="20">
        <f t="shared" ref="H7:L70" si="6">IF(H6+H5=0,1,0)</f>
        <v>0</v>
      </c>
      <c r="I7" s="20">
        <f t="shared" si="3"/>
        <v>0</v>
      </c>
      <c r="J7" s="20">
        <f t="shared" si="6"/>
        <v>1</v>
      </c>
      <c r="K7" s="20">
        <f t="shared" si="4"/>
        <v>-1.387229806450581</v>
      </c>
      <c r="L7" s="20">
        <f t="shared" si="6"/>
        <v>0</v>
      </c>
      <c r="M7" s="20">
        <f t="shared" si="5"/>
        <v>0</v>
      </c>
      <c r="N7" s="20">
        <f>ABS(G7)</f>
        <v>0</v>
      </c>
      <c r="O7" s="20">
        <f>ABS(I7)</f>
        <v>0</v>
      </c>
      <c r="P7" s="20">
        <f>ABS(K7)</f>
        <v>1.387229806450581</v>
      </c>
      <c r="Q7" s="20">
        <f t="shared" si="0"/>
        <v>0</v>
      </c>
    </row>
    <row r="8" spans="1:17" x14ac:dyDescent="0.35">
      <c r="A8" t="s">
        <v>30</v>
      </c>
      <c r="B8">
        <f>(3/8)*B6*(SUM(G2:G500))</f>
        <v>-2.4597529887870916E-2</v>
      </c>
      <c r="D8" s="20">
        <f t="shared" si="1"/>
        <v>7</v>
      </c>
      <c r="E8" s="23">
        <f>IF(D7&lt;=$B$5,E7+$B$6,"")</f>
        <v>-1.6363636363636367</v>
      </c>
      <c r="F8" s="23">
        <f>IF(D7&lt;=$B$5,(20*COS((5/2)*E8^2+1))/(E8^2+2),"")</f>
        <v>0.68019931669341338</v>
      </c>
      <c r="G8" s="20">
        <f t="shared" si="2"/>
        <v>0</v>
      </c>
      <c r="H8" s="20">
        <f t="shared" si="6"/>
        <v>0</v>
      </c>
      <c r="I8" s="20">
        <f t="shared" si="3"/>
        <v>0</v>
      </c>
      <c r="J8" s="20">
        <f t="shared" si="6"/>
        <v>0</v>
      </c>
      <c r="K8" s="20">
        <f t="shared" si="4"/>
        <v>0</v>
      </c>
      <c r="L8" s="20">
        <f t="shared" si="6"/>
        <v>1</v>
      </c>
      <c r="M8" s="20">
        <f t="shared" si="5"/>
        <v>0.68019931669341338</v>
      </c>
      <c r="N8" s="20">
        <f>ABS(G8)</f>
        <v>0</v>
      </c>
      <c r="O8" s="20">
        <f>ABS(I8)</f>
        <v>0</v>
      </c>
      <c r="P8" s="20">
        <f>ABS(K8)</f>
        <v>0</v>
      </c>
      <c r="Q8" s="20">
        <f t="shared" si="0"/>
        <v>0.68019931669341338</v>
      </c>
    </row>
    <row r="9" spans="1:17" x14ac:dyDescent="0.35">
      <c r="D9" s="20">
        <f t="shared" si="1"/>
        <v>8</v>
      </c>
      <c r="E9" s="23">
        <f>IF(D8&lt;=$B$5,E8+$B$6,"")</f>
        <v>-1.5757575757575761</v>
      </c>
      <c r="F9" s="23">
        <f>IF(D8&lt;=$B$5,(20*COS((5/2)*E9^2+1))/(E9^2+2),"")</f>
        <v>2.6872912142138747</v>
      </c>
      <c r="G9" s="20">
        <f t="shared" si="2"/>
        <v>0</v>
      </c>
      <c r="H9" s="20">
        <f t="shared" si="6"/>
        <v>1</v>
      </c>
      <c r="I9" s="20">
        <f t="shared" si="3"/>
        <v>2.6872912142138747</v>
      </c>
      <c r="J9" s="20">
        <f t="shared" si="6"/>
        <v>0</v>
      </c>
      <c r="K9" s="20">
        <f t="shared" si="4"/>
        <v>0</v>
      </c>
      <c r="L9" s="20">
        <f t="shared" si="6"/>
        <v>0</v>
      </c>
      <c r="M9" s="20">
        <f t="shared" si="5"/>
        <v>0</v>
      </c>
      <c r="N9" s="20">
        <f>ABS(G9)</f>
        <v>0</v>
      </c>
      <c r="O9" s="20">
        <f>ABS(I9)</f>
        <v>2.6872912142138747</v>
      </c>
      <c r="P9" s="20">
        <f>ABS(K9)</f>
        <v>0</v>
      </c>
      <c r="Q9" s="20">
        <f t="shared" si="0"/>
        <v>0</v>
      </c>
    </row>
    <row r="10" spans="1:17" x14ac:dyDescent="0.35">
      <c r="A10" t="s">
        <v>31</v>
      </c>
      <c r="B10">
        <f>(9/8)*B6*SUM(I2:I500)</f>
        <v>-0.62244153061040497</v>
      </c>
      <c r="D10" s="20">
        <f t="shared" si="1"/>
        <v>9</v>
      </c>
      <c r="E10" s="23">
        <f>IF(D9&lt;=$B$5,E9+$B$6,"")</f>
        <v>-1.5151515151515156</v>
      </c>
      <c r="F10" s="23">
        <f>IF(D9&lt;=$B$5,(20*COS((5/2)*E10^2+1))/(E10^2+2),"")</f>
        <v>4.180056510836871</v>
      </c>
      <c r="G10" s="20">
        <f t="shared" si="2"/>
        <v>0</v>
      </c>
      <c r="H10" s="20">
        <f t="shared" si="6"/>
        <v>0</v>
      </c>
      <c r="I10" s="20">
        <f t="shared" si="3"/>
        <v>0</v>
      </c>
      <c r="J10" s="20">
        <f t="shared" si="6"/>
        <v>1</v>
      </c>
      <c r="K10" s="20">
        <f t="shared" si="4"/>
        <v>4.180056510836871</v>
      </c>
      <c r="L10" s="20">
        <f t="shared" si="6"/>
        <v>0</v>
      </c>
      <c r="M10" s="20">
        <f t="shared" si="5"/>
        <v>0</v>
      </c>
      <c r="N10" s="20">
        <f>ABS(G10)</f>
        <v>0</v>
      </c>
      <c r="O10" s="20">
        <f>ABS(I10)</f>
        <v>0</v>
      </c>
      <c r="P10" s="20">
        <f>ABS(K10)</f>
        <v>4.180056510836871</v>
      </c>
      <c r="Q10" s="20">
        <f t="shared" si="0"/>
        <v>0</v>
      </c>
    </row>
    <row r="11" spans="1:17" x14ac:dyDescent="0.35">
      <c r="D11" s="20">
        <f t="shared" si="1"/>
        <v>10</v>
      </c>
      <c r="E11" s="23">
        <f>IF(D10&lt;=$B$5,E10+$B$6,"")</f>
        <v>-1.454545454545455</v>
      </c>
      <c r="F11" s="23">
        <f>IF(D10&lt;=$B$5,(20*COS((5/2)*E11^2+1))/(E11^2+2),"")</f>
        <v>4.8593482022415424</v>
      </c>
      <c r="G11" s="20">
        <f t="shared" si="2"/>
        <v>0</v>
      </c>
      <c r="H11" s="20">
        <f t="shared" si="6"/>
        <v>0</v>
      </c>
      <c r="I11" s="20">
        <f t="shared" si="3"/>
        <v>0</v>
      </c>
      <c r="J11" s="20">
        <f t="shared" si="6"/>
        <v>0</v>
      </c>
      <c r="K11" s="20">
        <f t="shared" si="4"/>
        <v>0</v>
      </c>
      <c r="L11" s="20">
        <f t="shared" si="6"/>
        <v>1</v>
      </c>
      <c r="M11" s="20">
        <f t="shared" si="5"/>
        <v>4.8593482022415424</v>
      </c>
      <c r="N11" s="20">
        <f>ABS(G11)</f>
        <v>0</v>
      </c>
      <c r="O11" s="20">
        <f>ABS(I11)</f>
        <v>0</v>
      </c>
      <c r="P11" s="20">
        <f>ABS(K11)</f>
        <v>0</v>
      </c>
      <c r="Q11" s="20">
        <f t="shared" si="0"/>
        <v>4.8593482022415424</v>
      </c>
    </row>
    <row r="12" spans="1:17" x14ac:dyDescent="0.35">
      <c r="A12" t="s">
        <v>32</v>
      </c>
      <c r="B12">
        <f>(9/8)*B6*SUM(K2:K300)</f>
        <v>-0.66741278183326957</v>
      </c>
      <c r="D12" s="20">
        <f t="shared" si="1"/>
        <v>11</v>
      </c>
      <c r="E12" s="23">
        <f>IF(D11&lt;=$B$5,E11+$B$6,"")</f>
        <v>-1.3939393939393945</v>
      </c>
      <c r="F12" s="23">
        <f>IF(D11&lt;=$B$5,(20*COS((5/2)*E12^2+1))/(E12^2+2),"")</f>
        <v>4.6198816067854445</v>
      </c>
      <c r="G12" s="20">
        <f t="shared" si="2"/>
        <v>0</v>
      </c>
      <c r="H12" s="20">
        <f t="shared" si="6"/>
        <v>1</v>
      </c>
      <c r="I12" s="20">
        <f t="shared" si="3"/>
        <v>4.6198816067854445</v>
      </c>
      <c r="J12" s="20">
        <f t="shared" si="6"/>
        <v>0</v>
      </c>
      <c r="K12" s="20">
        <f t="shared" si="4"/>
        <v>0</v>
      </c>
      <c r="L12" s="20">
        <f t="shared" si="6"/>
        <v>0</v>
      </c>
      <c r="M12" s="20">
        <f t="shared" si="5"/>
        <v>0</v>
      </c>
      <c r="N12" s="20">
        <f>ABS(G12)</f>
        <v>0</v>
      </c>
      <c r="O12" s="20">
        <f>ABS(I12)</f>
        <v>4.6198816067854445</v>
      </c>
      <c r="P12" s="20">
        <f>ABS(K12)</f>
        <v>0</v>
      </c>
      <c r="Q12" s="20">
        <f t="shared" si="0"/>
        <v>0</v>
      </c>
    </row>
    <row r="13" spans="1:17" x14ac:dyDescent="0.35">
      <c r="D13" s="20">
        <f t="shared" si="1"/>
        <v>12</v>
      </c>
      <c r="E13" s="23">
        <f>IF(D12&lt;=$B$5,E12+$B$6,"")</f>
        <v>-1.3333333333333339</v>
      </c>
      <c r="F13" s="23">
        <f>IF(D12&lt;=$B$5,(20*COS((5/2)*E13^2+1))/(E13^2+2),"")</f>
        <v>3.5385877291146772</v>
      </c>
      <c r="G13" s="20">
        <f t="shared" si="2"/>
        <v>0</v>
      </c>
      <c r="H13" s="20">
        <f t="shared" si="6"/>
        <v>0</v>
      </c>
      <c r="I13" s="20">
        <f t="shared" si="3"/>
        <v>0</v>
      </c>
      <c r="J13" s="20">
        <f t="shared" si="6"/>
        <v>1</v>
      </c>
      <c r="K13" s="20">
        <f t="shared" si="4"/>
        <v>3.5385877291146772</v>
      </c>
      <c r="L13" s="20">
        <f t="shared" si="6"/>
        <v>0</v>
      </c>
      <c r="M13" s="20">
        <f t="shared" si="5"/>
        <v>0</v>
      </c>
      <c r="N13" s="20">
        <f>ABS(G13)</f>
        <v>0</v>
      </c>
      <c r="O13" s="20">
        <f>ABS(I13)</f>
        <v>0</v>
      </c>
      <c r="P13" s="20">
        <f>ABS(K13)</f>
        <v>3.5385877291146772</v>
      </c>
      <c r="Q13" s="20">
        <f t="shared" si="0"/>
        <v>0</v>
      </c>
    </row>
    <row r="14" spans="1:17" x14ac:dyDescent="0.35">
      <c r="A14" t="s">
        <v>44</v>
      </c>
      <c r="B14">
        <f>(3/4)*B6*SUM(M2:M300)</f>
        <v>-0.36790488890380535</v>
      </c>
      <c r="D14" s="20">
        <f t="shared" si="1"/>
        <v>13</v>
      </c>
      <c r="E14" s="23">
        <f>IF(D13&lt;=$B$5,E13+$B$6,"")</f>
        <v>-1.2727272727272734</v>
      </c>
      <c r="F14" s="23">
        <f>IF(D13&lt;=$B$5,(20*COS((5/2)*E14^2+1))/(E14^2+2),"")</f>
        <v>1.827950844507785</v>
      </c>
      <c r="G14" s="20">
        <f t="shared" si="2"/>
        <v>0</v>
      </c>
      <c r="H14" s="20">
        <f t="shared" si="6"/>
        <v>0</v>
      </c>
      <c r="I14" s="20">
        <f t="shared" si="3"/>
        <v>0</v>
      </c>
      <c r="J14" s="20">
        <f t="shared" si="6"/>
        <v>0</v>
      </c>
      <c r="K14" s="20">
        <f t="shared" si="4"/>
        <v>0</v>
      </c>
      <c r="L14" s="20">
        <f t="shared" si="6"/>
        <v>1</v>
      </c>
      <c r="M14" s="20">
        <f t="shared" si="5"/>
        <v>1.827950844507785</v>
      </c>
      <c r="N14" s="20">
        <f>ABS(G14)</f>
        <v>0</v>
      </c>
      <c r="O14" s="20">
        <f>ABS(I14)</f>
        <v>0</v>
      </c>
      <c r="P14" s="20">
        <f>ABS(K14)</f>
        <v>0</v>
      </c>
      <c r="Q14" s="20">
        <f t="shared" si="0"/>
        <v>1.827950844507785</v>
      </c>
    </row>
    <row r="15" spans="1:17" x14ac:dyDescent="0.35">
      <c r="D15" s="20">
        <f t="shared" si="1"/>
        <v>14</v>
      </c>
      <c r="E15" s="23">
        <f>IF(D14&lt;=$B$5,E14+$B$6,"")</f>
        <v>-1.2121212121212128</v>
      </c>
      <c r="F15" s="23">
        <f>IF(D14&lt;=$B$5,(20*COS((5/2)*E15^2+1))/(E15^2+2),"")</f>
        <v>-0.22647214626472439</v>
      </c>
      <c r="G15" s="20">
        <f t="shared" si="2"/>
        <v>0</v>
      </c>
      <c r="H15" s="20">
        <f t="shared" si="6"/>
        <v>1</v>
      </c>
      <c r="I15" s="20">
        <f t="shared" si="3"/>
        <v>-0.22647214626472439</v>
      </c>
      <c r="J15" s="20">
        <f t="shared" si="6"/>
        <v>0</v>
      </c>
      <c r="K15" s="20">
        <f t="shared" si="4"/>
        <v>0</v>
      </c>
      <c r="L15" s="20">
        <f t="shared" si="6"/>
        <v>0</v>
      </c>
      <c r="M15" s="20">
        <f t="shared" si="5"/>
        <v>0</v>
      </c>
      <c r="N15" s="20">
        <f>ABS(G15)</f>
        <v>0</v>
      </c>
      <c r="O15" s="20">
        <f>ABS(I15)</f>
        <v>0.22647214626472439</v>
      </c>
      <c r="P15" s="20">
        <f>ABS(K15)</f>
        <v>0</v>
      </c>
      <c r="Q15" s="20">
        <f t="shared" si="0"/>
        <v>0</v>
      </c>
    </row>
    <row r="16" spans="1:17" x14ac:dyDescent="0.35">
      <c r="A16" t="s">
        <v>34</v>
      </c>
      <c r="B16">
        <f>SUM(B8:B14)</f>
        <v>-1.6823567312353509</v>
      </c>
      <c r="D16" s="20">
        <f t="shared" si="1"/>
        <v>15</v>
      </c>
      <c r="E16" s="23">
        <f>IF(D15&lt;=$B$5,E15+$B$6,"")</f>
        <v>-1.1515151515151523</v>
      </c>
      <c r="F16" s="23">
        <f>IF(D15&lt;=$B$5,(20*COS((5/2)*E16^2+1))/(E16^2+2),"")</f>
        <v>-2.3273796765732753</v>
      </c>
      <c r="G16" s="20">
        <f t="shared" si="2"/>
        <v>0</v>
      </c>
      <c r="H16" s="20">
        <f t="shared" si="6"/>
        <v>0</v>
      </c>
      <c r="I16" s="20">
        <f t="shared" si="3"/>
        <v>0</v>
      </c>
      <c r="J16" s="20">
        <f t="shared" si="6"/>
        <v>1</v>
      </c>
      <c r="K16" s="20">
        <f t="shared" si="4"/>
        <v>-2.3273796765732753</v>
      </c>
      <c r="L16" s="20">
        <f t="shared" si="6"/>
        <v>0</v>
      </c>
      <c r="M16" s="20">
        <f t="shared" si="5"/>
        <v>0</v>
      </c>
      <c r="N16" s="20">
        <f>ABS(G16)</f>
        <v>0</v>
      </c>
      <c r="O16" s="20">
        <f>ABS(I16)</f>
        <v>0</v>
      </c>
      <c r="P16" s="20">
        <f>ABS(K16)</f>
        <v>2.3273796765732753</v>
      </c>
      <c r="Q16" s="20">
        <f t="shared" si="0"/>
        <v>0</v>
      </c>
    </row>
    <row r="17" spans="1:17" x14ac:dyDescent="0.35">
      <c r="D17" s="20">
        <f t="shared" si="1"/>
        <v>16</v>
      </c>
      <c r="E17" s="23">
        <f>IF(D16&lt;=$B$5,E16+$B$6,"")</f>
        <v>-1.0909090909090917</v>
      </c>
      <c r="F17" s="23">
        <f>IF(D16&lt;=$B$5,(20*COS((5/2)*E17^2+1))/(E17^2+2),"")</f>
        <v>-4.2143391292585957</v>
      </c>
      <c r="G17" s="20">
        <f t="shared" si="2"/>
        <v>0</v>
      </c>
      <c r="H17" s="20">
        <f t="shared" si="6"/>
        <v>0</v>
      </c>
      <c r="I17" s="20">
        <f t="shared" si="3"/>
        <v>0</v>
      </c>
      <c r="J17" s="20">
        <f t="shared" si="6"/>
        <v>0</v>
      </c>
      <c r="K17" s="20">
        <f t="shared" si="4"/>
        <v>0</v>
      </c>
      <c r="L17" s="20">
        <f t="shared" si="6"/>
        <v>1</v>
      </c>
      <c r="M17" s="20">
        <f t="shared" si="5"/>
        <v>-4.2143391292585957</v>
      </c>
      <c r="N17" s="20">
        <f>ABS(G17)</f>
        <v>0</v>
      </c>
      <c r="O17" s="20">
        <f>ABS(I17)</f>
        <v>0</v>
      </c>
      <c r="P17" s="20">
        <f>ABS(K17)</f>
        <v>0</v>
      </c>
      <c r="Q17" s="20">
        <f t="shared" si="0"/>
        <v>4.2143391292585957</v>
      </c>
    </row>
    <row r="18" spans="1:17" x14ac:dyDescent="0.35">
      <c r="A18" t="s">
        <v>45</v>
      </c>
      <c r="B18">
        <f>(3/8)*B6*(SUM(N2:N500))</f>
        <v>2.5268090189090729E-2</v>
      </c>
      <c r="D18" s="20">
        <f t="shared" si="1"/>
        <v>17</v>
      </c>
      <c r="E18" s="23">
        <f>IF(D17&lt;=$B$5,E17+$B$6,"")</f>
        <v>-1.0303030303030312</v>
      </c>
      <c r="F18" s="23">
        <f>IF(D17&lt;=$B$5,(20*COS((5/2)*E18^2+1))/(E18^2+2),"")</f>
        <v>-5.6942842863311824</v>
      </c>
      <c r="G18" s="20">
        <f t="shared" si="2"/>
        <v>0</v>
      </c>
      <c r="H18" s="20">
        <f t="shared" si="6"/>
        <v>1</v>
      </c>
      <c r="I18" s="20">
        <f t="shared" si="3"/>
        <v>-5.6942842863311824</v>
      </c>
      <c r="J18" s="20">
        <f t="shared" si="6"/>
        <v>0</v>
      </c>
      <c r="K18" s="20">
        <f t="shared" si="4"/>
        <v>0</v>
      </c>
      <c r="L18" s="20">
        <f t="shared" si="6"/>
        <v>0</v>
      </c>
      <c r="M18" s="20">
        <f t="shared" si="5"/>
        <v>0</v>
      </c>
      <c r="N18" s="20">
        <f>ABS(G18)</f>
        <v>0</v>
      </c>
      <c r="O18" s="20">
        <f>ABS(I18)</f>
        <v>5.6942842863311824</v>
      </c>
      <c r="P18" s="20">
        <f>ABS(K18)</f>
        <v>0</v>
      </c>
      <c r="Q18" s="20">
        <f t="shared" ref="Q18:Q66" si="7">ABS(M18)</f>
        <v>0</v>
      </c>
    </row>
    <row r="19" spans="1:17" x14ac:dyDescent="0.35">
      <c r="D19" s="20">
        <f t="shared" si="1"/>
        <v>18</v>
      </c>
      <c r="E19" s="23">
        <f>IF(D18&lt;=$B$5,E18+$B$6,"")</f>
        <v>-0.96969696969697061</v>
      </c>
      <c r="F19" s="23">
        <f>IF(D18&lt;=$B$5,(20*COS((5/2)*E19^2+1))/(E19^2+2),"")</f>
        <v>-6.6537144083030793</v>
      </c>
      <c r="G19" s="20">
        <f t="shared" si="2"/>
        <v>0</v>
      </c>
      <c r="H19" s="20">
        <f t="shared" si="6"/>
        <v>0</v>
      </c>
      <c r="I19" s="20">
        <f t="shared" si="3"/>
        <v>0</v>
      </c>
      <c r="J19" s="20">
        <f t="shared" si="6"/>
        <v>1</v>
      </c>
      <c r="K19" s="20">
        <f t="shared" si="4"/>
        <v>-6.6537144083030793</v>
      </c>
      <c r="L19" s="20">
        <f t="shared" si="6"/>
        <v>0</v>
      </c>
      <c r="M19" s="20">
        <f t="shared" si="5"/>
        <v>0</v>
      </c>
      <c r="N19" s="20">
        <f>ABS(G19)</f>
        <v>0</v>
      </c>
      <c r="O19" s="20">
        <f>ABS(I19)</f>
        <v>0</v>
      </c>
      <c r="P19" s="20">
        <f>ABS(K19)</f>
        <v>6.6537144083030793</v>
      </c>
      <c r="Q19" s="20">
        <f t="shared" si="7"/>
        <v>0</v>
      </c>
    </row>
    <row r="20" spans="1:17" x14ac:dyDescent="0.35">
      <c r="A20" t="s">
        <v>46</v>
      </c>
      <c r="B20">
        <f>(9/8)*B6*SUM(O2:O500)</f>
        <v>6.3208099241050997</v>
      </c>
      <c r="D20" s="20">
        <f t="shared" si="1"/>
        <v>19</v>
      </c>
      <c r="E20" s="23">
        <f>IF(D19&lt;=$B$5,E19+$B$6,"")</f>
        <v>-0.90909090909091006</v>
      </c>
      <c r="F20" s="23">
        <f>IF(D19&lt;=$B$5,(20*COS((5/2)*E20^2+1))/(E20^2+2),"")</f>
        <v>-7.0558777188941484</v>
      </c>
      <c r="G20" s="20">
        <f t="shared" si="2"/>
        <v>0</v>
      </c>
      <c r="H20" s="20">
        <f t="shared" si="6"/>
        <v>0</v>
      </c>
      <c r="I20" s="20">
        <f t="shared" si="3"/>
        <v>0</v>
      </c>
      <c r="J20" s="20">
        <f t="shared" si="6"/>
        <v>0</v>
      </c>
      <c r="K20" s="20">
        <f t="shared" si="4"/>
        <v>0</v>
      </c>
      <c r="L20" s="20">
        <f t="shared" si="6"/>
        <v>1</v>
      </c>
      <c r="M20" s="20">
        <f t="shared" si="5"/>
        <v>-7.0558777188941484</v>
      </c>
      <c r="N20" s="20">
        <f>ABS(G20)</f>
        <v>0</v>
      </c>
      <c r="O20" s="20">
        <f>ABS(I20)</f>
        <v>0</v>
      </c>
      <c r="P20" s="20">
        <f>ABS(K20)</f>
        <v>0</v>
      </c>
      <c r="Q20" s="20">
        <f t="shared" si="7"/>
        <v>7.0558777188941484</v>
      </c>
    </row>
    <row r="21" spans="1:17" x14ac:dyDescent="0.35">
      <c r="D21" s="20">
        <f t="shared" si="1"/>
        <v>20</v>
      </c>
      <c r="E21" s="23">
        <f>IF(D20&lt;=$B$5,E20+$B$6,"")</f>
        <v>-0.84848484848484951</v>
      </c>
      <c r="F21" s="23">
        <f>IF(D20&lt;=$B$5,(20*COS((5/2)*E21^2+1))/(E21^2+2),"")</f>
        <v>-6.9278400678876189</v>
      </c>
      <c r="G21" s="20">
        <f t="shared" si="2"/>
        <v>0</v>
      </c>
      <c r="H21" s="20">
        <f t="shared" si="6"/>
        <v>1</v>
      </c>
      <c r="I21" s="20">
        <f t="shared" si="3"/>
        <v>-6.9278400678876189</v>
      </c>
      <c r="J21" s="20">
        <f t="shared" si="6"/>
        <v>0</v>
      </c>
      <c r="K21" s="20">
        <f t="shared" si="4"/>
        <v>0</v>
      </c>
      <c r="L21" s="20">
        <f t="shared" si="6"/>
        <v>0</v>
      </c>
      <c r="M21" s="20">
        <f t="shared" si="5"/>
        <v>0</v>
      </c>
      <c r="N21" s="20">
        <f>ABS(G21)</f>
        <v>0</v>
      </c>
      <c r="O21" s="20">
        <f>ABS(I21)</f>
        <v>6.9278400678876189</v>
      </c>
      <c r="P21" s="20">
        <f>ABS(K21)</f>
        <v>0</v>
      </c>
      <c r="Q21" s="20">
        <f t="shared" si="7"/>
        <v>0</v>
      </c>
    </row>
    <row r="22" spans="1:17" x14ac:dyDescent="0.35">
      <c r="A22" t="s">
        <v>47</v>
      </c>
      <c r="B22">
        <f>(9/8)*B6*SUM(P2:P300)</f>
        <v>6.0859572615748609</v>
      </c>
      <c r="D22" s="20">
        <f>IF(D21&lt;=$B$5,D21+1,"")</f>
        <v>21</v>
      </c>
      <c r="E22" s="23">
        <f>IF(D21&lt;=$B$5,E21+$B$6,"")</f>
        <v>-0.78787878787878896</v>
      </c>
      <c r="F22" s="23">
        <f>IF(D21&lt;=$B$5,(20*COS((5/2)*E22^2+1))/(E22^2+2),"")</f>
        <v>-6.3424663574638966</v>
      </c>
      <c r="G22" s="20">
        <f t="shared" si="2"/>
        <v>0</v>
      </c>
      <c r="H22" s="20">
        <f t="shared" si="6"/>
        <v>0</v>
      </c>
      <c r="I22" s="20">
        <f t="shared" si="3"/>
        <v>0</v>
      </c>
      <c r="J22" s="20">
        <f t="shared" si="6"/>
        <v>1</v>
      </c>
      <c r="K22" s="20">
        <f t="shared" si="4"/>
        <v>-6.3424663574638966</v>
      </c>
      <c r="L22" s="20">
        <f t="shared" si="6"/>
        <v>0</v>
      </c>
      <c r="M22" s="20">
        <f t="shared" si="5"/>
        <v>0</v>
      </c>
      <c r="N22" s="20">
        <f>ABS(G22)</f>
        <v>0</v>
      </c>
      <c r="O22" s="20">
        <f>ABS(I22)</f>
        <v>0</v>
      </c>
      <c r="P22" s="20">
        <f>ABS(K22)</f>
        <v>6.3424663574638966</v>
      </c>
      <c r="Q22" s="20">
        <f t="shared" si="7"/>
        <v>0</v>
      </c>
    </row>
    <row r="23" spans="1:17" x14ac:dyDescent="0.35">
      <c r="D23" s="20">
        <f t="shared" ref="D23:D86" si="8">IF(D22&lt;=$B$5,D22+1,"")</f>
        <v>22</v>
      </c>
      <c r="E23" s="23">
        <f t="shared" ref="E23:E86" si="9">IF(D22&lt;=$B$5,E22+$B$6,"")</f>
        <v>-0.7272727272727284</v>
      </c>
      <c r="F23" s="23">
        <f t="shared" ref="F23:F86" si="10">IF(D22&lt;=$B$5,(20*COS((5/2)*E23^2+1))/(E23^2+2),"")</f>
        <v>-5.3995140864851683</v>
      </c>
      <c r="G23" s="20">
        <f t="shared" si="2"/>
        <v>0</v>
      </c>
      <c r="H23" s="20">
        <f t="shared" si="6"/>
        <v>0</v>
      </c>
      <c r="I23" s="20">
        <f t="shared" si="3"/>
        <v>0</v>
      </c>
      <c r="J23" s="20">
        <f t="shared" si="6"/>
        <v>0</v>
      </c>
      <c r="K23" s="20">
        <f t="shared" si="4"/>
        <v>0</v>
      </c>
      <c r="L23" s="20">
        <f t="shared" si="6"/>
        <v>1</v>
      </c>
      <c r="M23" s="20">
        <f t="shared" si="5"/>
        <v>-5.3995140864851683</v>
      </c>
      <c r="N23" s="20">
        <f>ABS(G23)</f>
        <v>0</v>
      </c>
      <c r="O23" s="20">
        <f>ABS(I23)</f>
        <v>0</v>
      </c>
      <c r="P23" s="20">
        <f>ABS(K23)</f>
        <v>0</v>
      </c>
      <c r="Q23" s="20">
        <f t="shared" si="7"/>
        <v>5.3995140864851683</v>
      </c>
    </row>
    <row r="24" spans="1:17" x14ac:dyDescent="0.35">
      <c r="A24" t="s">
        <v>48</v>
      </c>
      <c r="B24">
        <f>(3/4)*B6*SUM(Q2:Q300)</f>
        <v>4.207945113997102</v>
      </c>
      <c r="D24" s="20">
        <f t="shared" si="8"/>
        <v>23</v>
      </c>
      <c r="E24" s="23">
        <f t="shared" si="9"/>
        <v>-0.66666666666666785</v>
      </c>
      <c r="F24" s="23">
        <f t="shared" si="10"/>
        <v>-4.2087760315918255</v>
      </c>
      <c r="G24" s="20">
        <f t="shared" si="2"/>
        <v>0</v>
      </c>
      <c r="H24" s="20">
        <f t="shared" si="6"/>
        <v>1</v>
      </c>
      <c r="I24" s="20">
        <f t="shared" si="3"/>
        <v>-4.2087760315918255</v>
      </c>
      <c r="J24" s="20">
        <f t="shared" si="6"/>
        <v>0</v>
      </c>
      <c r="K24" s="20">
        <f t="shared" si="4"/>
        <v>0</v>
      </c>
      <c r="L24" s="20">
        <f t="shared" si="6"/>
        <v>0</v>
      </c>
      <c r="M24" s="20">
        <f t="shared" si="5"/>
        <v>0</v>
      </c>
      <c r="N24" s="20">
        <f>ABS(G24)</f>
        <v>0</v>
      </c>
      <c r="O24" s="20">
        <f>ABS(I24)</f>
        <v>4.2087760315918255</v>
      </c>
      <c r="P24" s="20">
        <f>ABS(K24)</f>
        <v>0</v>
      </c>
      <c r="Q24" s="20">
        <f t="shared" si="7"/>
        <v>0</v>
      </c>
    </row>
    <row r="25" spans="1:17" x14ac:dyDescent="0.35">
      <c r="D25" s="20">
        <f t="shared" si="8"/>
        <v>24</v>
      </c>
      <c r="E25" s="23">
        <f t="shared" si="9"/>
        <v>-0.6060606060606073</v>
      </c>
      <c r="F25" s="23">
        <f t="shared" si="10"/>
        <v>-2.8769114217155018</v>
      </c>
      <c r="G25" s="20">
        <f t="shared" si="2"/>
        <v>0</v>
      </c>
      <c r="H25" s="20">
        <f t="shared" si="6"/>
        <v>0</v>
      </c>
      <c r="I25" s="20">
        <f t="shared" si="3"/>
        <v>0</v>
      </c>
      <c r="J25" s="20">
        <f t="shared" si="6"/>
        <v>1</v>
      </c>
      <c r="K25" s="20">
        <f t="shared" si="4"/>
        <v>-2.8769114217155018</v>
      </c>
      <c r="L25" s="20">
        <f t="shared" si="6"/>
        <v>0</v>
      </c>
      <c r="M25" s="20">
        <f t="shared" si="5"/>
        <v>0</v>
      </c>
      <c r="N25" s="20">
        <f>ABS(G25)</f>
        <v>0</v>
      </c>
      <c r="O25" s="20">
        <f>ABS(I25)</f>
        <v>0</v>
      </c>
      <c r="P25" s="20">
        <f>ABS(K25)</f>
        <v>2.8769114217155018</v>
      </c>
      <c r="Q25" s="20">
        <f t="shared" si="7"/>
        <v>0</v>
      </c>
    </row>
    <row r="26" spans="1:17" x14ac:dyDescent="0.35">
      <c r="A26" t="s">
        <v>33</v>
      </c>
      <c r="B26">
        <f>SUM(B18:B24)</f>
        <v>16.639980389866153</v>
      </c>
      <c r="D26" s="20">
        <f t="shared" si="8"/>
        <v>25</v>
      </c>
      <c r="E26" s="23">
        <f t="shared" si="9"/>
        <v>-0.54545454545454675</v>
      </c>
      <c r="F26" s="23">
        <f t="shared" si="10"/>
        <v>-1.4985160927112553</v>
      </c>
      <c r="G26" s="20">
        <f t="shared" si="2"/>
        <v>0</v>
      </c>
      <c r="H26" s="20">
        <f t="shared" si="6"/>
        <v>0</v>
      </c>
      <c r="I26" s="20">
        <f t="shared" si="3"/>
        <v>0</v>
      </c>
      <c r="J26" s="20">
        <f t="shared" si="6"/>
        <v>0</v>
      </c>
      <c r="K26" s="20">
        <f t="shared" si="4"/>
        <v>0</v>
      </c>
      <c r="L26" s="20">
        <f t="shared" si="6"/>
        <v>1</v>
      </c>
      <c r="M26" s="20">
        <f t="shared" si="5"/>
        <v>-1.4985160927112553</v>
      </c>
      <c r="N26" s="20">
        <f>ABS(G26)</f>
        <v>0</v>
      </c>
      <c r="O26" s="20">
        <f>ABS(I26)</f>
        <v>0</v>
      </c>
      <c r="P26" s="20">
        <f>ABS(K26)</f>
        <v>0</v>
      </c>
      <c r="Q26" s="20">
        <f t="shared" si="7"/>
        <v>1.4985160927112553</v>
      </c>
    </row>
    <row r="27" spans="1:17" x14ac:dyDescent="0.35">
      <c r="D27" s="20">
        <f t="shared" si="8"/>
        <v>26</v>
      </c>
      <c r="E27" s="23">
        <f t="shared" si="9"/>
        <v>-0.48484848484848614</v>
      </c>
      <c r="F27" s="23">
        <f t="shared" si="10"/>
        <v>-0.15120726583935637</v>
      </c>
      <c r="G27" s="20">
        <f t="shared" si="2"/>
        <v>0</v>
      </c>
      <c r="H27" s="20">
        <f t="shared" si="6"/>
        <v>1</v>
      </c>
      <c r="I27" s="20">
        <f t="shared" si="3"/>
        <v>-0.15120726583935637</v>
      </c>
      <c r="J27" s="20">
        <f t="shared" si="6"/>
        <v>0</v>
      </c>
      <c r="K27" s="20">
        <f t="shared" si="4"/>
        <v>0</v>
      </c>
      <c r="L27" s="20">
        <f t="shared" si="6"/>
        <v>0</v>
      </c>
      <c r="M27" s="20">
        <f t="shared" si="5"/>
        <v>0</v>
      </c>
      <c r="N27" s="20">
        <f>ABS(G27)</f>
        <v>0</v>
      </c>
      <c r="O27" s="20">
        <f>ABS(I27)</f>
        <v>0.15120726583935637</v>
      </c>
      <c r="P27" s="20">
        <f>ABS(K27)</f>
        <v>0</v>
      </c>
      <c r="Q27" s="20">
        <f t="shared" si="7"/>
        <v>0</v>
      </c>
    </row>
    <row r="28" spans="1:17" x14ac:dyDescent="0.35">
      <c r="D28" s="20">
        <f t="shared" si="8"/>
        <v>27</v>
      </c>
      <c r="E28" s="23">
        <f t="shared" si="9"/>
        <v>-0.42424242424242553</v>
      </c>
      <c r="F28" s="23">
        <f t="shared" si="10"/>
        <v>1.1059574671632308</v>
      </c>
      <c r="G28" s="20">
        <f t="shared" si="2"/>
        <v>0</v>
      </c>
      <c r="H28" s="20">
        <f t="shared" si="6"/>
        <v>0</v>
      </c>
      <c r="I28" s="20">
        <f t="shared" si="3"/>
        <v>0</v>
      </c>
      <c r="J28" s="20">
        <f t="shared" si="6"/>
        <v>1</v>
      </c>
      <c r="K28" s="20">
        <f t="shared" si="4"/>
        <v>1.1059574671632308</v>
      </c>
      <c r="L28" s="20">
        <f t="shared" si="6"/>
        <v>0</v>
      </c>
      <c r="M28" s="20">
        <f t="shared" si="5"/>
        <v>0</v>
      </c>
      <c r="N28" s="20">
        <f>ABS(G28)</f>
        <v>0</v>
      </c>
      <c r="O28" s="20">
        <f>ABS(I28)</f>
        <v>0</v>
      </c>
      <c r="P28" s="20">
        <f>ABS(K28)</f>
        <v>1.1059574671632308</v>
      </c>
      <c r="Q28" s="20">
        <f t="shared" si="7"/>
        <v>0</v>
      </c>
    </row>
    <row r="29" spans="1:17" x14ac:dyDescent="0.35">
      <c r="D29" s="20">
        <f t="shared" si="8"/>
        <v>28</v>
      </c>
      <c r="E29" s="23">
        <f t="shared" si="9"/>
        <v>-0.36363636363636492</v>
      </c>
      <c r="F29" s="23">
        <f t="shared" si="10"/>
        <v>2.2315982367573963</v>
      </c>
      <c r="G29" s="20">
        <f t="shared" si="2"/>
        <v>0</v>
      </c>
      <c r="H29" s="20">
        <f t="shared" si="6"/>
        <v>0</v>
      </c>
      <c r="I29" s="20">
        <f t="shared" si="3"/>
        <v>0</v>
      </c>
      <c r="J29" s="20">
        <f t="shared" si="6"/>
        <v>0</v>
      </c>
      <c r="K29" s="20">
        <f t="shared" si="4"/>
        <v>0</v>
      </c>
      <c r="L29" s="20">
        <f t="shared" si="6"/>
        <v>1</v>
      </c>
      <c r="M29" s="20">
        <f t="shared" si="5"/>
        <v>2.2315982367573963</v>
      </c>
      <c r="N29" s="20">
        <f>ABS(G29)</f>
        <v>0</v>
      </c>
      <c r="O29" s="20">
        <f>ABS(I29)</f>
        <v>0</v>
      </c>
      <c r="P29" s="20">
        <f>ABS(K29)</f>
        <v>0</v>
      </c>
      <c r="Q29" s="20">
        <f t="shared" si="7"/>
        <v>2.2315982367573963</v>
      </c>
    </row>
    <row r="30" spans="1:17" x14ac:dyDescent="0.35">
      <c r="D30" s="20">
        <f t="shared" si="8"/>
        <v>29</v>
      </c>
      <c r="E30" s="23">
        <f t="shared" si="9"/>
        <v>-0.30303030303030432</v>
      </c>
      <c r="F30" s="23">
        <f t="shared" si="10"/>
        <v>3.1995418846552792</v>
      </c>
      <c r="G30" s="20">
        <f t="shared" si="2"/>
        <v>0</v>
      </c>
      <c r="H30" s="20">
        <f t="shared" si="6"/>
        <v>1</v>
      </c>
      <c r="I30" s="20">
        <f t="shared" si="3"/>
        <v>3.1995418846552792</v>
      </c>
      <c r="J30" s="20">
        <f t="shared" si="6"/>
        <v>0</v>
      </c>
      <c r="K30" s="20">
        <f t="shared" si="4"/>
        <v>0</v>
      </c>
      <c r="L30" s="20">
        <f t="shared" si="6"/>
        <v>0</v>
      </c>
      <c r="M30" s="20">
        <f t="shared" si="5"/>
        <v>0</v>
      </c>
      <c r="N30" s="20">
        <f>ABS(G30)</f>
        <v>0</v>
      </c>
      <c r="O30" s="20">
        <f>ABS(I30)</f>
        <v>3.1995418846552792</v>
      </c>
      <c r="P30" s="20">
        <f>ABS(K30)</f>
        <v>0</v>
      </c>
      <c r="Q30" s="20">
        <f t="shared" si="7"/>
        <v>0</v>
      </c>
    </row>
    <row r="31" spans="1:17" x14ac:dyDescent="0.35">
      <c r="D31" s="20">
        <f t="shared" si="8"/>
        <v>30</v>
      </c>
      <c r="E31" s="23">
        <f t="shared" si="9"/>
        <v>-0.24242424242424371</v>
      </c>
      <c r="F31" s="23">
        <f t="shared" si="10"/>
        <v>3.9955260722891062</v>
      </c>
      <c r="G31" s="20">
        <f t="shared" si="2"/>
        <v>0</v>
      </c>
      <c r="H31" s="20">
        <f t="shared" si="6"/>
        <v>0</v>
      </c>
      <c r="I31" s="20">
        <f t="shared" si="3"/>
        <v>0</v>
      </c>
      <c r="J31" s="20">
        <f t="shared" si="6"/>
        <v>1</v>
      </c>
      <c r="K31" s="20">
        <f t="shared" si="4"/>
        <v>3.9955260722891062</v>
      </c>
      <c r="L31" s="20">
        <f t="shared" si="6"/>
        <v>0</v>
      </c>
      <c r="M31" s="20">
        <f t="shared" si="5"/>
        <v>0</v>
      </c>
      <c r="N31" s="20">
        <f>ABS(G31)</f>
        <v>0</v>
      </c>
      <c r="O31" s="20">
        <f>ABS(I31)</f>
        <v>0</v>
      </c>
      <c r="P31" s="20">
        <f>ABS(K31)</f>
        <v>3.9955260722891062</v>
      </c>
      <c r="Q31" s="20">
        <f t="shared" si="7"/>
        <v>0</v>
      </c>
    </row>
    <row r="32" spans="1:17" x14ac:dyDescent="0.35">
      <c r="D32" s="20">
        <f t="shared" si="8"/>
        <v>31</v>
      </c>
      <c r="E32" s="23">
        <f t="shared" si="9"/>
        <v>-0.1818181818181831</v>
      </c>
      <c r="F32" s="23">
        <f t="shared" si="10"/>
        <v>4.6136834518538512</v>
      </c>
      <c r="G32" s="20">
        <f t="shared" si="2"/>
        <v>0</v>
      </c>
      <c r="H32" s="20">
        <f t="shared" si="6"/>
        <v>0</v>
      </c>
      <c r="I32" s="20">
        <f t="shared" si="3"/>
        <v>0</v>
      </c>
      <c r="J32" s="20">
        <f t="shared" si="6"/>
        <v>0</v>
      </c>
      <c r="K32" s="20">
        <f t="shared" si="4"/>
        <v>0</v>
      </c>
      <c r="L32" s="20">
        <f t="shared" si="6"/>
        <v>1</v>
      </c>
      <c r="M32" s="20">
        <f t="shared" si="5"/>
        <v>4.6136834518538512</v>
      </c>
      <c r="N32" s="20">
        <f>ABS(G32)</f>
        <v>0</v>
      </c>
      <c r="O32" s="20">
        <f>ABS(I32)</f>
        <v>0</v>
      </c>
      <c r="P32" s="20">
        <f>ABS(K32)</f>
        <v>0</v>
      </c>
      <c r="Q32" s="20">
        <f t="shared" si="7"/>
        <v>4.6136834518538512</v>
      </c>
    </row>
    <row r="33" spans="4:17" x14ac:dyDescent="0.35">
      <c r="D33" s="20">
        <f t="shared" si="8"/>
        <v>32</v>
      </c>
      <c r="E33" s="23">
        <f t="shared" si="9"/>
        <v>-0.12121212121212249</v>
      </c>
      <c r="F33" s="23">
        <f t="shared" si="10"/>
        <v>5.0532458346072247</v>
      </c>
      <c r="G33" s="20">
        <f t="shared" si="2"/>
        <v>0</v>
      </c>
      <c r="H33" s="20">
        <f t="shared" si="6"/>
        <v>1</v>
      </c>
      <c r="I33" s="20">
        <f t="shared" si="3"/>
        <v>5.0532458346072247</v>
      </c>
      <c r="J33" s="20">
        <f t="shared" si="6"/>
        <v>0</v>
      </c>
      <c r="K33" s="20">
        <f t="shared" si="4"/>
        <v>0</v>
      </c>
      <c r="L33" s="20">
        <f t="shared" si="6"/>
        <v>0</v>
      </c>
      <c r="M33" s="20">
        <f t="shared" si="5"/>
        <v>0</v>
      </c>
      <c r="N33" s="20">
        <f>ABS(G33)</f>
        <v>0</v>
      </c>
      <c r="O33" s="20">
        <f>ABS(I33)</f>
        <v>5.0532458346072247</v>
      </c>
      <c r="P33" s="20">
        <f>ABS(K33)</f>
        <v>0</v>
      </c>
      <c r="Q33" s="20">
        <f t="shared" si="7"/>
        <v>0</v>
      </c>
    </row>
    <row r="34" spans="4:17" x14ac:dyDescent="0.35">
      <c r="D34" s="20">
        <f t="shared" si="8"/>
        <v>33</v>
      </c>
      <c r="E34" s="23">
        <f t="shared" si="9"/>
        <v>-6.0606060606061884E-2</v>
      </c>
      <c r="F34" s="23">
        <f t="shared" si="10"/>
        <v>5.3157636334204899</v>
      </c>
      <c r="G34" s="20">
        <f t="shared" si="2"/>
        <v>0</v>
      </c>
      <c r="H34" s="20">
        <f t="shared" si="6"/>
        <v>0</v>
      </c>
      <c r="I34" s="20">
        <f t="shared" si="3"/>
        <v>0</v>
      </c>
      <c r="J34" s="20">
        <f t="shared" si="6"/>
        <v>1</v>
      </c>
      <c r="K34" s="20">
        <f t="shared" si="4"/>
        <v>5.3157636334204899</v>
      </c>
      <c r="L34" s="20">
        <f t="shared" si="6"/>
        <v>0</v>
      </c>
      <c r="M34" s="20">
        <f t="shared" si="5"/>
        <v>0</v>
      </c>
      <c r="N34" s="20">
        <f>ABS(G34)</f>
        <v>0</v>
      </c>
      <c r="O34" s="20">
        <f>ABS(I34)</f>
        <v>0</v>
      </c>
      <c r="P34" s="20">
        <f>ABS(K34)</f>
        <v>5.3157636334204899</v>
      </c>
      <c r="Q34" s="20">
        <f t="shared" si="7"/>
        <v>0</v>
      </c>
    </row>
    <row r="35" spans="4:17" x14ac:dyDescent="0.35">
      <c r="D35" s="20">
        <f t="shared" si="8"/>
        <v>34</v>
      </c>
      <c r="E35" s="23">
        <f t="shared" si="9"/>
        <v>-1.27675647831893E-15</v>
      </c>
      <c r="F35" s="23">
        <f t="shared" si="10"/>
        <v>5.4030230586813977</v>
      </c>
      <c r="G35" s="20">
        <f t="shared" si="2"/>
        <v>0</v>
      </c>
      <c r="H35" s="20">
        <f t="shared" si="6"/>
        <v>0</v>
      </c>
      <c r="I35" s="20">
        <f t="shared" si="3"/>
        <v>0</v>
      </c>
      <c r="J35" s="20">
        <f t="shared" si="6"/>
        <v>0</v>
      </c>
      <c r="K35" s="20">
        <f t="shared" si="4"/>
        <v>0</v>
      </c>
      <c r="L35" s="20">
        <f t="shared" si="6"/>
        <v>1</v>
      </c>
      <c r="M35" s="20">
        <f t="shared" si="5"/>
        <v>5.4030230586813977</v>
      </c>
      <c r="N35" s="20">
        <f>ABS(G35)</f>
        <v>0</v>
      </c>
      <c r="O35" s="20">
        <f>ABS(I35)</f>
        <v>0</v>
      </c>
      <c r="P35" s="20">
        <f>ABS(K35)</f>
        <v>0</v>
      </c>
      <c r="Q35" s="20">
        <f t="shared" si="7"/>
        <v>5.4030230586813977</v>
      </c>
    </row>
    <row r="36" spans="4:17" x14ac:dyDescent="0.35">
      <c r="D36" s="20">
        <f t="shared" si="8"/>
        <v>35</v>
      </c>
      <c r="E36" s="23">
        <f t="shared" si="9"/>
        <v>6.0606060606059331E-2</v>
      </c>
      <c r="F36" s="23">
        <f t="shared" si="10"/>
        <v>5.3157636334204987</v>
      </c>
      <c r="G36" s="20">
        <f t="shared" si="2"/>
        <v>0</v>
      </c>
      <c r="H36" s="20">
        <f t="shared" si="6"/>
        <v>1</v>
      </c>
      <c r="I36" s="20">
        <f t="shared" si="3"/>
        <v>5.3157636334204987</v>
      </c>
      <c r="J36" s="20">
        <f t="shared" si="6"/>
        <v>0</v>
      </c>
      <c r="K36" s="20">
        <f t="shared" si="4"/>
        <v>0</v>
      </c>
      <c r="L36" s="20">
        <f t="shared" si="6"/>
        <v>0</v>
      </c>
      <c r="M36" s="20">
        <f t="shared" si="5"/>
        <v>0</v>
      </c>
      <c r="N36" s="20">
        <f>ABS(G36)</f>
        <v>0</v>
      </c>
      <c r="O36" s="20">
        <f>ABS(I36)</f>
        <v>5.3157636334204987</v>
      </c>
      <c r="P36" s="20">
        <f>ABS(K36)</f>
        <v>0</v>
      </c>
      <c r="Q36" s="20">
        <f t="shared" si="7"/>
        <v>0</v>
      </c>
    </row>
    <row r="37" spans="4:17" x14ac:dyDescent="0.35">
      <c r="D37" s="20">
        <f t="shared" si="8"/>
        <v>36</v>
      </c>
      <c r="E37" s="23">
        <f t="shared" si="9"/>
        <v>0.12121212121211994</v>
      </c>
      <c r="F37" s="23">
        <f t="shared" si="10"/>
        <v>5.0532458346072398</v>
      </c>
      <c r="G37" s="20">
        <f t="shared" si="2"/>
        <v>0</v>
      </c>
      <c r="H37" s="20">
        <f t="shared" si="6"/>
        <v>0</v>
      </c>
      <c r="I37" s="20">
        <f t="shared" si="3"/>
        <v>0</v>
      </c>
      <c r="J37" s="20">
        <f t="shared" si="6"/>
        <v>1</v>
      </c>
      <c r="K37" s="20">
        <f t="shared" si="4"/>
        <v>5.0532458346072398</v>
      </c>
      <c r="L37" s="20">
        <f t="shared" si="6"/>
        <v>0</v>
      </c>
      <c r="M37" s="20">
        <f t="shared" si="5"/>
        <v>0</v>
      </c>
      <c r="N37" s="20">
        <f>ABS(G37)</f>
        <v>0</v>
      </c>
      <c r="O37" s="20">
        <f>ABS(I37)</f>
        <v>0</v>
      </c>
      <c r="P37" s="20">
        <f>ABS(K37)</f>
        <v>5.0532458346072398</v>
      </c>
      <c r="Q37" s="20">
        <f t="shared" si="7"/>
        <v>0</v>
      </c>
    </row>
    <row r="38" spans="4:17" x14ac:dyDescent="0.35">
      <c r="D38" s="20">
        <f t="shared" si="8"/>
        <v>37</v>
      </c>
      <c r="E38" s="23">
        <f t="shared" si="9"/>
        <v>0.18181818181818055</v>
      </c>
      <c r="F38" s="23">
        <f t="shared" si="10"/>
        <v>4.6136834518538725</v>
      </c>
      <c r="G38" s="20">
        <f t="shared" si="2"/>
        <v>0</v>
      </c>
      <c r="H38" s="20">
        <f t="shared" si="6"/>
        <v>0</v>
      </c>
      <c r="I38" s="20">
        <f t="shared" si="3"/>
        <v>0</v>
      </c>
      <c r="J38" s="20">
        <f t="shared" si="6"/>
        <v>0</v>
      </c>
      <c r="K38" s="20">
        <f t="shared" si="4"/>
        <v>0</v>
      </c>
      <c r="L38" s="20">
        <f t="shared" si="6"/>
        <v>1</v>
      </c>
      <c r="M38" s="20">
        <f t="shared" si="5"/>
        <v>4.6136834518538725</v>
      </c>
      <c r="N38" s="20">
        <f>ABS(G38)</f>
        <v>0</v>
      </c>
      <c r="O38" s="20">
        <f>ABS(I38)</f>
        <v>0</v>
      </c>
      <c r="P38" s="20">
        <f>ABS(K38)</f>
        <v>0</v>
      </c>
      <c r="Q38" s="20">
        <f t="shared" si="7"/>
        <v>4.6136834518538725</v>
      </c>
    </row>
    <row r="39" spans="4:17" x14ac:dyDescent="0.35">
      <c r="D39" s="20">
        <f t="shared" si="8"/>
        <v>38</v>
      </c>
      <c r="E39" s="23">
        <f t="shared" si="9"/>
        <v>0.24242424242424115</v>
      </c>
      <c r="F39" s="23">
        <f t="shared" si="10"/>
        <v>3.9955260722891364</v>
      </c>
      <c r="G39" s="20">
        <f t="shared" si="2"/>
        <v>0</v>
      </c>
      <c r="H39" s="20">
        <f t="shared" si="6"/>
        <v>1</v>
      </c>
      <c r="I39" s="20">
        <f t="shared" si="3"/>
        <v>3.9955260722891364</v>
      </c>
      <c r="J39" s="20">
        <f t="shared" si="6"/>
        <v>0</v>
      </c>
      <c r="K39" s="20">
        <f t="shared" si="4"/>
        <v>0</v>
      </c>
      <c r="L39" s="20">
        <f t="shared" si="6"/>
        <v>0</v>
      </c>
      <c r="M39" s="20">
        <f t="shared" si="5"/>
        <v>0</v>
      </c>
      <c r="N39" s="20">
        <f>ABS(G39)</f>
        <v>0</v>
      </c>
      <c r="O39" s="20">
        <f>ABS(I39)</f>
        <v>3.9955260722891364</v>
      </c>
      <c r="P39" s="20">
        <f>ABS(K39)</f>
        <v>0</v>
      </c>
      <c r="Q39" s="20">
        <f t="shared" si="7"/>
        <v>0</v>
      </c>
    </row>
    <row r="40" spans="4:17" x14ac:dyDescent="0.35">
      <c r="D40" s="20">
        <f t="shared" si="8"/>
        <v>39</v>
      </c>
      <c r="E40" s="23">
        <f t="shared" si="9"/>
        <v>0.30303030303030176</v>
      </c>
      <c r="F40" s="23">
        <f t="shared" si="10"/>
        <v>3.1995418846553174</v>
      </c>
      <c r="G40" s="20">
        <f t="shared" si="2"/>
        <v>0</v>
      </c>
      <c r="H40" s="20">
        <f t="shared" si="6"/>
        <v>0</v>
      </c>
      <c r="I40" s="20">
        <f t="shared" si="3"/>
        <v>0</v>
      </c>
      <c r="J40" s="20">
        <f t="shared" si="6"/>
        <v>1</v>
      </c>
      <c r="K40" s="20">
        <f t="shared" si="4"/>
        <v>3.1995418846553174</v>
      </c>
      <c r="L40" s="20">
        <f t="shared" si="6"/>
        <v>0</v>
      </c>
      <c r="M40" s="20">
        <f t="shared" si="5"/>
        <v>0</v>
      </c>
      <c r="N40" s="20">
        <f>ABS(G40)</f>
        <v>0</v>
      </c>
      <c r="O40" s="20">
        <f>ABS(I40)</f>
        <v>0</v>
      </c>
      <c r="P40" s="20">
        <f>ABS(K40)</f>
        <v>3.1995418846553174</v>
      </c>
      <c r="Q40" s="20">
        <f t="shared" si="7"/>
        <v>0</v>
      </c>
    </row>
    <row r="41" spans="4:17" x14ac:dyDescent="0.35">
      <c r="D41" s="20">
        <f t="shared" si="8"/>
        <v>40</v>
      </c>
      <c r="E41" s="23">
        <f t="shared" si="9"/>
        <v>0.36363636363636237</v>
      </c>
      <c r="F41" s="23">
        <f t="shared" si="10"/>
        <v>2.2315982367574403</v>
      </c>
      <c r="G41" s="20">
        <f t="shared" si="2"/>
        <v>0</v>
      </c>
      <c r="H41" s="20">
        <f t="shared" si="6"/>
        <v>0</v>
      </c>
      <c r="I41" s="20">
        <f t="shared" si="3"/>
        <v>0</v>
      </c>
      <c r="J41" s="20">
        <f t="shared" si="6"/>
        <v>0</v>
      </c>
      <c r="K41" s="20">
        <f t="shared" si="4"/>
        <v>0</v>
      </c>
      <c r="L41" s="20">
        <f t="shared" si="6"/>
        <v>1</v>
      </c>
      <c r="M41" s="20">
        <f t="shared" si="5"/>
        <v>2.2315982367574403</v>
      </c>
      <c r="N41" s="20">
        <f>ABS(G41)</f>
        <v>0</v>
      </c>
      <c r="O41" s="20">
        <f>ABS(I41)</f>
        <v>0</v>
      </c>
      <c r="P41" s="20">
        <f>ABS(K41)</f>
        <v>0</v>
      </c>
      <c r="Q41" s="20">
        <f t="shared" si="7"/>
        <v>2.2315982367574403</v>
      </c>
    </row>
    <row r="42" spans="4:17" x14ac:dyDescent="0.35">
      <c r="D42" s="20">
        <f t="shared" si="8"/>
        <v>41</v>
      </c>
      <c r="E42" s="23">
        <f t="shared" si="9"/>
        <v>0.42424242424242298</v>
      </c>
      <c r="F42" s="23">
        <f t="shared" si="10"/>
        <v>1.1059574671632806</v>
      </c>
      <c r="G42" s="20">
        <f t="shared" si="2"/>
        <v>0</v>
      </c>
      <c r="H42" s="20">
        <f t="shared" si="6"/>
        <v>1</v>
      </c>
      <c r="I42" s="20">
        <f t="shared" si="3"/>
        <v>1.1059574671632806</v>
      </c>
      <c r="J42" s="20">
        <f t="shared" si="6"/>
        <v>0</v>
      </c>
      <c r="K42" s="20">
        <f t="shared" si="4"/>
        <v>0</v>
      </c>
      <c r="L42" s="20">
        <f t="shared" si="6"/>
        <v>0</v>
      </c>
      <c r="M42" s="20">
        <f t="shared" si="5"/>
        <v>0</v>
      </c>
      <c r="N42" s="20">
        <f>ABS(G42)</f>
        <v>0</v>
      </c>
      <c r="O42" s="20">
        <f>ABS(I42)</f>
        <v>1.1059574671632806</v>
      </c>
      <c r="P42" s="20">
        <f>ABS(K42)</f>
        <v>0</v>
      </c>
      <c r="Q42" s="20">
        <f t="shared" si="7"/>
        <v>0</v>
      </c>
    </row>
    <row r="43" spans="4:17" x14ac:dyDescent="0.35">
      <c r="D43" s="20">
        <f t="shared" si="8"/>
        <v>42</v>
      </c>
      <c r="E43" s="23">
        <f t="shared" si="9"/>
        <v>0.48484848484848359</v>
      </c>
      <c r="F43" s="23">
        <f t="shared" si="10"/>
        <v>-0.15120726583930288</v>
      </c>
      <c r="G43" s="20">
        <f t="shared" si="2"/>
        <v>0</v>
      </c>
      <c r="H43" s="20">
        <f t="shared" si="6"/>
        <v>0</v>
      </c>
      <c r="I43" s="20">
        <f t="shared" si="3"/>
        <v>0</v>
      </c>
      <c r="J43" s="20">
        <f t="shared" si="6"/>
        <v>1</v>
      </c>
      <c r="K43" s="20">
        <f t="shared" si="4"/>
        <v>-0.15120726583930288</v>
      </c>
      <c r="L43" s="20">
        <f t="shared" si="6"/>
        <v>0</v>
      </c>
      <c r="M43" s="20">
        <f t="shared" si="5"/>
        <v>0</v>
      </c>
      <c r="N43" s="20">
        <f>ABS(G43)</f>
        <v>0</v>
      </c>
      <c r="O43" s="20">
        <f>ABS(I43)</f>
        <v>0</v>
      </c>
      <c r="P43" s="20">
        <f>ABS(K43)</f>
        <v>0.15120726583930288</v>
      </c>
      <c r="Q43" s="20">
        <f t="shared" si="7"/>
        <v>0</v>
      </c>
    </row>
    <row r="44" spans="4:17" x14ac:dyDescent="0.35">
      <c r="D44" s="20">
        <f t="shared" si="8"/>
        <v>43</v>
      </c>
      <c r="E44" s="23">
        <f t="shared" si="9"/>
        <v>0.54545454545454419</v>
      </c>
      <c r="F44" s="23">
        <f t="shared" si="10"/>
        <v>-1.4985160927111982</v>
      </c>
      <c r="G44" s="20">
        <f t="shared" si="2"/>
        <v>0</v>
      </c>
      <c r="H44" s="20">
        <f t="shared" si="6"/>
        <v>0</v>
      </c>
      <c r="I44" s="20">
        <f t="shared" si="3"/>
        <v>0</v>
      </c>
      <c r="J44" s="20">
        <f t="shared" si="6"/>
        <v>0</v>
      </c>
      <c r="K44" s="20">
        <f t="shared" si="4"/>
        <v>0</v>
      </c>
      <c r="L44" s="20">
        <f t="shared" si="6"/>
        <v>1</v>
      </c>
      <c r="M44" s="20">
        <f t="shared" si="5"/>
        <v>-1.4985160927111982</v>
      </c>
      <c r="N44" s="20">
        <f>ABS(G44)</f>
        <v>0</v>
      </c>
      <c r="O44" s="20">
        <f>ABS(I44)</f>
        <v>0</v>
      </c>
      <c r="P44" s="20">
        <f>ABS(K44)</f>
        <v>0</v>
      </c>
      <c r="Q44" s="20">
        <f t="shared" si="7"/>
        <v>1.4985160927111982</v>
      </c>
    </row>
    <row r="45" spans="4:17" x14ac:dyDescent="0.35">
      <c r="D45" s="20">
        <f t="shared" si="8"/>
        <v>44</v>
      </c>
      <c r="E45" s="23">
        <f t="shared" si="9"/>
        <v>0.60606060606060486</v>
      </c>
      <c r="F45" s="23">
        <f t="shared" si="10"/>
        <v>-2.8769114217154454</v>
      </c>
      <c r="G45" s="20">
        <f t="shared" si="2"/>
        <v>0</v>
      </c>
      <c r="H45" s="20">
        <f t="shared" si="6"/>
        <v>1</v>
      </c>
      <c r="I45" s="20">
        <f t="shared" si="3"/>
        <v>-2.8769114217154454</v>
      </c>
      <c r="J45" s="20">
        <f t="shared" si="6"/>
        <v>0</v>
      </c>
      <c r="K45" s="20">
        <f t="shared" si="4"/>
        <v>0</v>
      </c>
      <c r="L45" s="20">
        <f t="shared" si="6"/>
        <v>0</v>
      </c>
      <c r="M45" s="20">
        <f t="shared" si="5"/>
        <v>0</v>
      </c>
      <c r="N45" s="20">
        <f>ABS(G45)</f>
        <v>0</v>
      </c>
      <c r="O45" s="20">
        <f>ABS(I45)</f>
        <v>2.8769114217154454</v>
      </c>
      <c r="P45" s="20">
        <f>ABS(K45)</f>
        <v>0</v>
      </c>
      <c r="Q45" s="20">
        <f t="shared" si="7"/>
        <v>0</v>
      </c>
    </row>
    <row r="46" spans="4:17" x14ac:dyDescent="0.35">
      <c r="D46" s="20">
        <f t="shared" si="8"/>
        <v>45</v>
      </c>
      <c r="E46" s="23">
        <f t="shared" si="9"/>
        <v>0.66666666666666541</v>
      </c>
      <c r="F46" s="23">
        <f t="shared" si="10"/>
        <v>-4.2087760315917748</v>
      </c>
      <c r="G46" s="20">
        <f t="shared" si="2"/>
        <v>0</v>
      </c>
      <c r="H46" s="20">
        <f t="shared" si="6"/>
        <v>0</v>
      </c>
      <c r="I46" s="20">
        <f t="shared" si="3"/>
        <v>0</v>
      </c>
      <c r="J46" s="20">
        <f t="shared" si="6"/>
        <v>1</v>
      </c>
      <c r="K46" s="20">
        <f t="shared" si="4"/>
        <v>-4.2087760315917748</v>
      </c>
      <c r="L46" s="20">
        <f t="shared" si="6"/>
        <v>0</v>
      </c>
      <c r="M46" s="20">
        <f t="shared" si="5"/>
        <v>0</v>
      </c>
      <c r="N46" s="20">
        <f>ABS(G46)</f>
        <v>0</v>
      </c>
      <c r="O46" s="20">
        <f>ABS(I46)</f>
        <v>0</v>
      </c>
      <c r="P46" s="20">
        <f>ABS(K46)</f>
        <v>4.2087760315917748</v>
      </c>
      <c r="Q46" s="20">
        <f t="shared" si="7"/>
        <v>0</v>
      </c>
    </row>
    <row r="47" spans="4:17" x14ac:dyDescent="0.35">
      <c r="D47" s="20">
        <f t="shared" si="8"/>
        <v>46</v>
      </c>
      <c r="E47" s="23">
        <f t="shared" si="9"/>
        <v>0.72727272727272596</v>
      </c>
      <c r="F47" s="23">
        <f t="shared" si="10"/>
        <v>-5.3995140864851239</v>
      </c>
      <c r="G47" s="20">
        <f t="shared" si="2"/>
        <v>0</v>
      </c>
      <c r="H47" s="20">
        <f t="shared" si="6"/>
        <v>0</v>
      </c>
      <c r="I47" s="20">
        <f t="shared" si="3"/>
        <v>0</v>
      </c>
      <c r="J47" s="20">
        <f t="shared" si="6"/>
        <v>0</v>
      </c>
      <c r="K47" s="20">
        <f t="shared" si="4"/>
        <v>0</v>
      </c>
      <c r="L47" s="20">
        <f t="shared" si="6"/>
        <v>1</v>
      </c>
      <c r="M47" s="20">
        <f t="shared" si="5"/>
        <v>-5.3995140864851239</v>
      </c>
      <c r="N47" s="20">
        <f>ABS(G47)</f>
        <v>0</v>
      </c>
      <c r="O47" s="20">
        <f>ABS(I47)</f>
        <v>0</v>
      </c>
      <c r="P47" s="20">
        <f>ABS(K47)</f>
        <v>0</v>
      </c>
      <c r="Q47" s="20">
        <f t="shared" si="7"/>
        <v>5.3995140864851239</v>
      </c>
    </row>
    <row r="48" spans="4:17" x14ac:dyDescent="0.35">
      <c r="D48" s="20">
        <f t="shared" si="8"/>
        <v>47</v>
      </c>
      <c r="E48" s="23">
        <f t="shared" si="9"/>
        <v>0.78787878787878651</v>
      </c>
      <c r="F48" s="23">
        <f t="shared" si="10"/>
        <v>-6.3424663574638664</v>
      </c>
      <c r="G48" s="20">
        <f t="shared" si="2"/>
        <v>0</v>
      </c>
      <c r="H48" s="20">
        <f t="shared" si="6"/>
        <v>1</v>
      </c>
      <c r="I48" s="20">
        <f t="shared" si="3"/>
        <v>-6.3424663574638664</v>
      </c>
      <c r="J48" s="20">
        <f t="shared" si="6"/>
        <v>0</v>
      </c>
      <c r="K48" s="20">
        <f t="shared" si="4"/>
        <v>0</v>
      </c>
      <c r="L48" s="20">
        <f t="shared" si="6"/>
        <v>0</v>
      </c>
      <c r="M48" s="20">
        <f t="shared" si="5"/>
        <v>0</v>
      </c>
      <c r="N48" s="20">
        <f>ABS(G48)</f>
        <v>0</v>
      </c>
      <c r="O48" s="20">
        <f>ABS(I48)</f>
        <v>6.3424663574638664</v>
      </c>
      <c r="P48" s="20">
        <f>ABS(K48)</f>
        <v>0</v>
      </c>
      <c r="Q48" s="20">
        <f t="shared" si="7"/>
        <v>0</v>
      </c>
    </row>
    <row r="49" spans="4:17" x14ac:dyDescent="0.35">
      <c r="D49" s="20">
        <f t="shared" si="8"/>
        <v>48</v>
      </c>
      <c r="E49" s="23">
        <f t="shared" si="9"/>
        <v>0.84848484848484707</v>
      </c>
      <c r="F49" s="23">
        <f t="shared" si="10"/>
        <v>-6.9278400678876038</v>
      </c>
      <c r="G49" s="20">
        <f t="shared" si="2"/>
        <v>0</v>
      </c>
      <c r="H49" s="20">
        <f t="shared" si="6"/>
        <v>0</v>
      </c>
      <c r="I49" s="20">
        <f t="shared" si="3"/>
        <v>0</v>
      </c>
      <c r="J49" s="20">
        <f t="shared" si="6"/>
        <v>1</v>
      </c>
      <c r="K49" s="20">
        <f t="shared" si="4"/>
        <v>-6.9278400678876038</v>
      </c>
      <c r="L49" s="20">
        <f t="shared" si="6"/>
        <v>0</v>
      </c>
      <c r="M49" s="20">
        <f t="shared" si="5"/>
        <v>0</v>
      </c>
      <c r="N49" s="20">
        <f>ABS(G49)</f>
        <v>0</v>
      </c>
      <c r="O49" s="20">
        <f>ABS(I49)</f>
        <v>0</v>
      </c>
      <c r="P49" s="20">
        <f>ABS(K49)</f>
        <v>6.9278400678876038</v>
      </c>
      <c r="Q49" s="20">
        <f t="shared" si="7"/>
        <v>0</v>
      </c>
    </row>
    <row r="50" spans="4:17" x14ac:dyDescent="0.35">
      <c r="D50" s="20">
        <f t="shared" si="8"/>
        <v>49</v>
      </c>
      <c r="E50" s="23">
        <f t="shared" si="9"/>
        <v>0.90909090909090762</v>
      </c>
      <c r="F50" s="23">
        <f t="shared" si="10"/>
        <v>-7.0558777188941537</v>
      </c>
      <c r="G50" s="20">
        <f t="shared" si="2"/>
        <v>0</v>
      </c>
      <c r="H50" s="20">
        <f t="shared" si="6"/>
        <v>0</v>
      </c>
      <c r="I50" s="20">
        <f t="shared" si="3"/>
        <v>0</v>
      </c>
      <c r="J50" s="20">
        <f t="shared" si="6"/>
        <v>0</v>
      </c>
      <c r="K50" s="20">
        <f t="shared" si="4"/>
        <v>0</v>
      </c>
      <c r="L50" s="20">
        <f t="shared" si="6"/>
        <v>1</v>
      </c>
      <c r="M50" s="20">
        <f t="shared" si="5"/>
        <v>-7.0558777188941537</v>
      </c>
      <c r="N50" s="20">
        <f>ABS(G50)</f>
        <v>0</v>
      </c>
      <c r="O50" s="20">
        <f>ABS(I50)</f>
        <v>0</v>
      </c>
      <c r="P50" s="20">
        <f>ABS(K50)</f>
        <v>0</v>
      </c>
      <c r="Q50" s="20">
        <f t="shared" si="7"/>
        <v>7.0558777188941537</v>
      </c>
    </row>
    <row r="51" spans="4:17" x14ac:dyDescent="0.35">
      <c r="D51" s="20">
        <f t="shared" si="8"/>
        <v>50</v>
      </c>
      <c r="E51" s="23">
        <f t="shared" si="9"/>
        <v>0.96969696969696817</v>
      </c>
      <c r="F51" s="23">
        <f t="shared" si="10"/>
        <v>-6.6537144083031068</v>
      </c>
      <c r="G51" s="20">
        <f t="shared" si="2"/>
        <v>0</v>
      </c>
      <c r="H51" s="20">
        <f t="shared" si="6"/>
        <v>1</v>
      </c>
      <c r="I51" s="20">
        <f t="shared" si="3"/>
        <v>-6.6537144083031068</v>
      </c>
      <c r="J51" s="20">
        <f t="shared" si="6"/>
        <v>0</v>
      </c>
      <c r="K51" s="20">
        <f t="shared" si="4"/>
        <v>0</v>
      </c>
      <c r="L51" s="20">
        <f t="shared" si="6"/>
        <v>0</v>
      </c>
      <c r="M51" s="20">
        <f t="shared" si="5"/>
        <v>0</v>
      </c>
      <c r="N51" s="20">
        <f>ABS(G51)</f>
        <v>0</v>
      </c>
      <c r="O51" s="20">
        <f>ABS(I51)</f>
        <v>6.6537144083031068</v>
      </c>
      <c r="P51" s="20">
        <f>ABS(K51)</f>
        <v>0</v>
      </c>
      <c r="Q51" s="20">
        <f t="shared" si="7"/>
        <v>0</v>
      </c>
    </row>
    <row r="52" spans="4:17" x14ac:dyDescent="0.35">
      <c r="D52" s="20">
        <f t="shared" si="8"/>
        <v>51</v>
      </c>
      <c r="E52" s="23">
        <f t="shared" si="9"/>
        <v>1.0303030303030287</v>
      </c>
      <c r="F52" s="23">
        <f t="shared" si="10"/>
        <v>-5.6942842863312331</v>
      </c>
      <c r="G52" s="20">
        <f t="shared" si="2"/>
        <v>0</v>
      </c>
      <c r="H52" s="20">
        <f t="shared" si="6"/>
        <v>0</v>
      </c>
      <c r="I52" s="20">
        <f t="shared" si="3"/>
        <v>0</v>
      </c>
      <c r="J52" s="20">
        <f t="shared" si="6"/>
        <v>1</v>
      </c>
      <c r="K52" s="20">
        <f t="shared" si="4"/>
        <v>-5.6942842863312331</v>
      </c>
      <c r="L52" s="20">
        <f t="shared" si="6"/>
        <v>0</v>
      </c>
      <c r="M52" s="20">
        <f t="shared" si="5"/>
        <v>0</v>
      </c>
      <c r="N52" s="20">
        <f>ABS(G52)</f>
        <v>0</v>
      </c>
      <c r="O52" s="20">
        <f>ABS(I52)</f>
        <v>0</v>
      </c>
      <c r="P52" s="20">
        <f>ABS(K52)</f>
        <v>5.6942842863312331</v>
      </c>
      <c r="Q52" s="20">
        <f t="shared" si="7"/>
        <v>0</v>
      </c>
    </row>
    <row r="53" spans="4:17" x14ac:dyDescent="0.35">
      <c r="D53" s="20">
        <f t="shared" si="8"/>
        <v>52</v>
      </c>
      <c r="E53" s="23">
        <f t="shared" si="9"/>
        <v>1.0909090909090893</v>
      </c>
      <c r="F53" s="23">
        <f t="shared" si="10"/>
        <v>-4.2143391292586649</v>
      </c>
      <c r="G53" s="20">
        <f t="shared" si="2"/>
        <v>0</v>
      </c>
      <c r="H53" s="20">
        <f t="shared" si="6"/>
        <v>0</v>
      </c>
      <c r="I53" s="20">
        <f t="shared" si="3"/>
        <v>0</v>
      </c>
      <c r="J53" s="20">
        <f t="shared" si="6"/>
        <v>0</v>
      </c>
      <c r="K53" s="20">
        <f t="shared" si="4"/>
        <v>0</v>
      </c>
      <c r="L53" s="20">
        <f t="shared" si="6"/>
        <v>1</v>
      </c>
      <c r="M53" s="20">
        <f t="shared" si="5"/>
        <v>-4.2143391292586649</v>
      </c>
      <c r="N53" s="20">
        <f>ABS(G53)</f>
        <v>0</v>
      </c>
      <c r="O53" s="20">
        <f>ABS(I53)</f>
        <v>0</v>
      </c>
      <c r="P53" s="20">
        <f>ABS(K53)</f>
        <v>0</v>
      </c>
      <c r="Q53" s="20">
        <f t="shared" si="7"/>
        <v>4.2143391292586649</v>
      </c>
    </row>
    <row r="54" spans="4:17" x14ac:dyDescent="0.35">
      <c r="D54" s="20">
        <f t="shared" si="8"/>
        <v>53</v>
      </c>
      <c r="E54" s="23">
        <f t="shared" si="9"/>
        <v>1.1515151515151498</v>
      </c>
      <c r="F54" s="23">
        <f t="shared" si="10"/>
        <v>-2.3273796765733583</v>
      </c>
      <c r="G54" s="20">
        <f t="shared" si="2"/>
        <v>0</v>
      </c>
      <c r="H54" s="20">
        <f t="shared" si="6"/>
        <v>1</v>
      </c>
      <c r="I54" s="20">
        <f t="shared" si="3"/>
        <v>-2.3273796765733583</v>
      </c>
      <c r="J54" s="20">
        <f t="shared" si="6"/>
        <v>0</v>
      </c>
      <c r="K54" s="20">
        <f t="shared" si="4"/>
        <v>0</v>
      </c>
      <c r="L54" s="20">
        <f t="shared" si="6"/>
        <v>0</v>
      </c>
      <c r="M54" s="20">
        <f t="shared" si="5"/>
        <v>0</v>
      </c>
      <c r="N54" s="20">
        <f>ABS(G54)</f>
        <v>0</v>
      </c>
      <c r="O54" s="20">
        <f>ABS(I54)</f>
        <v>2.3273796765733583</v>
      </c>
      <c r="P54" s="20">
        <f>ABS(K54)</f>
        <v>0</v>
      </c>
      <c r="Q54" s="20">
        <f t="shared" si="7"/>
        <v>0</v>
      </c>
    </row>
    <row r="55" spans="4:17" x14ac:dyDescent="0.35">
      <c r="D55" s="20">
        <f t="shared" si="8"/>
        <v>54</v>
      </c>
      <c r="E55" s="23">
        <f t="shared" si="9"/>
        <v>1.2121212121212104</v>
      </c>
      <c r="F55" s="23">
        <f t="shared" si="10"/>
        <v>-0.22647214626480661</v>
      </c>
      <c r="G55" s="20">
        <f t="shared" si="2"/>
        <v>0</v>
      </c>
      <c r="H55" s="20">
        <f t="shared" si="6"/>
        <v>0</v>
      </c>
      <c r="I55" s="20">
        <f t="shared" si="3"/>
        <v>0</v>
      </c>
      <c r="J55" s="20">
        <f t="shared" si="6"/>
        <v>1</v>
      </c>
      <c r="K55" s="20">
        <f t="shared" si="4"/>
        <v>-0.22647214626480661</v>
      </c>
      <c r="L55" s="20">
        <f t="shared" si="6"/>
        <v>0</v>
      </c>
      <c r="M55" s="20">
        <f t="shared" si="5"/>
        <v>0</v>
      </c>
      <c r="N55" s="20">
        <f>ABS(G55)</f>
        <v>0</v>
      </c>
      <c r="O55" s="20">
        <f>ABS(I55)</f>
        <v>0</v>
      </c>
      <c r="P55" s="20">
        <f>ABS(K55)</f>
        <v>0.22647214626480661</v>
      </c>
      <c r="Q55" s="20">
        <f t="shared" si="7"/>
        <v>0</v>
      </c>
    </row>
    <row r="56" spans="4:17" x14ac:dyDescent="0.35">
      <c r="D56" s="20">
        <f t="shared" si="8"/>
        <v>55</v>
      </c>
      <c r="E56" s="23">
        <f t="shared" si="9"/>
        <v>1.2727272727272709</v>
      </c>
      <c r="F56" s="23">
        <f t="shared" si="10"/>
        <v>1.8279508445077091</v>
      </c>
      <c r="G56" s="20">
        <f t="shared" si="2"/>
        <v>0</v>
      </c>
      <c r="H56" s="20">
        <f t="shared" si="6"/>
        <v>0</v>
      </c>
      <c r="I56" s="20">
        <f t="shared" si="3"/>
        <v>0</v>
      </c>
      <c r="J56" s="20">
        <f t="shared" si="6"/>
        <v>0</v>
      </c>
      <c r="K56" s="20">
        <f t="shared" si="4"/>
        <v>0</v>
      </c>
      <c r="L56" s="20">
        <f t="shared" si="6"/>
        <v>1</v>
      </c>
      <c r="M56" s="20">
        <f t="shared" si="5"/>
        <v>1.8279508445077091</v>
      </c>
      <c r="N56" s="20">
        <f>ABS(G56)</f>
        <v>0</v>
      </c>
      <c r="O56" s="20">
        <f>ABS(I56)</f>
        <v>0</v>
      </c>
      <c r="P56" s="20">
        <f>ABS(K56)</f>
        <v>0</v>
      </c>
      <c r="Q56" s="20">
        <f t="shared" si="7"/>
        <v>1.8279508445077091</v>
      </c>
    </row>
    <row r="57" spans="4:17" x14ac:dyDescent="0.35">
      <c r="D57" s="20">
        <f t="shared" si="8"/>
        <v>56</v>
      </c>
      <c r="E57" s="23">
        <f t="shared" si="9"/>
        <v>1.3333333333333315</v>
      </c>
      <c r="F57" s="23">
        <f t="shared" si="10"/>
        <v>3.5385877291146204</v>
      </c>
      <c r="G57" s="20">
        <f t="shared" si="2"/>
        <v>0</v>
      </c>
      <c r="H57" s="20">
        <f t="shared" si="6"/>
        <v>1</v>
      </c>
      <c r="I57" s="20">
        <f t="shared" si="3"/>
        <v>3.5385877291146204</v>
      </c>
      <c r="J57" s="20">
        <f t="shared" si="6"/>
        <v>0</v>
      </c>
      <c r="K57" s="20">
        <f t="shared" si="4"/>
        <v>0</v>
      </c>
      <c r="L57" s="20">
        <f t="shared" si="6"/>
        <v>0</v>
      </c>
      <c r="M57" s="20">
        <f t="shared" si="5"/>
        <v>0</v>
      </c>
      <c r="N57" s="20">
        <f>ABS(G57)</f>
        <v>0</v>
      </c>
      <c r="O57" s="20">
        <f>ABS(I57)</f>
        <v>3.5385877291146204</v>
      </c>
      <c r="P57" s="20">
        <f>ABS(K57)</f>
        <v>0</v>
      </c>
      <c r="Q57" s="20">
        <f t="shared" si="7"/>
        <v>0</v>
      </c>
    </row>
    <row r="58" spans="4:17" x14ac:dyDescent="0.35">
      <c r="D58" s="20">
        <f t="shared" si="8"/>
        <v>57</v>
      </c>
      <c r="E58" s="23">
        <f t="shared" si="9"/>
        <v>1.393939393939392</v>
      </c>
      <c r="F58" s="23">
        <f t="shared" si="10"/>
        <v>4.6198816067854178</v>
      </c>
      <c r="G58" s="20">
        <f t="shared" si="2"/>
        <v>0</v>
      </c>
      <c r="H58" s="20">
        <f t="shared" si="6"/>
        <v>0</v>
      </c>
      <c r="I58" s="20">
        <f t="shared" si="3"/>
        <v>0</v>
      </c>
      <c r="J58" s="20">
        <f t="shared" si="6"/>
        <v>1</v>
      </c>
      <c r="K58" s="20">
        <f t="shared" si="4"/>
        <v>4.6198816067854178</v>
      </c>
      <c r="L58" s="20">
        <f t="shared" si="6"/>
        <v>0</v>
      </c>
      <c r="M58" s="20">
        <f t="shared" si="5"/>
        <v>0</v>
      </c>
      <c r="N58" s="20">
        <f>ABS(G58)</f>
        <v>0</v>
      </c>
      <c r="O58" s="20">
        <f>ABS(I58)</f>
        <v>0</v>
      </c>
      <c r="P58" s="20">
        <f>ABS(K58)</f>
        <v>4.6198816067854178</v>
      </c>
      <c r="Q58" s="20">
        <f t="shared" si="7"/>
        <v>0</v>
      </c>
    </row>
    <row r="59" spans="4:17" x14ac:dyDescent="0.35">
      <c r="D59" s="20">
        <f t="shared" si="8"/>
        <v>58</v>
      </c>
      <c r="E59" s="23">
        <f t="shared" si="9"/>
        <v>1.4545454545454526</v>
      </c>
      <c r="F59" s="23">
        <f t="shared" si="10"/>
        <v>4.8593482022415504</v>
      </c>
      <c r="G59" s="20">
        <f t="shared" si="2"/>
        <v>0</v>
      </c>
      <c r="H59" s="20">
        <f t="shared" si="6"/>
        <v>0</v>
      </c>
      <c r="I59" s="20">
        <f t="shared" si="3"/>
        <v>0</v>
      </c>
      <c r="J59" s="20">
        <f t="shared" si="6"/>
        <v>0</v>
      </c>
      <c r="K59" s="20">
        <f t="shared" si="4"/>
        <v>0</v>
      </c>
      <c r="L59" s="20">
        <f t="shared" si="6"/>
        <v>1</v>
      </c>
      <c r="M59" s="20">
        <f t="shared" si="5"/>
        <v>4.8593482022415504</v>
      </c>
      <c r="N59" s="20">
        <f>ABS(G59)</f>
        <v>0</v>
      </c>
      <c r="O59" s="20">
        <f>ABS(I59)</f>
        <v>0</v>
      </c>
      <c r="P59" s="20">
        <f>ABS(K59)</f>
        <v>0</v>
      </c>
      <c r="Q59" s="20">
        <f t="shared" si="7"/>
        <v>4.8593482022415504</v>
      </c>
    </row>
    <row r="60" spans="4:17" x14ac:dyDescent="0.35">
      <c r="D60" s="20">
        <f t="shared" si="8"/>
        <v>59</v>
      </c>
      <c r="E60" s="23">
        <f t="shared" si="9"/>
        <v>1.5151515151515131</v>
      </c>
      <c r="F60" s="23">
        <f t="shared" si="10"/>
        <v>4.1800565108369154</v>
      </c>
      <c r="G60" s="20">
        <f t="shared" si="2"/>
        <v>0</v>
      </c>
      <c r="H60" s="20">
        <f t="shared" si="6"/>
        <v>1</v>
      </c>
      <c r="I60" s="20">
        <f t="shared" si="3"/>
        <v>4.1800565108369154</v>
      </c>
      <c r="J60" s="20">
        <f t="shared" si="6"/>
        <v>0</v>
      </c>
      <c r="K60" s="20">
        <f t="shared" si="4"/>
        <v>0</v>
      </c>
      <c r="L60" s="20">
        <f t="shared" si="6"/>
        <v>0</v>
      </c>
      <c r="M60" s="20">
        <f t="shared" si="5"/>
        <v>0</v>
      </c>
      <c r="N60" s="20">
        <f>ABS(G60)</f>
        <v>0</v>
      </c>
      <c r="O60" s="20">
        <f>ABS(I60)</f>
        <v>4.1800565108369154</v>
      </c>
      <c r="P60" s="20">
        <f>ABS(K60)</f>
        <v>0</v>
      </c>
      <c r="Q60" s="20">
        <f t="shared" si="7"/>
        <v>0</v>
      </c>
    </row>
    <row r="61" spans="4:17" x14ac:dyDescent="0.35">
      <c r="D61" s="20">
        <f t="shared" si="8"/>
        <v>60</v>
      </c>
      <c r="E61" s="23">
        <f t="shared" si="9"/>
        <v>1.5757575757575737</v>
      </c>
      <c r="F61" s="23">
        <f t="shared" si="10"/>
        <v>2.6872912142139453</v>
      </c>
      <c r="G61" s="20">
        <f t="shared" si="2"/>
        <v>0</v>
      </c>
      <c r="H61" s="20">
        <f t="shared" si="6"/>
        <v>0</v>
      </c>
      <c r="I61" s="20">
        <f t="shared" si="3"/>
        <v>0</v>
      </c>
      <c r="J61" s="20">
        <f t="shared" si="6"/>
        <v>1</v>
      </c>
      <c r="K61" s="20">
        <f t="shared" si="4"/>
        <v>2.6872912142139453</v>
      </c>
      <c r="L61" s="20">
        <f t="shared" si="6"/>
        <v>0</v>
      </c>
      <c r="M61" s="20">
        <f t="shared" si="5"/>
        <v>0</v>
      </c>
      <c r="N61" s="20">
        <f>ABS(G61)</f>
        <v>0</v>
      </c>
      <c r="O61" s="20">
        <f>ABS(I61)</f>
        <v>0</v>
      </c>
      <c r="P61" s="20">
        <f>ABS(K61)</f>
        <v>2.6872912142139453</v>
      </c>
      <c r="Q61" s="20">
        <f t="shared" si="7"/>
        <v>0</v>
      </c>
    </row>
    <row r="62" spans="4:17" x14ac:dyDescent="0.35">
      <c r="D62" s="20">
        <f t="shared" si="8"/>
        <v>61</v>
      </c>
      <c r="E62" s="23">
        <f t="shared" si="9"/>
        <v>1.6363636363636342</v>
      </c>
      <c r="F62" s="23">
        <f t="shared" si="10"/>
        <v>0.68019931669349698</v>
      </c>
      <c r="G62" s="20">
        <f t="shared" si="2"/>
        <v>0</v>
      </c>
      <c r="H62" s="20">
        <f t="shared" si="6"/>
        <v>0</v>
      </c>
      <c r="I62" s="20">
        <f t="shared" si="3"/>
        <v>0</v>
      </c>
      <c r="J62" s="20">
        <f t="shared" si="6"/>
        <v>0</v>
      </c>
      <c r="K62" s="20">
        <f t="shared" si="4"/>
        <v>0</v>
      </c>
      <c r="L62" s="20">
        <f t="shared" si="6"/>
        <v>1</v>
      </c>
      <c r="M62" s="20">
        <f t="shared" si="5"/>
        <v>0.68019931669349698</v>
      </c>
      <c r="N62" s="20">
        <f>ABS(G62)</f>
        <v>0</v>
      </c>
      <c r="O62" s="20">
        <f>ABS(I62)</f>
        <v>0</v>
      </c>
      <c r="P62" s="20">
        <f>ABS(K62)</f>
        <v>0</v>
      </c>
      <c r="Q62" s="20">
        <f t="shared" si="7"/>
        <v>0.68019931669349698</v>
      </c>
    </row>
    <row r="63" spans="4:17" x14ac:dyDescent="0.35">
      <c r="D63" s="20">
        <f t="shared" si="8"/>
        <v>62</v>
      </c>
      <c r="E63" s="23">
        <f t="shared" si="9"/>
        <v>1.6969696969696948</v>
      </c>
      <c r="F63" s="23">
        <f t="shared" si="10"/>
        <v>-1.3872298064505082</v>
      </c>
      <c r="G63" s="20">
        <f t="shared" si="2"/>
        <v>0</v>
      </c>
      <c r="H63" s="20">
        <f t="shared" si="6"/>
        <v>1</v>
      </c>
      <c r="I63" s="20">
        <f t="shared" si="3"/>
        <v>-1.3872298064505082</v>
      </c>
      <c r="J63" s="20">
        <f t="shared" si="6"/>
        <v>0</v>
      </c>
      <c r="K63" s="20">
        <f t="shared" si="4"/>
        <v>0</v>
      </c>
      <c r="L63" s="20">
        <f t="shared" si="6"/>
        <v>0</v>
      </c>
      <c r="M63" s="20">
        <f t="shared" si="5"/>
        <v>0</v>
      </c>
      <c r="N63" s="20">
        <f>ABS(G63)</f>
        <v>0</v>
      </c>
      <c r="O63" s="20">
        <f>ABS(I63)</f>
        <v>1.3872298064505082</v>
      </c>
      <c r="P63" s="20">
        <f>ABS(K63)</f>
        <v>0</v>
      </c>
      <c r="Q63" s="20">
        <f t="shared" si="7"/>
        <v>0</v>
      </c>
    </row>
    <row r="64" spans="4:17" x14ac:dyDescent="0.35">
      <c r="D64" s="20">
        <f t="shared" si="8"/>
        <v>63</v>
      </c>
      <c r="E64" s="23">
        <f t="shared" si="9"/>
        <v>1.7575757575757553</v>
      </c>
      <c r="F64" s="23">
        <f t="shared" si="10"/>
        <v>-3.0005068027372039</v>
      </c>
      <c r="G64" s="20">
        <f t="shared" si="2"/>
        <v>0</v>
      </c>
      <c r="H64" s="20">
        <f t="shared" si="6"/>
        <v>0</v>
      </c>
      <c r="I64" s="20">
        <f t="shared" si="3"/>
        <v>0</v>
      </c>
      <c r="J64" s="20">
        <f t="shared" si="6"/>
        <v>1</v>
      </c>
      <c r="K64" s="20">
        <f t="shared" si="4"/>
        <v>-3.0005068027372039</v>
      </c>
      <c r="L64" s="20">
        <f t="shared" si="6"/>
        <v>0</v>
      </c>
      <c r="M64" s="20">
        <f t="shared" si="5"/>
        <v>0</v>
      </c>
      <c r="N64" s="20">
        <f>ABS(G64)</f>
        <v>0</v>
      </c>
      <c r="O64" s="20">
        <f>ABS(I64)</f>
        <v>0</v>
      </c>
      <c r="P64" s="20">
        <f>ABS(K64)</f>
        <v>3.0005068027372039</v>
      </c>
      <c r="Q64" s="20">
        <f t="shared" si="7"/>
        <v>0</v>
      </c>
    </row>
    <row r="65" spans="4:17" x14ac:dyDescent="0.35">
      <c r="D65" s="20">
        <f t="shared" si="8"/>
        <v>64</v>
      </c>
      <c r="E65" s="23">
        <f t="shared" si="9"/>
        <v>1.8181818181818159</v>
      </c>
      <c r="F65" s="23">
        <f t="shared" si="10"/>
        <v>-3.7211345805277793</v>
      </c>
      <c r="G65" s="20">
        <f t="shared" si="2"/>
        <v>0</v>
      </c>
      <c r="H65" s="20">
        <f t="shared" si="6"/>
        <v>0</v>
      </c>
      <c r="I65" s="20">
        <f t="shared" si="3"/>
        <v>0</v>
      </c>
      <c r="J65" s="20">
        <f t="shared" si="6"/>
        <v>0</v>
      </c>
      <c r="K65" s="20">
        <f t="shared" si="4"/>
        <v>0</v>
      </c>
      <c r="L65" s="20">
        <f t="shared" si="6"/>
        <v>1</v>
      </c>
      <c r="M65" s="20">
        <f t="shared" si="5"/>
        <v>-3.7211345805277793</v>
      </c>
      <c r="N65" s="20">
        <f>ABS(G65)</f>
        <v>0</v>
      </c>
      <c r="O65" s="20">
        <f>ABS(I65)</f>
        <v>0</v>
      </c>
      <c r="P65" s="20">
        <f>ABS(K65)</f>
        <v>0</v>
      </c>
      <c r="Q65" s="20">
        <f t="shared" si="7"/>
        <v>3.7211345805277793</v>
      </c>
    </row>
    <row r="66" spans="4:17" x14ac:dyDescent="0.35">
      <c r="D66" s="20">
        <f t="shared" si="8"/>
        <v>65</v>
      </c>
      <c r="E66" s="23">
        <f t="shared" si="9"/>
        <v>1.8787878787878765</v>
      </c>
      <c r="F66" s="23">
        <f t="shared" si="10"/>
        <v>-3.3314737609923126</v>
      </c>
      <c r="G66" s="20">
        <f t="shared" si="2"/>
        <v>0</v>
      </c>
      <c r="H66" s="20">
        <f t="shared" si="6"/>
        <v>1</v>
      </c>
      <c r="I66" s="20">
        <f t="shared" si="3"/>
        <v>-3.3314737609923126</v>
      </c>
      <c r="J66" s="20">
        <f t="shared" si="6"/>
        <v>0</v>
      </c>
      <c r="K66" s="20">
        <f t="shared" si="4"/>
        <v>0</v>
      </c>
      <c r="L66" s="20">
        <f t="shared" si="6"/>
        <v>0</v>
      </c>
      <c r="M66" s="20">
        <f t="shared" si="5"/>
        <v>0</v>
      </c>
      <c r="N66" s="20">
        <f>ABS(G66)</f>
        <v>0</v>
      </c>
      <c r="O66" s="20">
        <f>ABS(I66)</f>
        <v>3.3314737609923126</v>
      </c>
      <c r="P66" s="20">
        <f>ABS(K66)</f>
        <v>0</v>
      </c>
      <c r="Q66" s="20">
        <f t="shared" si="7"/>
        <v>0</v>
      </c>
    </row>
    <row r="67" spans="4:17" x14ac:dyDescent="0.35">
      <c r="D67" s="20">
        <f t="shared" si="8"/>
        <v>66</v>
      </c>
      <c r="E67" s="23">
        <f t="shared" si="9"/>
        <v>1.939393939393937</v>
      </c>
      <c r="F67" s="23">
        <f t="shared" si="10"/>
        <v>-1.9384579962583977</v>
      </c>
      <c r="G67" s="20">
        <f t="shared" si="2"/>
        <v>0</v>
      </c>
      <c r="H67" s="20">
        <f t="shared" si="6"/>
        <v>0</v>
      </c>
      <c r="I67" s="20">
        <f t="shared" si="3"/>
        <v>0</v>
      </c>
      <c r="J67" s="20">
        <f t="shared" si="6"/>
        <v>1</v>
      </c>
      <c r="K67" s="20">
        <f t="shared" si="4"/>
        <v>-1.9384579962583977</v>
      </c>
      <c r="L67" s="20">
        <f t="shared" si="6"/>
        <v>0</v>
      </c>
      <c r="M67" s="20">
        <f t="shared" si="5"/>
        <v>0</v>
      </c>
      <c r="N67" s="20">
        <f>ABS(G67)</f>
        <v>0</v>
      </c>
      <c r="O67" s="20">
        <f>ABS(I67)</f>
        <v>0</v>
      </c>
      <c r="P67" s="20">
        <f>ABS(K67)</f>
        <v>1.9384579962583977</v>
      </c>
      <c r="Q67" s="20">
        <f t="shared" ref="Q67:Q129" si="11">ABS(M67)</f>
        <v>0</v>
      </c>
    </row>
    <row r="68" spans="4:17" x14ac:dyDescent="0.35">
      <c r="D68" s="20">
        <f t="shared" si="8"/>
        <v>67</v>
      </c>
      <c r="E68" s="23">
        <f t="shared" si="9"/>
        <v>1.9999999999999976</v>
      </c>
      <c r="F68" s="23">
        <f t="shared" si="10"/>
        <v>1.475232662675308E-2</v>
      </c>
      <c r="G68" s="20">
        <f t="shared" ref="G68:G131" si="12">IF(D68=$B$5+1,F68,0)</f>
        <v>0</v>
      </c>
      <c r="H68" s="20">
        <f t="shared" si="6"/>
        <v>0</v>
      </c>
      <c r="I68" s="20">
        <f t="shared" ref="I68:I131" si="13">IF(D67&lt;$B$5,F68*H68,0)</f>
        <v>0</v>
      </c>
      <c r="J68" s="20">
        <f t="shared" si="6"/>
        <v>0</v>
      </c>
      <c r="K68" s="20">
        <f t="shared" ref="K68:K131" si="14">IF(D67&lt;$B$5,F68*J68,0)</f>
        <v>0</v>
      </c>
      <c r="L68" s="20">
        <f t="shared" si="6"/>
        <v>1</v>
      </c>
      <c r="M68" s="20">
        <f t="shared" ref="M68:M131" si="15">IF(D67&lt;$B$5,F68*L68,0)</f>
        <v>1.475232662675308E-2</v>
      </c>
      <c r="N68" s="20">
        <f>ABS(G68)</f>
        <v>0</v>
      </c>
      <c r="O68" s="20">
        <f>ABS(I68)</f>
        <v>0</v>
      </c>
      <c r="P68" s="20">
        <f>ABS(K68)</f>
        <v>0</v>
      </c>
      <c r="Q68" s="20">
        <f t="shared" si="11"/>
        <v>1.475232662675308E-2</v>
      </c>
    </row>
    <row r="69" spans="4:17" x14ac:dyDescent="0.35">
      <c r="D69" s="20">
        <f t="shared" si="8"/>
        <v>68</v>
      </c>
      <c r="E69" s="23">
        <f t="shared" si="9"/>
        <v>2.0606060606060583</v>
      </c>
      <c r="F69" s="23">
        <f t="shared" si="10"/>
        <v>1.859611685003435</v>
      </c>
      <c r="G69" s="20">
        <f t="shared" si="12"/>
        <v>0</v>
      </c>
      <c r="H69" s="20">
        <f t="shared" si="6"/>
        <v>1</v>
      </c>
      <c r="I69" s="20">
        <f t="shared" si="13"/>
        <v>1.859611685003435</v>
      </c>
      <c r="J69" s="20">
        <f t="shared" si="6"/>
        <v>0</v>
      </c>
      <c r="K69" s="20">
        <f t="shared" si="14"/>
        <v>0</v>
      </c>
      <c r="L69" s="20">
        <f t="shared" si="6"/>
        <v>0</v>
      </c>
      <c r="M69" s="20">
        <f t="shared" si="15"/>
        <v>0</v>
      </c>
      <c r="N69" s="20">
        <f>ABS(G69)</f>
        <v>0</v>
      </c>
      <c r="O69" s="20">
        <f>ABS(I69)</f>
        <v>1.859611685003435</v>
      </c>
      <c r="P69" s="20">
        <f>ABS(K69)</f>
        <v>0</v>
      </c>
      <c r="Q69" s="20">
        <f t="shared" si="11"/>
        <v>0</v>
      </c>
    </row>
    <row r="70" spans="4:17" x14ac:dyDescent="0.35">
      <c r="D70" s="20">
        <f t="shared" si="8"/>
        <v>69</v>
      </c>
      <c r="E70" s="23">
        <f t="shared" si="9"/>
        <v>2.1212121212121189</v>
      </c>
      <c r="F70" s="23">
        <f t="shared" si="10"/>
        <v>2.9233237399015803</v>
      </c>
      <c r="G70" s="20">
        <f t="shared" si="12"/>
        <v>0</v>
      </c>
      <c r="H70" s="20">
        <f t="shared" si="6"/>
        <v>0</v>
      </c>
      <c r="I70" s="20">
        <f t="shared" si="13"/>
        <v>0</v>
      </c>
      <c r="J70" s="20">
        <f t="shared" si="6"/>
        <v>1</v>
      </c>
      <c r="K70" s="20">
        <f t="shared" si="14"/>
        <v>2.9233237399015803</v>
      </c>
      <c r="L70" s="20">
        <f t="shared" si="6"/>
        <v>0</v>
      </c>
      <c r="M70" s="20">
        <f t="shared" si="15"/>
        <v>0</v>
      </c>
      <c r="N70" s="20">
        <f>ABS(G70)</f>
        <v>0</v>
      </c>
      <c r="O70" s="20">
        <f>ABS(I70)</f>
        <v>0</v>
      </c>
      <c r="P70" s="20">
        <f>ABS(K70)</f>
        <v>2.9233237399015803</v>
      </c>
      <c r="Q70" s="20">
        <f t="shared" si="11"/>
        <v>0</v>
      </c>
    </row>
    <row r="71" spans="4:17" x14ac:dyDescent="0.35">
      <c r="D71" s="20">
        <f t="shared" si="8"/>
        <v>70</v>
      </c>
      <c r="E71" s="23">
        <f t="shared" si="9"/>
        <v>2.1818181818181794</v>
      </c>
      <c r="F71" s="23">
        <f t="shared" si="10"/>
        <v>2.794505577832699</v>
      </c>
      <c r="G71" s="20">
        <f t="shared" si="12"/>
        <v>0</v>
      </c>
      <c r="H71" s="20">
        <f t="shared" ref="H71:L134" si="16">IF(H70+H69=0,1,0)</f>
        <v>0</v>
      </c>
      <c r="I71" s="20">
        <f t="shared" si="13"/>
        <v>0</v>
      </c>
      <c r="J71" s="20">
        <f t="shared" si="16"/>
        <v>0</v>
      </c>
      <c r="K71" s="20">
        <f t="shared" si="14"/>
        <v>0</v>
      </c>
      <c r="L71" s="20">
        <f t="shared" si="16"/>
        <v>1</v>
      </c>
      <c r="M71" s="20">
        <f t="shared" si="15"/>
        <v>2.794505577832699</v>
      </c>
      <c r="N71" s="20">
        <f>ABS(G71)</f>
        <v>0</v>
      </c>
      <c r="O71" s="20">
        <f>ABS(I71)</f>
        <v>0</v>
      </c>
      <c r="P71" s="20">
        <f>ABS(K71)</f>
        <v>0</v>
      </c>
      <c r="Q71" s="20">
        <f t="shared" si="11"/>
        <v>2.794505577832699</v>
      </c>
    </row>
    <row r="72" spans="4:17" x14ac:dyDescent="0.35">
      <c r="D72" s="20">
        <f t="shared" si="8"/>
        <v>71</v>
      </c>
      <c r="E72" s="23">
        <f t="shared" si="9"/>
        <v>2.24242424242424</v>
      </c>
      <c r="F72" s="23">
        <f t="shared" si="10"/>
        <v>1.5259680252486174</v>
      </c>
      <c r="G72" s="20">
        <f t="shared" si="12"/>
        <v>0</v>
      </c>
      <c r="H72" s="20">
        <f t="shared" si="16"/>
        <v>1</v>
      </c>
      <c r="I72" s="20">
        <f t="shared" si="13"/>
        <v>1.5259680252486174</v>
      </c>
      <c r="J72" s="20">
        <f t="shared" si="16"/>
        <v>0</v>
      </c>
      <c r="K72" s="20">
        <f t="shared" si="14"/>
        <v>0</v>
      </c>
      <c r="L72" s="20">
        <f t="shared" si="16"/>
        <v>0</v>
      </c>
      <c r="M72" s="20">
        <f t="shared" si="15"/>
        <v>0</v>
      </c>
      <c r="N72" s="20">
        <f>ABS(G72)</f>
        <v>0</v>
      </c>
      <c r="O72" s="20">
        <f>ABS(I72)</f>
        <v>1.5259680252486174</v>
      </c>
      <c r="P72" s="20">
        <f>ABS(K72)</f>
        <v>0</v>
      </c>
      <c r="Q72" s="20">
        <f t="shared" si="11"/>
        <v>0</v>
      </c>
    </row>
    <row r="73" spans="4:17" x14ac:dyDescent="0.35">
      <c r="D73" s="20">
        <f t="shared" si="8"/>
        <v>72</v>
      </c>
      <c r="E73" s="23">
        <f t="shared" si="9"/>
        <v>2.3030303030303005</v>
      </c>
      <c r="F73" s="23">
        <f t="shared" si="10"/>
        <v>-0.33515246283983441</v>
      </c>
      <c r="G73" s="20">
        <f t="shared" si="12"/>
        <v>0</v>
      </c>
      <c r="H73" s="20">
        <f t="shared" si="16"/>
        <v>0</v>
      </c>
      <c r="I73" s="20">
        <f t="shared" si="13"/>
        <v>0</v>
      </c>
      <c r="J73" s="20">
        <f t="shared" si="16"/>
        <v>1</v>
      </c>
      <c r="K73" s="20">
        <f t="shared" si="14"/>
        <v>-0.33515246283983441</v>
      </c>
      <c r="L73" s="20">
        <f t="shared" si="16"/>
        <v>0</v>
      </c>
      <c r="M73" s="20">
        <f t="shared" si="15"/>
        <v>0</v>
      </c>
      <c r="N73" s="20">
        <f>ABS(G73)</f>
        <v>0</v>
      </c>
      <c r="O73" s="20">
        <f>ABS(I73)</f>
        <v>0</v>
      </c>
      <c r="P73" s="20">
        <f>ABS(K73)</f>
        <v>0.33515246283983441</v>
      </c>
      <c r="Q73" s="20">
        <f t="shared" si="11"/>
        <v>0</v>
      </c>
    </row>
    <row r="74" spans="4:17" x14ac:dyDescent="0.35">
      <c r="D74" s="20">
        <f t="shared" si="8"/>
        <v>73</v>
      </c>
      <c r="E74" s="23">
        <f t="shared" si="9"/>
        <v>2.3636363636363611</v>
      </c>
      <c r="F74" s="23">
        <f t="shared" si="10"/>
        <v>-1.9449093052077056</v>
      </c>
      <c r="G74" s="20">
        <f t="shared" si="12"/>
        <v>0</v>
      </c>
      <c r="H74" s="20">
        <f t="shared" si="16"/>
        <v>0</v>
      </c>
      <c r="I74" s="20">
        <f t="shared" si="13"/>
        <v>0</v>
      </c>
      <c r="J74" s="20">
        <f t="shared" si="16"/>
        <v>0</v>
      </c>
      <c r="K74" s="20">
        <f t="shared" si="14"/>
        <v>0</v>
      </c>
      <c r="L74" s="20">
        <f t="shared" si="16"/>
        <v>1</v>
      </c>
      <c r="M74" s="20">
        <f t="shared" si="15"/>
        <v>-1.9449093052077056</v>
      </c>
      <c r="N74" s="20">
        <f>ABS(G74)</f>
        <v>0</v>
      </c>
      <c r="O74" s="20">
        <f>ABS(I74)</f>
        <v>0</v>
      </c>
      <c r="P74" s="20">
        <f>ABS(K74)</f>
        <v>0</v>
      </c>
      <c r="Q74" s="20">
        <f t="shared" si="11"/>
        <v>1.9449093052077056</v>
      </c>
    </row>
    <row r="75" spans="4:17" x14ac:dyDescent="0.35">
      <c r="D75" s="20">
        <f t="shared" si="8"/>
        <v>74</v>
      </c>
      <c r="E75" s="23">
        <f t="shared" si="9"/>
        <v>2.4242424242424216</v>
      </c>
      <c r="F75" s="23">
        <f t="shared" si="10"/>
        <v>-2.5387450428822063</v>
      </c>
      <c r="G75" s="20">
        <f t="shared" si="12"/>
        <v>0</v>
      </c>
      <c r="H75" s="20">
        <f t="shared" si="16"/>
        <v>1</v>
      </c>
      <c r="I75" s="20">
        <f t="shared" si="13"/>
        <v>-2.5387450428822063</v>
      </c>
      <c r="J75" s="20">
        <f t="shared" si="16"/>
        <v>0</v>
      </c>
      <c r="K75" s="20">
        <f t="shared" si="14"/>
        <v>0</v>
      </c>
      <c r="L75" s="20">
        <f t="shared" si="16"/>
        <v>0</v>
      </c>
      <c r="M75" s="20">
        <f t="shared" si="15"/>
        <v>0</v>
      </c>
      <c r="N75" s="20">
        <f>ABS(G75)</f>
        <v>0</v>
      </c>
      <c r="O75" s="20">
        <f>ABS(I75)</f>
        <v>2.5387450428822063</v>
      </c>
      <c r="P75" s="20">
        <f>ABS(K75)</f>
        <v>0</v>
      </c>
      <c r="Q75" s="20">
        <f t="shared" si="11"/>
        <v>0</v>
      </c>
    </row>
    <row r="76" spans="4:17" x14ac:dyDescent="0.35">
      <c r="D76" s="20">
        <f t="shared" si="8"/>
        <v>75</v>
      </c>
      <c r="E76" s="23">
        <f t="shared" si="9"/>
        <v>2.4848484848484822</v>
      </c>
      <c r="F76" s="23">
        <f t="shared" si="10"/>
        <v>-1.8260810900347781</v>
      </c>
      <c r="G76" s="20">
        <f t="shared" si="12"/>
        <v>0</v>
      </c>
      <c r="H76" s="20">
        <f t="shared" si="16"/>
        <v>0</v>
      </c>
      <c r="I76" s="20">
        <f t="shared" si="13"/>
        <v>0</v>
      </c>
      <c r="J76" s="20">
        <f t="shared" si="16"/>
        <v>1</v>
      </c>
      <c r="K76" s="20">
        <f t="shared" si="14"/>
        <v>-1.8260810900347781</v>
      </c>
      <c r="L76" s="20">
        <f t="shared" si="16"/>
        <v>0</v>
      </c>
      <c r="M76" s="20">
        <f t="shared" si="15"/>
        <v>0</v>
      </c>
      <c r="N76" s="20">
        <f>ABS(G76)</f>
        <v>0</v>
      </c>
      <c r="O76" s="20">
        <f>ABS(I76)</f>
        <v>0</v>
      </c>
      <c r="P76" s="20">
        <f>ABS(K76)</f>
        <v>1.8260810900347781</v>
      </c>
      <c r="Q76" s="20">
        <f t="shared" si="11"/>
        <v>0</v>
      </c>
    </row>
    <row r="77" spans="4:17" x14ac:dyDescent="0.35">
      <c r="D77" s="20">
        <f t="shared" si="8"/>
        <v>76</v>
      </c>
      <c r="E77" s="23">
        <f t="shared" si="9"/>
        <v>2.5454545454545427</v>
      </c>
      <c r="F77" s="23">
        <f t="shared" si="10"/>
        <v>-0.18946254347605443</v>
      </c>
      <c r="G77" s="20">
        <f t="shared" si="12"/>
        <v>0</v>
      </c>
      <c r="H77" s="20">
        <f t="shared" si="16"/>
        <v>0</v>
      </c>
      <c r="I77" s="20">
        <f t="shared" si="13"/>
        <v>0</v>
      </c>
      <c r="J77" s="20">
        <f t="shared" si="16"/>
        <v>0</v>
      </c>
      <c r="K77" s="20">
        <f t="shared" si="14"/>
        <v>0</v>
      </c>
      <c r="L77" s="20">
        <f t="shared" si="16"/>
        <v>1</v>
      </c>
      <c r="M77" s="20">
        <f t="shared" si="15"/>
        <v>-0.18946254347605443</v>
      </c>
      <c r="N77" s="20">
        <f>ABS(G77)</f>
        <v>0</v>
      </c>
      <c r="O77" s="20">
        <f>ABS(I77)</f>
        <v>0</v>
      </c>
      <c r="P77" s="20">
        <f>ABS(K77)</f>
        <v>0</v>
      </c>
      <c r="Q77" s="20">
        <f t="shared" si="11"/>
        <v>0.18946254347605443</v>
      </c>
    </row>
    <row r="78" spans="4:17" x14ac:dyDescent="0.35">
      <c r="D78" s="20">
        <f t="shared" si="8"/>
        <v>77</v>
      </c>
      <c r="E78" s="23">
        <f t="shared" si="9"/>
        <v>2.6060606060606033</v>
      </c>
      <c r="F78" s="23">
        <f t="shared" si="10"/>
        <v>1.4657470204965704</v>
      </c>
      <c r="G78" s="20">
        <f t="shared" si="12"/>
        <v>0</v>
      </c>
      <c r="H78" s="20">
        <f t="shared" si="16"/>
        <v>1</v>
      </c>
      <c r="I78" s="20">
        <f t="shared" si="13"/>
        <v>1.4657470204965704</v>
      </c>
      <c r="J78" s="20">
        <f t="shared" si="16"/>
        <v>0</v>
      </c>
      <c r="K78" s="20">
        <f t="shared" si="14"/>
        <v>0</v>
      </c>
      <c r="L78" s="20">
        <f t="shared" si="16"/>
        <v>0</v>
      </c>
      <c r="M78" s="20">
        <f t="shared" si="15"/>
        <v>0</v>
      </c>
      <c r="N78" s="20">
        <f>ABS(G78)</f>
        <v>0</v>
      </c>
      <c r="O78" s="20">
        <f>ABS(I78)</f>
        <v>1.4657470204965704</v>
      </c>
      <c r="P78" s="20">
        <f>ABS(K78)</f>
        <v>0</v>
      </c>
      <c r="Q78" s="20">
        <f t="shared" si="11"/>
        <v>0</v>
      </c>
    </row>
    <row r="79" spans="4:17" x14ac:dyDescent="0.35">
      <c r="D79" s="20">
        <f t="shared" si="8"/>
        <v>78</v>
      </c>
      <c r="E79" s="23">
        <f t="shared" si="9"/>
        <v>2.6666666666666639</v>
      </c>
      <c r="F79" s="23">
        <f t="shared" si="10"/>
        <v>2.1894696326098844</v>
      </c>
      <c r="G79" s="20">
        <f t="shared" si="12"/>
        <v>0</v>
      </c>
      <c r="H79" s="20">
        <f t="shared" si="16"/>
        <v>0</v>
      </c>
      <c r="I79" s="20">
        <f t="shared" si="13"/>
        <v>0</v>
      </c>
      <c r="J79" s="20">
        <f t="shared" si="16"/>
        <v>1</v>
      </c>
      <c r="K79" s="20">
        <f t="shared" si="14"/>
        <v>2.1894696326098844</v>
      </c>
      <c r="L79" s="20">
        <f t="shared" si="16"/>
        <v>0</v>
      </c>
      <c r="M79" s="20">
        <f t="shared" si="15"/>
        <v>0</v>
      </c>
      <c r="N79" s="20">
        <f>ABS(G79)</f>
        <v>0</v>
      </c>
      <c r="O79" s="20">
        <f>ABS(I79)</f>
        <v>0</v>
      </c>
      <c r="P79" s="20">
        <f>ABS(K79)</f>
        <v>2.1894696326098844</v>
      </c>
      <c r="Q79" s="20">
        <f t="shared" si="11"/>
        <v>0</v>
      </c>
    </row>
    <row r="80" spans="4:17" x14ac:dyDescent="0.35">
      <c r="D80" s="20">
        <f t="shared" si="8"/>
        <v>79</v>
      </c>
      <c r="E80" s="23">
        <f t="shared" si="9"/>
        <v>2.7272727272727244</v>
      </c>
      <c r="F80" s="23">
        <f t="shared" si="10"/>
        <v>1.5570193705457449</v>
      </c>
      <c r="G80" s="20">
        <f t="shared" si="12"/>
        <v>0</v>
      </c>
      <c r="H80" s="20">
        <f t="shared" si="16"/>
        <v>0</v>
      </c>
      <c r="I80" s="20">
        <f t="shared" si="13"/>
        <v>0</v>
      </c>
      <c r="J80" s="20">
        <f t="shared" si="16"/>
        <v>0</v>
      </c>
      <c r="K80" s="20">
        <f t="shared" si="14"/>
        <v>0</v>
      </c>
      <c r="L80" s="20">
        <f t="shared" si="16"/>
        <v>1</v>
      </c>
      <c r="M80" s="20">
        <f t="shared" si="15"/>
        <v>1.5570193705457449</v>
      </c>
      <c r="N80" s="20">
        <f>ABS(G80)</f>
        <v>0</v>
      </c>
      <c r="O80" s="20">
        <f>ABS(I80)</f>
        <v>0</v>
      </c>
      <c r="P80" s="20">
        <f>ABS(K80)</f>
        <v>0</v>
      </c>
      <c r="Q80" s="20">
        <f t="shared" si="11"/>
        <v>1.5570193705457449</v>
      </c>
    </row>
    <row r="81" spans="4:17" x14ac:dyDescent="0.35">
      <c r="D81" s="20">
        <f t="shared" si="8"/>
        <v>80</v>
      </c>
      <c r="E81" s="23">
        <f t="shared" si="9"/>
        <v>2.787878787878785</v>
      </c>
      <c r="F81" s="23">
        <f t="shared" si="10"/>
        <v>-2.1116711499363502E-2</v>
      </c>
      <c r="G81" s="20">
        <f t="shared" si="12"/>
        <v>0</v>
      </c>
      <c r="H81" s="20">
        <f t="shared" si="16"/>
        <v>1</v>
      </c>
      <c r="I81" s="20">
        <f t="shared" si="13"/>
        <v>-2.1116711499363502E-2</v>
      </c>
      <c r="J81" s="20">
        <f t="shared" si="16"/>
        <v>0</v>
      </c>
      <c r="K81" s="20">
        <f t="shared" si="14"/>
        <v>0</v>
      </c>
      <c r="L81" s="20">
        <f t="shared" si="16"/>
        <v>0</v>
      </c>
      <c r="M81" s="20">
        <f t="shared" si="15"/>
        <v>0</v>
      </c>
      <c r="N81" s="20">
        <f>ABS(G81)</f>
        <v>0</v>
      </c>
      <c r="O81" s="20">
        <f>ABS(I81)</f>
        <v>2.1116711499363502E-2</v>
      </c>
      <c r="P81" s="20">
        <f>ABS(K81)</f>
        <v>0</v>
      </c>
      <c r="Q81" s="20">
        <f t="shared" si="11"/>
        <v>0</v>
      </c>
    </row>
    <row r="82" spans="4:17" x14ac:dyDescent="0.35">
      <c r="D82" s="20">
        <f t="shared" si="8"/>
        <v>81</v>
      </c>
      <c r="E82" s="23">
        <f t="shared" si="9"/>
        <v>2.8484848484848455</v>
      </c>
      <c r="F82" s="23">
        <f t="shared" si="10"/>
        <v>-1.5041710102182357</v>
      </c>
      <c r="G82" s="20">
        <f t="shared" si="12"/>
        <v>0</v>
      </c>
      <c r="H82" s="20">
        <f t="shared" si="16"/>
        <v>0</v>
      </c>
      <c r="I82" s="20">
        <f t="shared" si="13"/>
        <v>0</v>
      </c>
      <c r="J82" s="20">
        <f t="shared" si="16"/>
        <v>1</v>
      </c>
      <c r="K82" s="20">
        <f t="shared" si="14"/>
        <v>-1.5041710102182357</v>
      </c>
      <c r="L82" s="20">
        <f t="shared" si="16"/>
        <v>0</v>
      </c>
      <c r="M82" s="20">
        <f t="shared" si="15"/>
        <v>0</v>
      </c>
      <c r="N82" s="20">
        <f>ABS(G82)</f>
        <v>0</v>
      </c>
      <c r="O82" s="20">
        <f>ABS(I82)</f>
        <v>0</v>
      </c>
      <c r="P82" s="20">
        <f>ABS(K82)</f>
        <v>1.5041710102182357</v>
      </c>
      <c r="Q82" s="20">
        <f t="shared" si="11"/>
        <v>0</v>
      </c>
    </row>
    <row r="83" spans="4:17" x14ac:dyDescent="0.35">
      <c r="D83" s="20">
        <f t="shared" si="8"/>
        <v>82</v>
      </c>
      <c r="E83" s="23">
        <f t="shared" si="9"/>
        <v>2.9090909090909061</v>
      </c>
      <c r="F83" s="23">
        <f t="shared" si="10"/>
        <v>-1.8852947986212525</v>
      </c>
      <c r="G83" s="20">
        <f t="shared" si="12"/>
        <v>0</v>
      </c>
      <c r="H83" s="20">
        <f t="shared" si="16"/>
        <v>0</v>
      </c>
      <c r="I83" s="20">
        <f t="shared" si="13"/>
        <v>0</v>
      </c>
      <c r="J83" s="20">
        <f t="shared" si="16"/>
        <v>0</v>
      </c>
      <c r="K83" s="20">
        <f t="shared" si="14"/>
        <v>0</v>
      </c>
      <c r="L83" s="20">
        <f t="shared" si="16"/>
        <v>1</v>
      </c>
      <c r="M83" s="20">
        <f t="shared" si="15"/>
        <v>-1.8852947986212525</v>
      </c>
      <c r="N83" s="20">
        <f>ABS(G83)</f>
        <v>0</v>
      </c>
      <c r="O83" s="20">
        <f>ABS(I83)</f>
        <v>0</v>
      </c>
      <c r="P83" s="20">
        <f>ABS(K83)</f>
        <v>0</v>
      </c>
      <c r="Q83" s="20">
        <f t="shared" si="11"/>
        <v>1.8852947986212525</v>
      </c>
    </row>
    <row r="84" spans="4:17" x14ac:dyDescent="0.35">
      <c r="D84" s="20">
        <f t="shared" si="8"/>
        <v>83</v>
      </c>
      <c r="E84" s="23">
        <f t="shared" si="9"/>
        <v>2.9696969696969666</v>
      </c>
      <c r="F84" s="23">
        <f t="shared" si="10"/>
        <v>-0.90919543110167733</v>
      </c>
      <c r="G84" s="20">
        <f t="shared" si="12"/>
        <v>0</v>
      </c>
      <c r="H84" s="20">
        <f t="shared" si="16"/>
        <v>1</v>
      </c>
      <c r="I84" s="20">
        <f t="shared" si="13"/>
        <v>-0.90919543110167733</v>
      </c>
      <c r="J84" s="20">
        <f t="shared" si="16"/>
        <v>0</v>
      </c>
      <c r="K84" s="20">
        <f t="shared" si="14"/>
        <v>0</v>
      </c>
      <c r="L84" s="20">
        <f t="shared" si="16"/>
        <v>0</v>
      </c>
      <c r="M84" s="20">
        <f t="shared" si="15"/>
        <v>0</v>
      </c>
      <c r="N84" s="20">
        <f>ABS(G84)</f>
        <v>0</v>
      </c>
      <c r="O84" s="20">
        <f>ABS(I84)</f>
        <v>0.90919543110167733</v>
      </c>
      <c r="P84" s="20">
        <f>ABS(K84)</f>
        <v>0</v>
      </c>
      <c r="Q84" s="20">
        <f t="shared" si="11"/>
        <v>0</v>
      </c>
    </row>
    <row r="85" spans="4:17" x14ac:dyDescent="0.35">
      <c r="D85" s="20">
        <f t="shared" si="8"/>
        <v>84</v>
      </c>
      <c r="E85" s="23">
        <f t="shared" si="9"/>
        <v>3.0303030303030272</v>
      </c>
      <c r="F85" s="23">
        <f t="shared" si="10"/>
        <v>0.68804700018220166</v>
      </c>
      <c r="G85" s="20">
        <f t="shared" si="12"/>
        <v>0</v>
      </c>
      <c r="H85" s="20">
        <f t="shared" si="16"/>
        <v>0</v>
      </c>
      <c r="I85" s="20">
        <f t="shared" si="13"/>
        <v>0</v>
      </c>
      <c r="J85" s="20">
        <f t="shared" si="16"/>
        <v>1</v>
      </c>
      <c r="K85" s="20">
        <f t="shared" si="14"/>
        <v>0.68804700018220166</v>
      </c>
      <c r="L85" s="20">
        <f t="shared" si="16"/>
        <v>0</v>
      </c>
      <c r="M85" s="20">
        <f t="shared" si="15"/>
        <v>0</v>
      </c>
      <c r="N85" s="20">
        <f>ABS(G85)</f>
        <v>0</v>
      </c>
      <c r="O85" s="20">
        <f>ABS(I85)</f>
        <v>0</v>
      </c>
      <c r="P85" s="20">
        <f>ABS(K85)</f>
        <v>0.68804700018220166</v>
      </c>
      <c r="Q85" s="20">
        <f t="shared" si="11"/>
        <v>0</v>
      </c>
    </row>
    <row r="86" spans="4:17" x14ac:dyDescent="0.35">
      <c r="D86" s="20">
        <f t="shared" si="8"/>
        <v>85</v>
      </c>
      <c r="E86" s="23">
        <f t="shared" si="9"/>
        <v>3.0909090909090877</v>
      </c>
      <c r="F86" s="23">
        <f t="shared" si="10"/>
        <v>1.6778948497465636</v>
      </c>
      <c r="G86" s="20">
        <f t="shared" si="12"/>
        <v>0</v>
      </c>
      <c r="H86" s="20">
        <f t="shared" si="16"/>
        <v>0</v>
      </c>
      <c r="I86" s="20">
        <f t="shared" si="13"/>
        <v>0</v>
      </c>
      <c r="J86" s="20">
        <f t="shared" si="16"/>
        <v>0</v>
      </c>
      <c r="K86" s="20">
        <f t="shared" si="14"/>
        <v>0</v>
      </c>
      <c r="L86" s="20">
        <f t="shared" si="16"/>
        <v>1</v>
      </c>
      <c r="M86" s="20">
        <f t="shared" si="15"/>
        <v>1.6778948497465636</v>
      </c>
      <c r="N86" s="20">
        <f>ABS(G86)</f>
        <v>0</v>
      </c>
      <c r="O86" s="20">
        <f>ABS(I86)</f>
        <v>0</v>
      </c>
      <c r="P86" s="20">
        <f>ABS(K86)</f>
        <v>0</v>
      </c>
      <c r="Q86" s="20">
        <f t="shared" si="11"/>
        <v>1.6778948497465636</v>
      </c>
    </row>
    <row r="87" spans="4:17" x14ac:dyDescent="0.35">
      <c r="D87" s="20">
        <f t="shared" ref="D87:D150" si="17">IF(D86&lt;=$B$5,D86+1,"")</f>
        <v>86</v>
      </c>
      <c r="E87" s="23">
        <f t="shared" ref="E87:E150" si="18">IF(D86&lt;=$B$5,E86+$B$6,"")</f>
        <v>3.1515151515151483</v>
      </c>
      <c r="F87" s="23">
        <f t="shared" ref="F87:F150" si="19">IF(D86&lt;=$B$5,(20*COS((5/2)*E87^2+1))/(E87^2+2),"")</f>
        <v>1.2848232202204937</v>
      </c>
      <c r="G87" s="20">
        <f t="shared" si="12"/>
        <v>0</v>
      </c>
      <c r="H87" s="20">
        <f t="shared" si="16"/>
        <v>1</v>
      </c>
      <c r="I87" s="20">
        <f t="shared" si="13"/>
        <v>1.2848232202204937</v>
      </c>
      <c r="J87" s="20">
        <f t="shared" si="16"/>
        <v>0</v>
      </c>
      <c r="K87" s="20">
        <f t="shared" si="14"/>
        <v>0</v>
      </c>
      <c r="L87" s="20">
        <f t="shared" si="16"/>
        <v>0</v>
      </c>
      <c r="M87" s="20">
        <f t="shared" si="15"/>
        <v>0</v>
      </c>
      <c r="N87" s="20">
        <f>ABS(G87)</f>
        <v>0</v>
      </c>
      <c r="O87" s="20">
        <f>ABS(I87)</f>
        <v>1.2848232202204937</v>
      </c>
      <c r="P87" s="20">
        <f>ABS(K87)</f>
        <v>0</v>
      </c>
      <c r="Q87" s="20">
        <f t="shared" si="11"/>
        <v>0</v>
      </c>
    </row>
    <row r="88" spans="4:17" x14ac:dyDescent="0.35">
      <c r="D88" s="20">
        <f t="shared" si="17"/>
        <v>87</v>
      </c>
      <c r="E88" s="23">
        <f t="shared" si="18"/>
        <v>3.2121212121212088</v>
      </c>
      <c r="F88" s="23">
        <f t="shared" si="19"/>
        <v>-0.14717746099541373</v>
      </c>
      <c r="G88" s="20">
        <f t="shared" si="12"/>
        <v>0</v>
      </c>
      <c r="H88" s="20">
        <f t="shared" si="16"/>
        <v>0</v>
      </c>
      <c r="I88" s="20">
        <f t="shared" si="13"/>
        <v>0</v>
      </c>
      <c r="J88" s="20">
        <f t="shared" si="16"/>
        <v>1</v>
      </c>
      <c r="K88" s="20">
        <f t="shared" si="14"/>
        <v>-0.14717746099541373</v>
      </c>
      <c r="L88" s="20">
        <f t="shared" si="16"/>
        <v>0</v>
      </c>
      <c r="M88" s="20">
        <f t="shared" si="15"/>
        <v>0</v>
      </c>
      <c r="N88" s="20">
        <f>ABS(G88)</f>
        <v>0</v>
      </c>
      <c r="O88" s="20">
        <f>ABS(I88)</f>
        <v>0</v>
      </c>
      <c r="P88" s="20">
        <f>ABS(K88)</f>
        <v>0.14717746099541373</v>
      </c>
      <c r="Q88" s="20">
        <f t="shared" si="11"/>
        <v>0</v>
      </c>
    </row>
    <row r="89" spans="4:17" x14ac:dyDescent="0.35">
      <c r="D89" s="20">
        <f t="shared" si="17"/>
        <v>88</v>
      </c>
      <c r="E89" s="23">
        <f t="shared" si="18"/>
        <v>3.2727272727272694</v>
      </c>
      <c r="F89" s="23">
        <f t="shared" si="19"/>
        <v>-1.3827524541040181</v>
      </c>
      <c r="G89" s="20">
        <f t="shared" si="12"/>
        <v>0</v>
      </c>
      <c r="H89" s="20">
        <f t="shared" si="16"/>
        <v>0</v>
      </c>
      <c r="I89" s="20">
        <f t="shared" si="13"/>
        <v>0</v>
      </c>
      <c r="J89" s="20">
        <f t="shared" si="16"/>
        <v>0</v>
      </c>
      <c r="K89" s="20">
        <f t="shared" si="14"/>
        <v>0</v>
      </c>
      <c r="L89" s="20">
        <f t="shared" si="16"/>
        <v>1</v>
      </c>
      <c r="M89" s="20">
        <f t="shared" si="15"/>
        <v>-1.3827524541040181</v>
      </c>
      <c r="N89" s="20">
        <f>ABS(G89)</f>
        <v>0</v>
      </c>
      <c r="O89" s="20">
        <f>ABS(I89)</f>
        <v>0</v>
      </c>
      <c r="P89" s="20">
        <f>ABS(K89)</f>
        <v>0</v>
      </c>
      <c r="Q89" s="20">
        <f t="shared" si="11"/>
        <v>1.3827524541040181</v>
      </c>
    </row>
    <row r="90" spans="4:17" x14ac:dyDescent="0.35">
      <c r="D90" s="20">
        <f t="shared" si="17"/>
        <v>89</v>
      </c>
      <c r="E90" s="23">
        <f t="shared" si="18"/>
        <v>3.3333333333333299</v>
      </c>
      <c r="F90" s="23">
        <f t="shared" si="19"/>
        <v>-1.3361587161433579</v>
      </c>
      <c r="G90" s="20">
        <f t="shared" si="12"/>
        <v>0</v>
      </c>
      <c r="H90" s="20">
        <f t="shared" si="16"/>
        <v>1</v>
      </c>
      <c r="I90" s="20">
        <f t="shared" si="13"/>
        <v>-1.3361587161433579</v>
      </c>
      <c r="J90" s="20">
        <f t="shared" si="16"/>
        <v>0</v>
      </c>
      <c r="K90" s="20">
        <f t="shared" si="14"/>
        <v>0</v>
      </c>
      <c r="L90" s="20">
        <f t="shared" si="16"/>
        <v>0</v>
      </c>
      <c r="M90" s="20">
        <f t="shared" si="15"/>
        <v>0</v>
      </c>
      <c r="N90" s="20">
        <f>ABS(G90)</f>
        <v>0</v>
      </c>
      <c r="O90" s="20">
        <f>ABS(I90)</f>
        <v>1.3361587161433579</v>
      </c>
      <c r="P90" s="20">
        <f>ABS(K90)</f>
        <v>0</v>
      </c>
      <c r="Q90" s="20">
        <f t="shared" si="11"/>
        <v>0</v>
      </c>
    </row>
    <row r="91" spans="4:17" x14ac:dyDescent="0.35">
      <c r="D91" s="20">
        <f t="shared" si="17"/>
        <v>90</v>
      </c>
      <c r="E91" s="23">
        <f t="shared" si="18"/>
        <v>3.3939393939393905</v>
      </c>
      <c r="F91" s="23">
        <f t="shared" si="19"/>
        <v>-7.1086321564672442E-2</v>
      </c>
      <c r="G91" s="20">
        <f t="shared" si="12"/>
        <v>0</v>
      </c>
      <c r="H91" s="20">
        <f t="shared" si="16"/>
        <v>0</v>
      </c>
      <c r="I91" s="20">
        <f t="shared" si="13"/>
        <v>0</v>
      </c>
      <c r="J91" s="20">
        <f t="shared" si="16"/>
        <v>1</v>
      </c>
      <c r="K91" s="20">
        <f t="shared" si="14"/>
        <v>-7.1086321564672442E-2</v>
      </c>
      <c r="L91" s="20">
        <f t="shared" si="16"/>
        <v>0</v>
      </c>
      <c r="M91" s="20">
        <f t="shared" si="15"/>
        <v>0</v>
      </c>
      <c r="N91" s="20">
        <f>ABS(G91)</f>
        <v>0</v>
      </c>
      <c r="O91" s="20">
        <f>ABS(I91)</f>
        <v>0</v>
      </c>
      <c r="P91" s="20">
        <f>ABS(K91)</f>
        <v>7.1086321564672442E-2</v>
      </c>
      <c r="Q91" s="20">
        <f t="shared" si="11"/>
        <v>0</v>
      </c>
    </row>
    <row r="92" spans="4:17" x14ac:dyDescent="0.35">
      <c r="D92" s="20">
        <f t="shared" si="17"/>
        <v>91</v>
      </c>
      <c r="E92" s="23">
        <f t="shared" si="18"/>
        <v>3.454545454545451</v>
      </c>
      <c r="F92" s="23">
        <f t="shared" si="19"/>
        <v>1.1996593783233296</v>
      </c>
      <c r="G92" s="20">
        <f t="shared" si="12"/>
        <v>0</v>
      </c>
      <c r="H92" s="20">
        <f t="shared" si="16"/>
        <v>0</v>
      </c>
      <c r="I92" s="20">
        <f t="shared" si="13"/>
        <v>0</v>
      </c>
      <c r="J92" s="20">
        <f t="shared" si="16"/>
        <v>0</v>
      </c>
      <c r="K92" s="20">
        <f t="shared" si="14"/>
        <v>0</v>
      </c>
      <c r="L92" s="20">
        <f t="shared" si="16"/>
        <v>1</v>
      </c>
      <c r="M92" s="20">
        <f t="shared" si="15"/>
        <v>1.1996593783233296</v>
      </c>
      <c r="N92" s="20">
        <f>ABS(G92)</f>
        <v>0</v>
      </c>
      <c r="O92" s="20">
        <f>ABS(I92)</f>
        <v>0</v>
      </c>
      <c r="P92" s="20">
        <f>ABS(K92)</f>
        <v>0</v>
      </c>
      <c r="Q92" s="20">
        <f t="shared" si="11"/>
        <v>1.1996593783233296</v>
      </c>
    </row>
    <row r="93" spans="4:17" x14ac:dyDescent="0.35">
      <c r="D93" s="20">
        <f t="shared" si="17"/>
        <v>92</v>
      </c>
      <c r="E93" s="23">
        <f t="shared" si="18"/>
        <v>3.5151515151515116</v>
      </c>
      <c r="F93" s="23">
        <f t="shared" si="19"/>
        <v>1.2390174111342653</v>
      </c>
      <c r="G93" s="20">
        <f t="shared" si="12"/>
        <v>0</v>
      </c>
      <c r="H93" s="20">
        <f t="shared" si="16"/>
        <v>1</v>
      </c>
      <c r="I93" s="20">
        <f t="shared" si="13"/>
        <v>1.2390174111342653</v>
      </c>
      <c r="J93" s="20">
        <f t="shared" si="16"/>
        <v>0</v>
      </c>
      <c r="K93" s="20">
        <f t="shared" si="14"/>
        <v>0</v>
      </c>
      <c r="L93" s="20">
        <f t="shared" si="16"/>
        <v>0</v>
      </c>
      <c r="M93" s="20">
        <f t="shared" si="15"/>
        <v>0</v>
      </c>
      <c r="N93" s="20">
        <f>ABS(G93)</f>
        <v>0</v>
      </c>
      <c r="O93" s="20">
        <f>ABS(I93)</f>
        <v>1.2390174111342653</v>
      </c>
      <c r="P93" s="20">
        <f>ABS(K93)</f>
        <v>0</v>
      </c>
      <c r="Q93" s="20">
        <f t="shared" si="11"/>
        <v>0</v>
      </c>
    </row>
    <row r="94" spans="4:17" x14ac:dyDescent="0.35">
      <c r="D94" s="20">
        <f t="shared" si="17"/>
        <v>93</v>
      </c>
      <c r="E94" s="23">
        <f t="shared" si="18"/>
        <v>3.5757575757575721</v>
      </c>
      <c r="F94" s="23">
        <f t="shared" si="19"/>
        <v>2.9237813967201622E-2</v>
      </c>
      <c r="G94" s="20">
        <f t="shared" si="12"/>
        <v>0</v>
      </c>
      <c r="H94" s="20">
        <f t="shared" si="16"/>
        <v>0</v>
      </c>
      <c r="I94" s="20">
        <f t="shared" si="13"/>
        <v>0</v>
      </c>
      <c r="J94" s="20">
        <f t="shared" si="16"/>
        <v>1</v>
      </c>
      <c r="K94" s="20">
        <f t="shared" si="14"/>
        <v>2.9237813967201622E-2</v>
      </c>
      <c r="L94" s="20">
        <f t="shared" si="16"/>
        <v>0</v>
      </c>
      <c r="M94" s="20">
        <f t="shared" si="15"/>
        <v>0</v>
      </c>
      <c r="N94" s="20">
        <f>ABS(G94)</f>
        <v>0</v>
      </c>
      <c r="O94" s="20">
        <f>ABS(I94)</f>
        <v>0</v>
      </c>
      <c r="P94" s="20">
        <f>ABS(K94)</f>
        <v>2.9237813967201622E-2</v>
      </c>
      <c r="Q94" s="20">
        <f t="shared" si="11"/>
        <v>0</v>
      </c>
    </row>
    <row r="95" spans="4:17" x14ac:dyDescent="0.35">
      <c r="D95" s="20">
        <f t="shared" si="17"/>
        <v>94</v>
      </c>
      <c r="E95" s="23">
        <f t="shared" si="18"/>
        <v>3.6363636363636327</v>
      </c>
      <c r="F95" s="23">
        <f t="shared" si="19"/>
        <v>-1.1531677147470665</v>
      </c>
      <c r="G95" s="20">
        <f t="shared" si="12"/>
        <v>0</v>
      </c>
      <c r="H95" s="20">
        <f t="shared" si="16"/>
        <v>0</v>
      </c>
      <c r="I95" s="20">
        <f t="shared" si="13"/>
        <v>0</v>
      </c>
      <c r="J95" s="20">
        <f t="shared" si="16"/>
        <v>0</v>
      </c>
      <c r="K95" s="20">
        <f t="shared" si="14"/>
        <v>0</v>
      </c>
      <c r="L95" s="20">
        <f t="shared" si="16"/>
        <v>1</v>
      </c>
      <c r="M95" s="20">
        <f t="shared" si="15"/>
        <v>-1.1531677147470665</v>
      </c>
      <c r="N95" s="20">
        <f>ABS(G95)</f>
        <v>0</v>
      </c>
      <c r="O95" s="20">
        <f>ABS(I95)</f>
        <v>0</v>
      </c>
      <c r="P95" s="20">
        <f>ABS(K95)</f>
        <v>0</v>
      </c>
      <c r="Q95" s="20">
        <f t="shared" si="11"/>
        <v>1.1531677147470665</v>
      </c>
    </row>
    <row r="96" spans="4:17" x14ac:dyDescent="0.35">
      <c r="D96" s="20">
        <f t="shared" si="17"/>
        <v>95</v>
      </c>
      <c r="E96" s="23">
        <f t="shared" si="18"/>
        <v>3.6969696969696932</v>
      </c>
      <c r="F96" s="23">
        <f t="shared" si="19"/>
        <v>-1.0452414045448819</v>
      </c>
      <c r="G96" s="20">
        <f t="shared" si="12"/>
        <v>0</v>
      </c>
      <c r="H96" s="20">
        <f t="shared" si="16"/>
        <v>1</v>
      </c>
      <c r="I96" s="20">
        <f t="shared" si="13"/>
        <v>-1.0452414045448819</v>
      </c>
      <c r="J96" s="20">
        <f t="shared" si="16"/>
        <v>0</v>
      </c>
      <c r="K96" s="20">
        <f t="shared" si="14"/>
        <v>0</v>
      </c>
      <c r="L96" s="20">
        <f t="shared" si="16"/>
        <v>0</v>
      </c>
      <c r="M96" s="20">
        <f t="shared" si="15"/>
        <v>0</v>
      </c>
      <c r="N96" s="20">
        <f>ABS(G96)</f>
        <v>0</v>
      </c>
      <c r="O96" s="20">
        <f>ABS(I96)</f>
        <v>1.0452414045448819</v>
      </c>
      <c r="P96" s="20">
        <f>ABS(K96)</f>
        <v>0</v>
      </c>
      <c r="Q96" s="20">
        <f t="shared" si="11"/>
        <v>0</v>
      </c>
    </row>
    <row r="97" spans="4:17" x14ac:dyDescent="0.35">
      <c r="D97" s="20">
        <f t="shared" si="17"/>
        <v>96</v>
      </c>
      <c r="E97" s="23">
        <f t="shared" si="18"/>
        <v>3.7575757575757538</v>
      </c>
      <c r="F97" s="23">
        <f t="shared" si="19"/>
        <v>0.21006271169118779</v>
      </c>
      <c r="G97" s="20">
        <f t="shared" si="12"/>
        <v>0</v>
      </c>
      <c r="H97" s="20">
        <f t="shared" si="16"/>
        <v>0</v>
      </c>
      <c r="I97" s="20">
        <f t="shared" si="13"/>
        <v>0</v>
      </c>
      <c r="J97" s="20">
        <f t="shared" si="16"/>
        <v>1</v>
      </c>
      <c r="K97" s="20">
        <f t="shared" si="14"/>
        <v>0.21006271169118779</v>
      </c>
      <c r="L97" s="20">
        <f t="shared" si="16"/>
        <v>0</v>
      </c>
      <c r="M97" s="20">
        <f t="shared" si="15"/>
        <v>0</v>
      </c>
      <c r="N97" s="20">
        <f>ABS(G97)</f>
        <v>0</v>
      </c>
      <c r="O97" s="20">
        <f>ABS(I97)</f>
        <v>0</v>
      </c>
      <c r="P97" s="20">
        <f>ABS(K97)</f>
        <v>0.21006271169118779</v>
      </c>
      <c r="Q97" s="20">
        <f t="shared" si="11"/>
        <v>0</v>
      </c>
    </row>
    <row r="98" spans="4:17" x14ac:dyDescent="0.35">
      <c r="D98" s="20">
        <f t="shared" si="17"/>
        <v>97</v>
      </c>
      <c r="E98" s="23">
        <f t="shared" si="18"/>
        <v>3.8181818181818143</v>
      </c>
      <c r="F98" s="23">
        <f t="shared" si="19"/>
        <v>1.168027810161711</v>
      </c>
      <c r="G98" s="20">
        <f t="shared" si="12"/>
        <v>0</v>
      </c>
      <c r="H98" s="20">
        <f t="shared" si="16"/>
        <v>0</v>
      </c>
      <c r="I98" s="20">
        <f t="shared" si="13"/>
        <v>0</v>
      </c>
      <c r="J98" s="20">
        <f t="shared" si="16"/>
        <v>0</v>
      </c>
      <c r="K98" s="20">
        <f t="shared" si="14"/>
        <v>0</v>
      </c>
      <c r="L98" s="20">
        <f t="shared" si="16"/>
        <v>1</v>
      </c>
      <c r="M98" s="20">
        <f t="shared" si="15"/>
        <v>1.168027810161711</v>
      </c>
      <c r="N98" s="20">
        <f>ABS(G98)</f>
        <v>0</v>
      </c>
      <c r="O98" s="20">
        <f>ABS(I98)</f>
        <v>0</v>
      </c>
      <c r="P98" s="20">
        <f>ABS(K98)</f>
        <v>0</v>
      </c>
      <c r="Q98" s="20">
        <f t="shared" si="11"/>
        <v>1.168027810161711</v>
      </c>
    </row>
    <row r="99" spans="4:17" x14ac:dyDescent="0.35">
      <c r="D99" s="20">
        <f t="shared" si="17"/>
        <v>98</v>
      </c>
      <c r="E99" s="23">
        <f t="shared" si="18"/>
        <v>3.8787878787878749</v>
      </c>
      <c r="F99" s="23">
        <f t="shared" si="19"/>
        <v>0.71701557043810416</v>
      </c>
      <c r="G99" s="20">
        <f t="shared" si="12"/>
        <v>0</v>
      </c>
      <c r="H99" s="20">
        <f t="shared" si="16"/>
        <v>1</v>
      </c>
      <c r="I99" s="20">
        <f t="shared" si="13"/>
        <v>0.71701557043810416</v>
      </c>
      <c r="J99" s="20">
        <f t="shared" si="16"/>
        <v>0</v>
      </c>
      <c r="K99" s="20">
        <f t="shared" si="14"/>
        <v>0</v>
      </c>
      <c r="L99" s="20">
        <f t="shared" si="16"/>
        <v>0</v>
      </c>
      <c r="M99" s="20">
        <f t="shared" si="15"/>
        <v>0</v>
      </c>
      <c r="N99" s="20">
        <f>ABS(G99)</f>
        <v>0</v>
      </c>
      <c r="O99" s="20">
        <f>ABS(I99)</f>
        <v>0.71701557043810416</v>
      </c>
      <c r="P99" s="20">
        <f>ABS(K99)</f>
        <v>0</v>
      </c>
      <c r="Q99" s="20">
        <f t="shared" si="11"/>
        <v>0</v>
      </c>
    </row>
    <row r="100" spans="4:17" x14ac:dyDescent="0.35">
      <c r="D100" s="20">
        <f t="shared" si="17"/>
        <v>99</v>
      </c>
      <c r="E100" s="23">
        <f t="shared" si="18"/>
        <v>3.9393939393939355</v>
      </c>
      <c r="F100" s="23">
        <f t="shared" si="19"/>
        <v>-0.57432527759777219</v>
      </c>
      <c r="G100" s="20">
        <f t="shared" si="12"/>
        <v>0</v>
      </c>
      <c r="H100" s="20">
        <f t="shared" si="16"/>
        <v>0</v>
      </c>
      <c r="I100" s="20">
        <f t="shared" si="13"/>
        <v>0</v>
      </c>
      <c r="J100" s="20">
        <f t="shared" si="16"/>
        <v>1</v>
      </c>
      <c r="K100" s="20">
        <f t="shared" si="14"/>
        <v>-0.57432527759777219</v>
      </c>
      <c r="L100" s="20">
        <f t="shared" si="16"/>
        <v>0</v>
      </c>
      <c r="M100" s="20">
        <f t="shared" si="15"/>
        <v>0</v>
      </c>
      <c r="N100" s="20">
        <f>ABS(G100)</f>
        <v>0</v>
      </c>
      <c r="O100" s="20">
        <f>ABS(I100)</f>
        <v>0</v>
      </c>
      <c r="P100" s="20">
        <f>ABS(K100)</f>
        <v>0.57432527759777219</v>
      </c>
      <c r="Q100" s="20">
        <f t="shared" si="11"/>
        <v>0</v>
      </c>
    </row>
    <row r="101" spans="4:17" x14ac:dyDescent="0.35">
      <c r="D101" s="20">
        <f t="shared" si="17"/>
        <v>100</v>
      </c>
      <c r="E101" s="23">
        <f t="shared" si="18"/>
        <v>3.999999999999996</v>
      </c>
      <c r="F101" s="23">
        <f t="shared" si="19"/>
        <v>-1.0970436416931562</v>
      </c>
      <c r="G101" s="20">
        <f t="shared" si="12"/>
        <v>-1.0970436416931562</v>
      </c>
      <c r="H101" s="20">
        <f t="shared" si="16"/>
        <v>0</v>
      </c>
      <c r="I101" s="20">
        <f t="shared" si="13"/>
        <v>0</v>
      </c>
      <c r="J101" s="20">
        <f t="shared" si="16"/>
        <v>0</v>
      </c>
      <c r="K101" s="20">
        <f t="shared" si="14"/>
        <v>0</v>
      </c>
      <c r="L101" s="20">
        <f t="shared" si="16"/>
        <v>1</v>
      </c>
      <c r="M101" s="20">
        <f t="shared" si="15"/>
        <v>0</v>
      </c>
      <c r="N101" s="20">
        <f>ABS(G101)</f>
        <v>1.0970436416931562</v>
      </c>
      <c r="O101" s="20">
        <f>ABS(I101)</f>
        <v>0</v>
      </c>
      <c r="P101" s="20">
        <f>ABS(K101)</f>
        <v>0</v>
      </c>
      <c r="Q101" s="20">
        <f t="shared" si="11"/>
        <v>0</v>
      </c>
    </row>
    <row r="102" spans="4:17" x14ac:dyDescent="0.35">
      <c r="D102" s="20" t="str">
        <f t="shared" si="17"/>
        <v/>
      </c>
      <c r="E102" s="23" t="str">
        <f t="shared" si="18"/>
        <v/>
      </c>
      <c r="F102" s="23" t="str">
        <f t="shared" si="19"/>
        <v/>
      </c>
      <c r="G102" s="20">
        <f t="shared" si="12"/>
        <v>0</v>
      </c>
      <c r="H102" s="20">
        <f t="shared" si="16"/>
        <v>1</v>
      </c>
      <c r="I102" s="20">
        <f t="shared" si="13"/>
        <v>0</v>
      </c>
      <c r="J102" s="20">
        <f t="shared" si="16"/>
        <v>0</v>
      </c>
      <c r="K102" s="20">
        <f t="shared" si="14"/>
        <v>0</v>
      </c>
      <c r="L102" s="20">
        <f t="shared" si="16"/>
        <v>0</v>
      </c>
      <c r="M102" s="20">
        <f t="shared" si="15"/>
        <v>0</v>
      </c>
      <c r="N102" s="20">
        <f>ABS(G102)</f>
        <v>0</v>
      </c>
      <c r="O102" s="20">
        <f>ABS(I102)</f>
        <v>0</v>
      </c>
      <c r="P102" s="20">
        <f>ABS(K102)</f>
        <v>0</v>
      </c>
      <c r="Q102" s="20">
        <f t="shared" si="11"/>
        <v>0</v>
      </c>
    </row>
    <row r="103" spans="4:17" x14ac:dyDescent="0.35">
      <c r="D103" s="20" t="str">
        <f t="shared" si="17"/>
        <v/>
      </c>
      <c r="E103" s="23" t="str">
        <f t="shared" si="18"/>
        <v/>
      </c>
      <c r="F103" s="23" t="str">
        <f t="shared" si="19"/>
        <v/>
      </c>
      <c r="G103" s="20">
        <f t="shared" si="12"/>
        <v>0</v>
      </c>
      <c r="H103" s="20">
        <f t="shared" si="16"/>
        <v>0</v>
      </c>
      <c r="I103" s="20">
        <f t="shared" si="13"/>
        <v>0</v>
      </c>
      <c r="J103" s="20">
        <f t="shared" si="16"/>
        <v>1</v>
      </c>
      <c r="K103" s="20">
        <f t="shared" si="14"/>
        <v>0</v>
      </c>
      <c r="L103" s="20">
        <f t="shared" si="16"/>
        <v>0</v>
      </c>
      <c r="M103" s="20">
        <f t="shared" si="15"/>
        <v>0</v>
      </c>
      <c r="N103" s="20">
        <f>ABS(G103)</f>
        <v>0</v>
      </c>
      <c r="O103" s="20">
        <f>ABS(I103)</f>
        <v>0</v>
      </c>
      <c r="P103" s="20">
        <f>ABS(K103)</f>
        <v>0</v>
      </c>
      <c r="Q103" s="20">
        <f t="shared" si="11"/>
        <v>0</v>
      </c>
    </row>
    <row r="104" spans="4:17" x14ac:dyDescent="0.35">
      <c r="D104" s="20" t="str">
        <f t="shared" si="17"/>
        <v/>
      </c>
      <c r="E104" s="23" t="str">
        <f t="shared" si="18"/>
        <v/>
      </c>
      <c r="F104" s="23" t="str">
        <f t="shared" si="19"/>
        <v/>
      </c>
      <c r="G104" s="20">
        <f t="shared" si="12"/>
        <v>0</v>
      </c>
      <c r="H104" s="20">
        <f t="shared" si="16"/>
        <v>0</v>
      </c>
      <c r="I104" s="20">
        <f t="shared" si="13"/>
        <v>0</v>
      </c>
      <c r="J104" s="20">
        <f t="shared" si="16"/>
        <v>0</v>
      </c>
      <c r="K104" s="20">
        <f t="shared" si="14"/>
        <v>0</v>
      </c>
      <c r="L104" s="20">
        <f t="shared" si="16"/>
        <v>1</v>
      </c>
      <c r="M104" s="20">
        <f t="shared" si="15"/>
        <v>0</v>
      </c>
      <c r="N104" s="20">
        <f>ABS(G104)</f>
        <v>0</v>
      </c>
      <c r="O104" s="20">
        <f>ABS(I104)</f>
        <v>0</v>
      </c>
      <c r="P104" s="20">
        <f>ABS(K104)</f>
        <v>0</v>
      </c>
      <c r="Q104" s="20">
        <f t="shared" si="11"/>
        <v>0</v>
      </c>
    </row>
    <row r="105" spans="4:17" x14ac:dyDescent="0.35">
      <c r="D105" s="20" t="str">
        <f t="shared" si="17"/>
        <v/>
      </c>
      <c r="E105" s="23" t="str">
        <f t="shared" si="18"/>
        <v/>
      </c>
      <c r="F105" s="23" t="str">
        <f t="shared" si="19"/>
        <v/>
      </c>
      <c r="G105" s="20">
        <f t="shared" si="12"/>
        <v>0</v>
      </c>
      <c r="H105" s="20">
        <f t="shared" si="16"/>
        <v>1</v>
      </c>
      <c r="I105" s="20">
        <f t="shared" si="13"/>
        <v>0</v>
      </c>
      <c r="J105" s="20">
        <f t="shared" si="16"/>
        <v>0</v>
      </c>
      <c r="K105" s="20">
        <f t="shared" si="14"/>
        <v>0</v>
      </c>
      <c r="L105" s="20">
        <f t="shared" si="16"/>
        <v>0</v>
      </c>
      <c r="M105" s="20">
        <f t="shared" si="15"/>
        <v>0</v>
      </c>
      <c r="N105" s="20">
        <f>ABS(G105)</f>
        <v>0</v>
      </c>
      <c r="O105" s="20">
        <f>ABS(I105)</f>
        <v>0</v>
      </c>
      <c r="P105" s="20">
        <f>ABS(K105)</f>
        <v>0</v>
      </c>
      <c r="Q105" s="20">
        <f t="shared" si="11"/>
        <v>0</v>
      </c>
    </row>
    <row r="106" spans="4:17" x14ac:dyDescent="0.35">
      <c r="D106" s="20" t="str">
        <f t="shared" si="17"/>
        <v/>
      </c>
      <c r="E106" s="23" t="str">
        <f t="shared" si="18"/>
        <v/>
      </c>
      <c r="F106" s="23" t="str">
        <f t="shared" si="19"/>
        <v/>
      </c>
      <c r="G106" s="20">
        <f t="shared" si="12"/>
        <v>0</v>
      </c>
      <c r="H106" s="20">
        <f t="shared" si="16"/>
        <v>0</v>
      </c>
      <c r="I106" s="20">
        <f t="shared" si="13"/>
        <v>0</v>
      </c>
      <c r="J106" s="20">
        <f t="shared" si="16"/>
        <v>1</v>
      </c>
      <c r="K106" s="20">
        <f t="shared" si="14"/>
        <v>0</v>
      </c>
      <c r="L106" s="20">
        <f t="shared" si="16"/>
        <v>0</v>
      </c>
      <c r="M106" s="20">
        <f t="shared" si="15"/>
        <v>0</v>
      </c>
      <c r="N106" s="20">
        <f>ABS(G106)</f>
        <v>0</v>
      </c>
      <c r="O106" s="20">
        <f>ABS(I106)</f>
        <v>0</v>
      </c>
      <c r="P106" s="20">
        <f>ABS(K106)</f>
        <v>0</v>
      </c>
      <c r="Q106" s="20">
        <f t="shared" si="11"/>
        <v>0</v>
      </c>
    </row>
    <row r="107" spans="4:17" x14ac:dyDescent="0.35">
      <c r="D107" s="20" t="str">
        <f t="shared" si="17"/>
        <v/>
      </c>
      <c r="E107" s="23" t="str">
        <f t="shared" si="18"/>
        <v/>
      </c>
      <c r="F107" s="23" t="str">
        <f t="shared" si="19"/>
        <v/>
      </c>
      <c r="G107" s="20">
        <f t="shared" si="12"/>
        <v>0</v>
      </c>
      <c r="H107" s="20">
        <f t="shared" si="16"/>
        <v>0</v>
      </c>
      <c r="I107" s="20">
        <f t="shared" si="13"/>
        <v>0</v>
      </c>
      <c r="J107" s="20">
        <f t="shared" si="16"/>
        <v>0</v>
      </c>
      <c r="K107" s="20">
        <f t="shared" si="14"/>
        <v>0</v>
      </c>
      <c r="L107" s="20">
        <f t="shared" si="16"/>
        <v>1</v>
      </c>
      <c r="M107" s="20">
        <f t="shared" si="15"/>
        <v>0</v>
      </c>
      <c r="N107" s="20">
        <f>ABS(G107)</f>
        <v>0</v>
      </c>
      <c r="O107" s="20">
        <f>ABS(I107)</f>
        <v>0</v>
      </c>
      <c r="P107" s="20">
        <f>ABS(K107)</f>
        <v>0</v>
      </c>
      <c r="Q107" s="20">
        <f t="shared" si="11"/>
        <v>0</v>
      </c>
    </row>
    <row r="108" spans="4:17" x14ac:dyDescent="0.35">
      <c r="D108" s="20" t="str">
        <f t="shared" si="17"/>
        <v/>
      </c>
      <c r="E108" s="23" t="str">
        <f t="shared" si="18"/>
        <v/>
      </c>
      <c r="F108" s="23" t="str">
        <f t="shared" si="19"/>
        <v/>
      </c>
      <c r="G108" s="20">
        <f t="shared" si="12"/>
        <v>0</v>
      </c>
      <c r="H108" s="20">
        <f t="shared" si="16"/>
        <v>1</v>
      </c>
      <c r="I108" s="20">
        <f t="shared" si="13"/>
        <v>0</v>
      </c>
      <c r="J108" s="20">
        <f t="shared" si="16"/>
        <v>0</v>
      </c>
      <c r="K108" s="20">
        <f t="shared" si="14"/>
        <v>0</v>
      </c>
      <c r="L108" s="20">
        <f t="shared" si="16"/>
        <v>0</v>
      </c>
      <c r="M108" s="20">
        <f t="shared" si="15"/>
        <v>0</v>
      </c>
      <c r="N108" s="20">
        <f>ABS(G108)</f>
        <v>0</v>
      </c>
      <c r="O108" s="20">
        <f>ABS(I108)</f>
        <v>0</v>
      </c>
      <c r="P108" s="20">
        <f>ABS(K108)</f>
        <v>0</v>
      </c>
      <c r="Q108" s="20">
        <f t="shared" si="11"/>
        <v>0</v>
      </c>
    </row>
    <row r="109" spans="4:17" x14ac:dyDescent="0.35">
      <c r="D109" s="20" t="str">
        <f t="shared" si="17"/>
        <v/>
      </c>
      <c r="E109" s="23" t="str">
        <f t="shared" si="18"/>
        <v/>
      </c>
      <c r="F109" s="23" t="str">
        <f t="shared" si="19"/>
        <v/>
      </c>
      <c r="G109" s="20">
        <f t="shared" si="12"/>
        <v>0</v>
      </c>
      <c r="H109" s="20">
        <f t="shared" si="16"/>
        <v>0</v>
      </c>
      <c r="I109" s="20">
        <f t="shared" si="13"/>
        <v>0</v>
      </c>
      <c r="J109" s="20">
        <f t="shared" si="16"/>
        <v>1</v>
      </c>
      <c r="K109" s="20">
        <f t="shared" si="14"/>
        <v>0</v>
      </c>
      <c r="L109" s="20">
        <f t="shared" si="16"/>
        <v>0</v>
      </c>
      <c r="M109" s="20">
        <f t="shared" si="15"/>
        <v>0</v>
      </c>
      <c r="N109" s="20">
        <f>ABS(G109)</f>
        <v>0</v>
      </c>
      <c r="O109" s="20">
        <f>ABS(I109)</f>
        <v>0</v>
      </c>
      <c r="P109" s="20">
        <f>ABS(K109)</f>
        <v>0</v>
      </c>
      <c r="Q109" s="20">
        <f t="shared" si="11"/>
        <v>0</v>
      </c>
    </row>
    <row r="110" spans="4:17" x14ac:dyDescent="0.35">
      <c r="D110" s="20" t="str">
        <f t="shared" si="17"/>
        <v/>
      </c>
      <c r="E110" s="23" t="str">
        <f t="shared" si="18"/>
        <v/>
      </c>
      <c r="F110" s="23" t="str">
        <f t="shared" si="19"/>
        <v/>
      </c>
      <c r="G110" s="20">
        <f t="shared" si="12"/>
        <v>0</v>
      </c>
      <c r="H110" s="20">
        <f t="shared" si="16"/>
        <v>0</v>
      </c>
      <c r="I110" s="20">
        <f t="shared" si="13"/>
        <v>0</v>
      </c>
      <c r="J110" s="20">
        <f t="shared" si="16"/>
        <v>0</v>
      </c>
      <c r="K110" s="20">
        <f t="shared" si="14"/>
        <v>0</v>
      </c>
      <c r="L110" s="20">
        <f t="shared" si="16"/>
        <v>1</v>
      </c>
      <c r="M110" s="20">
        <f t="shared" si="15"/>
        <v>0</v>
      </c>
      <c r="N110" s="20">
        <f>ABS(G110)</f>
        <v>0</v>
      </c>
      <c r="O110" s="20">
        <f>ABS(I110)</f>
        <v>0</v>
      </c>
      <c r="P110" s="20">
        <f>ABS(K110)</f>
        <v>0</v>
      </c>
      <c r="Q110" s="20">
        <f t="shared" si="11"/>
        <v>0</v>
      </c>
    </row>
    <row r="111" spans="4:17" x14ac:dyDescent="0.35">
      <c r="D111" s="20" t="str">
        <f t="shared" si="17"/>
        <v/>
      </c>
      <c r="E111" s="23" t="str">
        <f t="shared" si="18"/>
        <v/>
      </c>
      <c r="F111" s="23" t="str">
        <f t="shared" si="19"/>
        <v/>
      </c>
      <c r="G111" s="20">
        <f t="shared" si="12"/>
        <v>0</v>
      </c>
      <c r="H111" s="20">
        <f t="shared" si="16"/>
        <v>1</v>
      </c>
      <c r="I111" s="20">
        <f t="shared" si="13"/>
        <v>0</v>
      </c>
      <c r="J111" s="20">
        <f t="shared" si="16"/>
        <v>0</v>
      </c>
      <c r="K111" s="20">
        <f t="shared" si="14"/>
        <v>0</v>
      </c>
      <c r="L111" s="20">
        <f t="shared" si="16"/>
        <v>0</v>
      </c>
      <c r="M111" s="20">
        <f t="shared" si="15"/>
        <v>0</v>
      </c>
      <c r="N111" s="20">
        <f>ABS(G111)</f>
        <v>0</v>
      </c>
      <c r="O111" s="20">
        <f>ABS(I111)</f>
        <v>0</v>
      </c>
      <c r="P111" s="20">
        <f>ABS(K111)</f>
        <v>0</v>
      </c>
      <c r="Q111" s="20">
        <f t="shared" si="11"/>
        <v>0</v>
      </c>
    </row>
    <row r="112" spans="4:17" x14ac:dyDescent="0.35">
      <c r="D112" s="20" t="str">
        <f t="shared" si="17"/>
        <v/>
      </c>
      <c r="E112" s="23" t="str">
        <f t="shared" si="18"/>
        <v/>
      </c>
      <c r="F112" s="23" t="str">
        <f t="shared" si="19"/>
        <v/>
      </c>
      <c r="G112" s="20">
        <f t="shared" si="12"/>
        <v>0</v>
      </c>
      <c r="H112" s="20">
        <f t="shared" si="16"/>
        <v>0</v>
      </c>
      <c r="I112" s="20">
        <f t="shared" si="13"/>
        <v>0</v>
      </c>
      <c r="J112" s="20">
        <f t="shared" si="16"/>
        <v>1</v>
      </c>
      <c r="K112" s="20">
        <f t="shared" si="14"/>
        <v>0</v>
      </c>
      <c r="L112" s="20">
        <f t="shared" si="16"/>
        <v>0</v>
      </c>
      <c r="M112" s="20">
        <f t="shared" si="15"/>
        <v>0</v>
      </c>
      <c r="N112" s="20">
        <f>ABS(G112)</f>
        <v>0</v>
      </c>
      <c r="O112" s="20">
        <f>ABS(I112)</f>
        <v>0</v>
      </c>
      <c r="P112" s="20">
        <f>ABS(K112)</f>
        <v>0</v>
      </c>
      <c r="Q112" s="20">
        <f t="shared" si="11"/>
        <v>0</v>
      </c>
    </row>
    <row r="113" spans="4:17" x14ac:dyDescent="0.35">
      <c r="D113" s="20" t="str">
        <f t="shared" si="17"/>
        <v/>
      </c>
      <c r="E113" s="23" t="str">
        <f t="shared" si="18"/>
        <v/>
      </c>
      <c r="F113" s="23" t="str">
        <f t="shared" si="19"/>
        <v/>
      </c>
      <c r="G113" s="20">
        <f t="shared" si="12"/>
        <v>0</v>
      </c>
      <c r="H113" s="20">
        <f t="shared" si="16"/>
        <v>0</v>
      </c>
      <c r="I113" s="20">
        <f t="shared" si="13"/>
        <v>0</v>
      </c>
      <c r="J113" s="20">
        <f t="shared" si="16"/>
        <v>0</v>
      </c>
      <c r="K113" s="20">
        <f t="shared" si="14"/>
        <v>0</v>
      </c>
      <c r="L113" s="20">
        <f t="shared" si="16"/>
        <v>1</v>
      </c>
      <c r="M113" s="20">
        <f t="shared" si="15"/>
        <v>0</v>
      </c>
      <c r="N113" s="20">
        <f>ABS(G113)</f>
        <v>0</v>
      </c>
      <c r="O113" s="20">
        <f>ABS(I113)</f>
        <v>0</v>
      </c>
      <c r="P113" s="20">
        <f>ABS(K113)</f>
        <v>0</v>
      </c>
      <c r="Q113" s="20">
        <f t="shared" si="11"/>
        <v>0</v>
      </c>
    </row>
    <row r="114" spans="4:17" x14ac:dyDescent="0.35">
      <c r="D114" s="20" t="str">
        <f t="shared" si="17"/>
        <v/>
      </c>
      <c r="E114" s="23" t="str">
        <f t="shared" si="18"/>
        <v/>
      </c>
      <c r="F114" s="23" t="str">
        <f t="shared" si="19"/>
        <v/>
      </c>
      <c r="G114" s="20">
        <f t="shared" si="12"/>
        <v>0</v>
      </c>
      <c r="H114" s="20">
        <f t="shared" si="16"/>
        <v>1</v>
      </c>
      <c r="I114" s="20">
        <f t="shared" si="13"/>
        <v>0</v>
      </c>
      <c r="J114" s="20">
        <f t="shared" si="16"/>
        <v>0</v>
      </c>
      <c r="K114" s="20">
        <f t="shared" si="14"/>
        <v>0</v>
      </c>
      <c r="L114" s="20">
        <f t="shared" si="16"/>
        <v>0</v>
      </c>
      <c r="M114" s="20">
        <f t="shared" si="15"/>
        <v>0</v>
      </c>
      <c r="N114" s="20">
        <f>ABS(G114)</f>
        <v>0</v>
      </c>
      <c r="O114" s="20">
        <f>ABS(I114)</f>
        <v>0</v>
      </c>
      <c r="P114" s="20">
        <f>ABS(K114)</f>
        <v>0</v>
      </c>
      <c r="Q114" s="20">
        <f t="shared" si="11"/>
        <v>0</v>
      </c>
    </row>
    <row r="115" spans="4:17" x14ac:dyDescent="0.35">
      <c r="D115" s="20" t="str">
        <f t="shared" si="17"/>
        <v/>
      </c>
      <c r="E115" s="23" t="str">
        <f t="shared" si="18"/>
        <v/>
      </c>
      <c r="F115" s="23" t="str">
        <f t="shared" si="19"/>
        <v/>
      </c>
      <c r="G115" s="20">
        <f t="shared" si="12"/>
        <v>0</v>
      </c>
      <c r="H115" s="20">
        <f t="shared" si="16"/>
        <v>0</v>
      </c>
      <c r="I115" s="20">
        <f t="shared" si="13"/>
        <v>0</v>
      </c>
      <c r="J115" s="20">
        <f t="shared" si="16"/>
        <v>1</v>
      </c>
      <c r="K115" s="20">
        <f t="shared" si="14"/>
        <v>0</v>
      </c>
      <c r="L115" s="20">
        <f t="shared" si="16"/>
        <v>0</v>
      </c>
      <c r="M115" s="20">
        <f t="shared" si="15"/>
        <v>0</v>
      </c>
      <c r="N115" s="20">
        <f>ABS(G115)</f>
        <v>0</v>
      </c>
      <c r="O115" s="20">
        <f>ABS(I115)</f>
        <v>0</v>
      </c>
      <c r="P115" s="20">
        <f>ABS(K115)</f>
        <v>0</v>
      </c>
      <c r="Q115" s="20">
        <f t="shared" si="11"/>
        <v>0</v>
      </c>
    </row>
    <row r="116" spans="4:17" x14ac:dyDescent="0.35">
      <c r="D116" s="20" t="str">
        <f t="shared" si="17"/>
        <v/>
      </c>
      <c r="E116" s="23" t="str">
        <f t="shared" si="18"/>
        <v/>
      </c>
      <c r="F116" s="23" t="str">
        <f t="shared" si="19"/>
        <v/>
      </c>
      <c r="G116" s="20">
        <f t="shared" si="12"/>
        <v>0</v>
      </c>
      <c r="H116" s="20">
        <f t="shared" si="16"/>
        <v>0</v>
      </c>
      <c r="I116" s="20">
        <f t="shared" si="13"/>
        <v>0</v>
      </c>
      <c r="J116" s="20">
        <f t="shared" si="16"/>
        <v>0</v>
      </c>
      <c r="K116" s="20">
        <f t="shared" si="14"/>
        <v>0</v>
      </c>
      <c r="L116" s="20">
        <f t="shared" si="16"/>
        <v>1</v>
      </c>
      <c r="M116" s="20">
        <f t="shared" si="15"/>
        <v>0</v>
      </c>
      <c r="N116" s="20">
        <f>ABS(G116)</f>
        <v>0</v>
      </c>
      <c r="O116" s="20">
        <f>ABS(I116)</f>
        <v>0</v>
      </c>
      <c r="P116" s="20">
        <f>ABS(K116)</f>
        <v>0</v>
      </c>
      <c r="Q116" s="20">
        <f t="shared" si="11"/>
        <v>0</v>
      </c>
    </row>
    <row r="117" spans="4:17" x14ac:dyDescent="0.35">
      <c r="D117" s="20" t="str">
        <f t="shared" si="17"/>
        <v/>
      </c>
      <c r="E117" s="23" t="str">
        <f t="shared" si="18"/>
        <v/>
      </c>
      <c r="F117" s="23" t="str">
        <f t="shared" si="19"/>
        <v/>
      </c>
      <c r="G117" s="20">
        <f t="shared" si="12"/>
        <v>0</v>
      </c>
      <c r="H117" s="20">
        <f t="shared" si="16"/>
        <v>1</v>
      </c>
      <c r="I117" s="20">
        <f t="shared" si="13"/>
        <v>0</v>
      </c>
      <c r="J117" s="20">
        <f t="shared" si="16"/>
        <v>0</v>
      </c>
      <c r="K117" s="20">
        <f t="shared" si="14"/>
        <v>0</v>
      </c>
      <c r="L117" s="20">
        <f t="shared" si="16"/>
        <v>0</v>
      </c>
      <c r="M117" s="20">
        <f t="shared" si="15"/>
        <v>0</v>
      </c>
      <c r="N117" s="20">
        <f>ABS(G117)</f>
        <v>0</v>
      </c>
      <c r="O117" s="20">
        <f>ABS(I117)</f>
        <v>0</v>
      </c>
      <c r="P117" s="20">
        <f>ABS(K117)</f>
        <v>0</v>
      </c>
      <c r="Q117" s="20">
        <f t="shared" si="11"/>
        <v>0</v>
      </c>
    </row>
    <row r="118" spans="4:17" x14ac:dyDescent="0.35">
      <c r="D118" s="20" t="str">
        <f t="shared" si="17"/>
        <v/>
      </c>
      <c r="E118" s="23" t="str">
        <f t="shared" si="18"/>
        <v/>
      </c>
      <c r="F118" s="23" t="str">
        <f t="shared" si="19"/>
        <v/>
      </c>
      <c r="G118" s="20">
        <f t="shared" si="12"/>
        <v>0</v>
      </c>
      <c r="H118" s="20">
        <f t="shared" si="16"/>
        <v>0</v>
      </c>
      <c r="I118" s="20">
        <f t="shared" si="13"/>
        <v>0</v>
      </c>
      <c r="J118" s="20">
        <f t="shared" si="16"/>
        <v>1</v>
      </c>
      <c r="K118" s="20">
        <f t="shared" si="14"/>
        <v>0</v>
      </c>
      <c r="L118" s="20">
        <f t="shared" si="16"/>
        <v>0</v>
      </c>
      <c r="M118" s="20">
        <f t="shared" si="15"/>
        <v>0</v>
      </c>
      <c r="N118" s="20">
        <f>ABS(G118)</f>
        <v>0</v>
      </c>
      <c r="O118" s="20">
        <f>ABS(I118)</f>
        <v>0</v>
      </c>
      <c r="P118" s="20">
        <f>ABS(K118)</f>
        <v>0</v>
      </c>
      <c r="Q118" s="20">
        <f t="shared" si="11"/>
        <v>0</v>
      </c>
    </row>
    <row r="119" spans="4:17" x14ac:dyDescent="0.35">
      <c r="D119" s="20" t="str">
        <f t="shared" si="17"/>
        <v/>
      </c>
      <c r="E119" s="23" t="str">
        <f t="shared" si="18"/>
        <v/>
      </c>
      <c r="F119" s="23" t="str">
        <f t="shared" si="19"/>
        <v/>
      </c>
      <c r="G119" s="20">
        <f t="shared" si="12"/>
        <v>0</v>
      </c>
      <c r="H119" s="20">
        <f t="shared" si="16"/>
        <v>0</v>
      </c>
      <c r="I119" s="20">
        <f t="shared" si="13"/>
        <v>0</v>
      </c>
      <c r="J119" s="20">
        <f t="shared" si="16"/>
        <v>0</v>
      </c>
      <c r="K119" s="20">
        <f t="shared" si="14"/>
        <v>0</v>
      </c>
      <c r="L119" s="20">
        <f t="shared" si="16"/>
        <v>1</v>
      </c>
      <c r="M119" s="20">
        <f t="shared" si="15"/>
        <v>0</v>
      </c>
      <c r="N119" s="20">
        <f>ABS(G119)</f>
        <v>0</v>
      </c>
      <c r="O119" s="20">
        <f>ABS(I119)</f>
        <v>0</v>
      </c>
      <c r="P119" s="20">
        <f>ABS(K119)</f>
        <v>0</v>
      </c>
      <c r="Q119" s="20">
        <f t="shared" si="11"/>
        <v>0</v>
      </c>
    </row>
    <row r="120" spans="4:17" x14ac:dyDescent="0.35">
      <c r="D120" s="20" t="str">
        <f t="shared" si="17"/>
        <v/>
      </c>
      <c r="E120" s="23" t="str">
        <f t="shared" si="18"/>
        <v/>
      </c>
      <c r="F120" s="23" t="str">
        <f t="shared" si="19"/>
        <v/>
      </c>
      <c r="G120" s="20">
        <f t="shared" si="12"/>
        <v>0</v>
      </c>
      <c r="H120" s="20">
        <f t="shared" si="16"/>
        <v>1</v>
      </c>
      <c r="I120" s="20">
        <f t="shared" si="13"/>
        <v>0</v>
      </c>
      <c r="J120" s="20">
        <f t="shared" si="16"/>
        <v>0</v>
      </c>
      <c r="K120" s="20">
        <f t="shared" si="14"/>
        <v>0</v>
      </c>
      <c r="L120" s="20">
        <f t="shared" si="16"/>
        <v>0</v>
      </c>
      <c r="M120" s="20">
        <f t="shared" si="15"/>
        <v>0</v>
      </c>
      <c r="N120" s="20">
        <f>ABS(G120)</f>
        <v>0</v>
      </c>
      <c r="O120" s="20">
        <f>ABS(I120)</f>
        <v>0</v>
      </c>
      <c r="P120" s="20">
        <f>ABS(K120)</f>
        <v>0</v>
      </c>
      <c r="Q120" s="20">
        <f t="shared" si="11"/>
        <v>0</v>
      </c>
    </row>
    <row r="121" spans="4:17" x14ac:dyDescent="0.35">
      <c r="D121" s="20" t="str">
        <f t="shared" si="17"/>
        <v/>
      </c>
      <c r="E121" s="23" t="str">
        <f t="shared" si="18"/>
        <v/>
      </c>
      <c r="F121" s="23" t="str">
        <f t="shared" si="19"/>
        <v/>
      </c>
      <c r="G121" s="20">
        <f t="shared" si="12"/>
        <v>0</v>
      </c>
      <c r="H121" s="20">
        <f t="shared" si="16"/>
        <v>0</v>
      </c>
      <c r="I121" s="20">
        <f t="shared" si="13"/>
        <v>0</v>
      </c>
      <c r="J121" s="20">
        <f t="shared" si="16"/>
        <v>1</v>
      </c>
      <c r="K121" s="20">
        <f t="shared" si="14"/>
        <v>0</v>
      </c>
      <c r="L121" s="20">
        <f t="shared" si="16"/>
        <v>0</v>
      </c>
      <c r="M121" s="20">
        <f t="shared" si="15"/>
        <v>0</v>
      </c>
      <c r="N121" s="20">
        <f>ABS(G121)</f>
        <v>0</v>
      </c>
      <c r="O121" s="20">
        <f>ABS(I121)</f>
        <v>0</v>
      </c>
      <c r="P121" s="20">
        <f>ABS(K121)</f>
        <v>0</v>
      </c>
      <c r="Q121" s="20">
        <f t="shared" si="11"/>
        <v>0</v>
      </c>
    </row>
    <row r="122" spans="4:17" x14ac:dyDescent="0.35">
      <c r="D122" s="20" t="str">
        <f t="shared" si="17"/>
        <v/>
      </c>
      <c r="E122" s="23" t="str">
        <f t="shared" si="18"/>
        <v/>
      </c>
      <c r="F122" s="23" t="str">
        <f t="shared" si="19"/>
        <v/>
      </c>
      <c r="G122" s="20">
        <f t="shared" si="12"/>
        <v>0</v>
      </c>
      <c r="H122" s="20">
        <f t="shared" si="16"/>
        <v>0</v>
      </c>
      <c r="I122" s="20">
        <f t="shared" si="13"/>
        <v>0</v>
      </c>
      <c r="J122" s="20">
        <f t="shared" si="16"/>
        <v>0</v>
      </c>
      <c r="K122" s="20">
        <f t="shared" si="14"/>
        <v>0</v>
      </c>
      <c r="L122" s="20">
        <f t="shared" si="16"/>
        <v>1</v>
      </c>
      <c r="M122" s="20">
        <f t="shared" si="15"/>
        <v>0</v>
      </c>
      <c r="N122" s="20">
        <f>ABS(G122)</f>
        <v>0</v>
      </c>
      <c r="O122" s="20">
        <f>ABS(I122)</f>
        <v>0</v>
      </c>
      <c r="P122" s="20">
        <f>ABS(K122)</f>
        <v>0</v>
      </c>
      <c r="Q122" s="20">
        <f t="shared" si="11"/>
        <v>0</v>
      </c>
    </row>
    <row r="123" spans="4:17" x14ac:dyDescent="0.35">
      <c r="D123" s="20" t="str">
        <f t="shared" si="17"/>
        <v/>
      </c>
      <c r="E123" s="23" t="str">
        <f t="shared" si="18"/>
        <v/>
      </c>
      <c r="F123" s="23" t="str">
        <f t="shared" si="19"/>
        <v/>
      </c>
      <c r="G123" s="20">
        <f t="shared" si="12"/>
        <v>0</v>
      </c>
      <c r="H123" s="20">
        <f t="shared" si="16"/>
        <v>1</v>
      </c>
      <c r="I123" s="20">
        <f t="shared" si="13"/>
        <v>0</v>
      </c>
      <c r="J123" s="20">
        <f t="shared" si="16"/>
        <v>0</v>
      </c>
      <c r="K123" s="20">
        <f t="shared" si="14"/>
        <v>0</v>
      </c>
      <c r="L123" s="20">
        <f t="shared" si="16"/>
        <v>0</v>
      </c>
      <c r="M123" s="20">
        <f t="shared" si="15"/>
        <v>0</v>
      </c>
      <c r="N123" s="20">
        <f>ABS(G123)</f>
        <v>0</v>
      </c>
      <c r="O123" s="20">
        <f>ABS(I123)</f>
        <v>0</v>
      </c>
      <c r="P123" s="20">
        <f>ABS(K123)</f>
        <v>0</v>
      </c>
      <c r="Q123" s="20">
        <f t="shared" si="11"/>
        <v>0</v>
      </c>
    </row>
    <row r="124" spans="4:17" x14ac:dyDescent="0.35">
      <c r="D124" s="20" t="str">
        <f t="shared" si="17"/>
        <v/>
      </c>
      <c r="E124" s="23" t="str">
        <f t="shared" si="18"/>
        <v/>
      </c>
      <c r="F124" s="23" t="str">
        <f t="shared" si="19"/>
        <v/>
      </c>
      <c r="G124" s="20">
        <f t="shared" si="12"/>
        <v>0</v>
      </c>
      <c r="H124" s="20">
        <f t="shared" si="16"/>
        <v>0</v>
      </c>
      <c r="I124" s="20">
        <f t="shared" si="13"/>
        <v>0</v>
      </c>
      <c r="J124" s="20">
        <f t="shared" si="16"/>
        <v>1</v>
      </c>
      <c r="K124" s="20">
        <f t="shared" si="14"/>
        <v>0</v>
      </c>
      <c r="L124" s="20">
        <f t="shared" si="16"/>
        <v>0</v>
      </c>
      <c r="M124" s="20">
        <f t="shared" si="15"/>
        <v>0</v>
      </c>
      <c r="N124" s="20">
        <f>ABS(G124)</f>
        <v>0</v>
      </c>
      <c r="O124" s="20">
        <f>ABS(I124)</f>
        <v>0</v>
      </c>
      <c r="P124" s="20">
        <f>ABS(K124)</f>
        <v>0</v>
      </c>
      <c r="Q124" s="20">
        <f t="shared" si="11"/>
        <v>0</v>
      </c>
    </row>
    <row r="125" spans="4:17" x14ac:dyDescent="0.35">
      <c r="D125" s="20" t="str">
        <f t="shared" si="17"/>
        <v/>
      </c>
      <c r="E125" s="23" t="str">
        <f t="shared" si="18"/>
        <v/>
      </c>
      <c r="F125" s="23" t="str">
        <f t="shared" si="19"/>
        <v/>
      </c>
      <c r="G125" s="20">
        <f t="shared" si="12"/>
        <v>0</v>
      </c>
      <c r="H125" s="20">
        <f t="shared" si="16"/>
        <v>0</v>
      </c>
      <c r="I125" s="20">
        <f t="shared" si="13"/>
        <v>0</v>
      </c>
      <c r="J125" s="20">
        <f t="shared" si="16"/>
        <v>0</v>
      </c>
      <c r="K125" s="20">
        <f t="shared" si="14"/>
        <v>0</v>
      </c>
      <c r="L125" s="20">
        <f t="shared" si="16"/>
        <v>1</v>
      </c>
      <c r="M125" s="20">
        <f t="shared" si="15"/>
        <v>0</v>
      </c>
      <c r="N125" s="20">
        <f>ABS(G125)</f>
        <v>0</v>
      </c>
      <c r="O125" s="20">
        <f>ABS(I125)</f>
        <v>0</v>
      </c>
      <c r="P125" s="20">
        <f>ABS(K125)</f>
        <v>0</v>
      </c>
      <c r="Q125" s="20">
        <f t="shared" si="11"/>
        <v>0</v>
      </c>
    </row>
    <row r="126" spans="4:17" x14ac:dyDescent="0.35">
      <c r="D126" s="20" t="str">
        <f t="shared" si="17"/>
        <v/>
      </c>
      <c r="E126" s="23" t="str">
        <f t="shared" si="18"/>
        <v/>
      </c>
      <c r="F126" s="23" t="str">
        <f t="shared" si="19"/>
        <v/>
      </c>
      <c r="G126" s="20">
        <f t="shared" si="12"/>
        <v>0</v>
      </c>
      <c r="H126" s="20">
        <f t="shared" si="16"/>
        <v>1</v>
      </c>
      <c r="I126" s="20">
        <f t="shared" si="13"/>
        <v>0</v>
      </c>
      <c r="J126" s="20">
        <f t="shared" si="16"/>
        <v>0</v>
      </c>
      <c r="K126" s="20">
        <f t="shared" si="14"/>
        <v>0</v>
      </c>
      <c r="L126" s="20">
        <f t="shared" si="16"/>
        <v>0</v>
      </c>
      <c r="M126" s="20">
        <f t="shared" si="15"/>
        <v>0</v>
      </c>
      <c r="N126" s="20">
        <f>ABS(G126)</f>
        <v>0</v>
      </c>
      <c r="O126" s="20">
        <f>ABS(I126)</f>
        <v>0</v>
      </c>
      <c r="P126" s="20">
        <f>ABS(K126)</f>
        <v>0</v>
      </c>
      <c r="Q126" s="20">
        <f t="shared" si="11"/>
        <v>0</v>
      </c>
    </row>
    <row r="127" spans="4:17" x14ac:dyDescent="0.35">
      <c r="D127" s="20" t="str">
        <f t="shared" si="17"/>
        <v/>
      </c>
      <c r="E127" s="23" t="str">
        <f t="shared" si="18"/>
        <v/>
      </c>
      <c r="F127" s="23" t="str">
        <f t="shared" si="19"/>
        <v/>
      </c>
      <c r="G127" s="20">
        <f t="shared" si="12"/>
        <v>0</v>
      </c>
      <c r="H127" s="20">
        <f t="shared" si="16"/>
        <v>0</v>
      </c>
      <c r="I127" s="20">
        <f t="shared" si="13"/>
        <v>0</v>
      </c>
      <c r="J127" s="20">
        <f t="shared" si="16"/>
        <v>1</v>
      </c>
      <c r="K127" s="20">
        <f t="shared" si="14"/>
        <v>0</v>
      </c>
      <c r="L127" s="20">
        <f t="shared" si="16"/>
        <v>0</v>
      </c>
      <c r="M127" s="20">
        <f t="shared" si="15"/>
        <v>0</v>
      </c>
      <c r="N127" s="20">
        <f>ABS(G127)</f>
        <v>0</v>
      </c>
      <c r="O127" s="20">
        <f>ABS(I127)</f>
        <v>0</v>
      </c>
      <c r="P127" s="20">
        <f>ABS(K127)</f>
        <v>0</v>
      </c>
      <c r="Q127" s="20">
        <f t="shared" si="11"/>
        <v>0</v>
      </c>
    </row>
    <row r="128" spans="4:17" x14ac:dyDescent="0.35">
      <c r="D128" s="20" t="str">
        <f t="shared" si="17"/>
        <v/>
      </c>
      <c r="E128" s="23" t="str">
        <f t="shared" si="18"/>
        <v/>
      </c>
      <c r="F128" s="23" t="str">
        <f t="shared" si="19"/>
        <v/>
      </c>
      <c r="G128" s="20">
        <f t="shared" si="12"/>
        <v>0</v>
      </c>
      <c r="H128" s="20">
        <f t="shared" si="16"/>
        <v>0</v>
      </c>
      <c r="I128" s="20">
        <f t="shared" si="13"/>
        <v>0</v>
      </c>
      <c r="J128" s="20">
        <f t="shared" si="16"/>
        <v>0</v>
      </c>
      <c r="K128" s="20">
        <f t="shared" si="14"/>
        <v>0</v>
      </c>
      <c r="L128" s="20">
        <f t="shared" si="16"/>
        <v>1</v>
      </c>
      <c r="M128" s="20">
        <f t="shared" si="15"/>
        <v>0</v>
      </c>
      <c r="N128" s="20">
        <f>ABS(G128)</f>
        <v>0</v>
      </c>
      <c r="O128" s="20">
        <f>ABS(I128)</f>
        <v>0</v>
      </c>
      <c r="P128" s="20">
        <f>ABS(K128)</f>
        <v>0</v>
      </c>
      <c r="Q128" s="20">
        <f t="shared" si="11"/>
        <v>0</v>
      </c>
    </row>
    <row r="129" spans="4:17" x14ac:dyDescent="0.35">
      <c r="D129" s="20" t="str">
        <f t="shared" si="17"/>
        <v/>
      </c>
      <c r="E129" s="23" t="str">
        <f t="shared" si="18"/>
        <v/>
      </c>
      <c r="F129" s="23" t="str">
        <f t="shared" si="19"/>
        <v/>
      </c>
      <c r="G129" s="20">
        <f t="shared" si="12"/>
        <v>0</v>
      </c>
      <c r="H129" s="20">
        <f t="shared" si="16"/>
        <v>1</v>
      </c>
      <c r="I129" s="20">
        <f t="shared" si="13"/>
        <v>0</v>
      </c>
      <c r="J129" s="20">
        <f t="shared" si="16"/>
        <v>0</v>
      </c>
      <c r="K129" s="20">
        <f t="shared" si="14"/>
        <v>0</v>
      </c>
      <c r="L129" s="20">
        <f t="shared" si="16"/>
        <v>0</v>
      </c>
      <c r="M129" s="20">
        <f t="shared" si="15"/>
        <v>0</v>
      </c>
      <c r="N129" s="20">
        <f>ABS(G129)</f>
        <v>0</v>
      </c>
      <c r="O129" s="20">
        <f>ABS(I129)</f>
        <v>0</v>
      </c>
      <c r="P129" s="20">
        <f>ABS(K129)</f>
        <v>0</v>
      </c>
      <c r="Q129" s="20">
        <f t="shared" si="11"/>
        <v>0</v>
      </c>
    </row>
    <row r="130" spans="4:17" x14ac:dyDescent="0.35">
      <c r="D130" s="20" t="str">
        <f t="shared" si="17"/>
        <v/>
      </c>
      <c r="E130" s="23" t="str">
        <f t="shared" si="18"/>
        <v/>
      </c>
      <c r="F130" s="23" t="str">
        <f t="shared" si="19"/>
        <v/>
      </c>
      <c r="G130" s="20">
        <f t="shared" si="12"/>
        <v>0</v>
      </c>
      <c r="H130" s="20">
        <f t="shared" si="16"/>
        <v>0</v>
      </c>
      <c r="I130" s="20">
        <f t="shared" si="13"/>
        <v>0</v>
      </c>
      <c r="J130" s="20">
        <f t="shared" si="16"/>
        <v>1</v>
      </c>
      <c r="K130" s="20">
        <f t="shared" si="14"/>
        <v>0</v>
      </c>
      <c r="L130" s="20">
        <f t="shared" si="16"/>
        <v>0</v>
      </c>
      <c r="M130" s="20">
        <f t="shared" si="15"/>
        <v>0</v>
      </c>
      <c r="N130" s="20">
        <f>ABS(G130)</f>
        <v>0</v>
      </c>
      <c r="O130" s="20">
        <f>ABS(I130)</f>
        <v>0</v>
      </c>
      <c r="P130" s="20">
        <f>ABS(K130)</f>
        <v>0</v>
      </c>
      <c r="Q130" s="20">
        <f t="shared" ref="Q130:Q193" si="20">ABS(M130)</f>
        <v>0</v>
      </c>
    </row>
    <row r="131" spans="4:17" x14ac:dyDescent="0.35">
      <c r="D131" s="20" t="str">
        <f t="shared" si="17"/>
        <v/>
      </c>
      <c r="E131" s="23" t="str">
        <f t="shared" si="18"/>
        <v/>
      </c>
      <c r="F131" s="23" t="str">
        <f t="shared" si="19"/>
        <v/>
      </c>
      <c r="G131" s="20">
        <f t="shared" si="12"/>
        <v>0</v>
      </c>
      <c r="H131" s="20">
        <f t="shared" si="16"/>
        <v>0</v>
      </c>
      <c r="I131" s="20">
        <f t="shared" si="13"/>
        <v>0</v>
      </c>
      <c r="J131" s="20">
        <f t="shared" si="16"/>
        <v>0</v>
      </c>
      <c r="K131" s="20">
        <f t="shared" si="14"/>
        <v>0</v>
      </c>
      <c r="L131" s="20">
        <f t="shared" si="16"/>
        <v>1</v>
      </c>
      <c r="M131" s="20">
        <f t="shared" si="15"/>
        <v>0</v>
      </c>
      <c r="N131" s="20">
        <f>ABS(G131)</f>
        <v>0</v>
      </c>
      <c r="O131" s="20">
        <f>ABS(I131)</f>
        <v>0</v>
      </c>
      <c r="P131" s="20">
        <f>ABS(K131)</f>
        <v>0</v>
      </c>
      <c r="Q131" s="20">
        <f t="shared" ref="Q131:Q193" si="21">ABS(M131)</f>
        <v>0</v>
      </c>
    </row>
    <row r="132" spans="4:17" x14ac:dyDescent="0.35">
      <c r="D132" s="20" t="str">
        <f t="shared" si="17"/>
        <v/>
      </c>
      <c r="E132" s="23" t="str">
        <f t="shared" si="18"/>
        <v/>
      </c>
      <c r="F132" s="23" t="str">
        <f t="shared" si="19"/>
        <v/>
      </c>
      <c r="G132" s="20">
        <f t="shared" ref="G132:G195" si="22">IF(D132=$B$5+1,F132,0)</f>
        <v>0</v>
      </c>
      <c r="H132" s="20">
        <f t="shared" si="16"/>
        <v>1</v>
      </c>
      <c r="I132" s="20">
        <f t="shared" ref="I132:I195" si="23">IF(D131&lt;$B$5,F132*H132,0)</f>
        <v>0</v>
      </c>
      <c r="J132" s="20">
        <f t="shared" si="16"/>
        <v>0</v>
      </c>
      <c r="K132" s="20">
        <f t="shared" ref="K132:K195" si="24">IF(D131&lt;$B$5,F132*J132,0)</f>
        <v>0</v>
      </c>
      <c r="L132" s="20">
        <f t="shared" si="16"/>
        <v>0</v>
      </c>
      <c r="M132" s="20">
        <f t="shared" ref="M132:M195" si="25">IF(D131&lt;$B$5,F132*L132,0)</f>
        <v>0</v>
      </c>
      <c r="N132" s="20">
        <f>ABS(G132)</f>
        <v>0</v>
      </c>
      <c r="O132" s="20">
        <f>ABS(I132)</f>
        <v>0</v>
      </c>
      <c r="P132" s="20">
        <f>ABS(K132)</f>
        <v>0</v>
      </c>
      <c r="Q132" s="20">
        <f t="shared" si="21"/>
        <v>0</v>
      </c>
    </row>
    <row r="133" spans="4:17" x14ac:dyDescent="0.35">
      <c r="D133" s="20" t="str">
        <f t="shared" si="17"/>
        <v/>
      </c>
      <c r="E133" s="23" t="str">
        <f t="shared" si="18"/>
        <v/>
      </c>
      <c r="F133" s="23" t="str">
        <f t="shared" si="19"/>
        <v/>
      </c>
      <c r="G133" s="20">
        <f t="shared" si="22"/>
        <v>0</v>
      </c>
      <c r="H133" s="20">
        <f t="shared" si="16"/>
        <v>0</v>
      </c>
      <c r="I133" s="20">
        <f t="shared" si="23"/>
        <v>0</v>
      </c>
      <c r="J133" s="20">
        <f t="shared" si="16"/>
        <v>1</v>
      </c>
      <c r="K133" s="20">
        <f t="shared" si="24"/>
        <v>0</v>
      </c>
      <c r="L133" s="20">
        <f t="shared" si="16"/>
        <v>0</v>
      </c>
      <c r="M133" s="20">
        <f t="shared" si="25"/>
        <v>0</v>
      </c>
      <c r="N133" s="20">
        <f>ABS(G133)</f>
        <v>0</v>
      </c>
      <c r="O133" s="20">
        <f>ABS(I133)</f>
        <v>0</v>
      </c>
      <c r="P133" s="20">
        <f>ABS(K133)</f>
        <v>0</v>
      </c>
      <c r="Q133" s="20">
        <f t="shared" si="21"/>
        <v>0</v>
      </c>
    </row>
    <row r="134" spans="4:17" x14ac:dyDescent="0.35">
      <c r="D134" s="20" t="str">
        <f t="shared" si="17"/>
        <v/>
      </c>
      <c r="E134" s="23" t="str">
        <f t="shared" si="18"/>
        <v/>
      </c>
      <c r="F134" s="23" t="str">
        <f t="shared" si="19"/>
        <v/>
      </c>
      <c r="G134" s="20">
        <f t="shared" si="22"/>
        <v>0</v>
      </c>
      <c r="H134" s="20">
        <f t="shared" si="16"/>
        <v>0</v>
      </c>
      <c r="I134" s="20">
        <f t="shared" si="23"/>
        <v>0</v>
      </c>
      <c r="J134" s="20">
        <f t="shared" si="16"/>
        <v>0</v>
      </c>
      <c r="K134" s="20">
        <f t="shared" si="24"/>
        <v>0</v>
      </c>
      <c r="L134" s="20">
        <f t="shared" si="16"/>
        <v>1</v>
      </c>
      <c r="M134" s="20">
        <f t="shared" si="25"/>
        <v>0</v>
      </c>
      <c r="N134" s="20">
        <f>ABS(G134)</f>
        <v>0</v>
      </c>
      <c r="O134" s="20">
        <f>ABS(I134)</f>
        <v>0</v>
      </c>
      <c r="P134" s="20">
        <f>ABS(K134)</f>
        <v>0</v>
      </c>
      <c r="Q134" s="20">
        <f t="shared" si="21"/>
        <v>0</v>
      </c>
    </row>
    <row r="135" spans="4:17" x14ac:dyDescent="0.35">
      <c r="D135" s="20" t="str">
        <f t="shared" si="17"/>
        <v/>
      </c>
      <c r="E135" s="23" t="str">
        <f t="shared" si="18"/>
        <v/>
      </c>
      <c r="F135" s="23" t="str">
        <f t="shared" si="19"/>
        <v/>
      </c>
      <c r="G135" s="20">
        <f t="shared" si="22"/>
        <v>0</v>
      </c>
      <c r="H135" s="20">
        <f t="shared" ref="H135:L198" si="26">IF(H134+H133=0,1,0)</f>
        <v>1</v>
      </c>
      <c r="I135" s="20">
        <f t="shared" si="23"/>
        <v>0</v>
      </c>
      <c r="J135" s="20">
        <f t="shared" si="26"/>
        <v>0</v>
      </c>
      <c r="K135" s="20">
        <f t="shared" si="24"/>
        <v>0</v>
      </c>
      <c r="L135" s="20">
        <f t="shared" si="26"/>
        <v>0</v>
      </c>
      <c r="M135" s="20">
        <f t="shared" si="25"/>
        <v>0</v>
      </c>
      <c r="N135" s="20">
        <f>ABS(G135)</f>
        <v>0</v>
      </c>
      <c r="O135" s="20">
        <f>ABS(I135)</f>
        <v>0</v>
      </c>
      <c r="P135" s="20">
        <f>ABS(K135)</f>
        <v>0</v>
      </c>
      <c r="Q135" s="20">
        <f t="shared" si="21"/>
        <v>0</v>
      </c>
    </row>
    <row r="136" spans="4:17" x14ac:dyDescent="0.35">
      <c r="D136" s="20" t="str">
        <f t="shared" si="17"/>
        <v/>
      </c>
      <c r="E136" s="23" t="str">
        <f t="shared" si="18"/>
        <v/>
      </c>
      <c r="F136" s="23" t="str">
        <f t="shared" si="19"/>
        <v/>
      </c>
      <c r="G136" s="20">
        <f t="shared" si="22"/>
        <v>0</v>
      </c>
      <c r="H136" s="20">
        <f t="shared" si="26"/>
        <v>0</v>
      </c>
      <c r="I136" s="20">
        <f t="shared" si="23"/>
        <v>0</v>
      </c>
      <c r="J136" s="20">
        <f t="shared" si="26"/>
        <v>1</v>
      </c>
      <c r="K136" s="20">
        <f t="shared" si="24"/>
        <v>0</v>
      </c>
      <c r="L136" s="20">
        <f t="shared" si="26"/>
        <v>0</v>
      </c>
      <c r="M136" s="20">
        <f t="shared" si="25"/>
        <v>0</v>
      </c>
      <c r="N136" s="20">
        <f>ABS(G136)</f>
        <v>0</v>
      </c>
      <c r="O136" s="20">
        <f>ABS(I136)</f>
        <v>0</v>
      </c>
      <c r="P136" s="20">
        <f>ABS(K136)</f>
        <v>0</v>
      </c>
      <c r="Q136" s="20">
        <f t="shared" si="21"/>
        <v>0</v>
      </c>
    </row>
    <row r="137" spans="4:17" x14ac:dyDescent="0.35">
      <c r="D137" s="20" t="str">
        <f t="shared" si="17"/>
        <v/>
      </c>
      <c r="E137" s="23" t="str">
        <f t="shared" si="18"/>
        <v/>
      </c>
      <c r="F137" s="23" t="str">
        <f t="shared" si="19"/>
        <v/>
      </c>
      <c r="G137" s="20">
        <f t="shared" si="22"/>
        <v>0</v>
      </c>
      <c r="H137" s="20">
        <f t="shared" si="26"/>
        <v>0</v>
      </c>
      <c r="I137" s="20">
        <f t="shared" si="23"/>
        <v>0</v>
      </c>
      <c r="J137" s="20">
        <f t="shared" si="26"/>
        <v>0</v>
      </c>
      <c r="K137" s="20">
        <f t="shared" si="24"/>
        <v>0</v>
      </c>
      <c r="L137" s="20">
        <f t="shared" si="26"/>
        <v>1</v>
      </c>
      <c r="M137" s="20">
        <f t="shared" si="25"/>
        <v>0</v>
      </c>
      <c r="N137" s="20">
        <f>ABS(G137)</f>
        <v>0</v>
      </c>
      <c r="O137" s="20">
        <f>ABS(I137)</f>
        <v>0</v>
      </c>
      <c r="P137" s="20">
        <f>ABS(K137)</f>
        <v>0</v>
      </c>
      <c r="Q137" s="20">
        <f t="shared" si="21"/>
        <v>0</v>
      </c>
    </row>
    <row r="138" spans="4:17" x14ac:dyDescent="0.35">
      <c r="D138" s="20" t="str">
        <f t="shared" si="17"/>
        <v/>
      </c>
      <c r="E138" s="23" t="str">
        <f t="shared" si="18"/>
        <v/>
      </c>
      <c r="F138" s="23" t="str">
        <f t="shared" si="19"/>
        <v/>
      </c>
      <c r="G138" s="20">
        <f t="shared" si="22"/>
        <v>0</v>
      </c>
      <c r="H138" s="20">
        <f t="shared" si="26"/>
        <v>1</v>
      </c>
      <c r="I138" s="20">
        <f t="shared" si="23"/>
        <v>0</v>
      </c>
      <c r="J138" s="20">
        <f t="shared" si="26"/>
        <v>0</v>
      </c>
      <c r="K138" s="20">
        <f t="shared" si="24"/>
        <v>0</v>
      </c>
      <c r="L138" s="20">
        <f t="shared" si="26"/>
        <v>0</v>
      </c>
      <c r="M138" s="20">
        <f t="shared" si="25"/>
        <v>0</v>
      </c>
      <c r="N138" s="20">
        <f>ABS(G138)</f>
        <v>0</v>
      </c>
      <c r="O138" s="20">
        <f>ABS(I138)</f>
        <v>0</v>
      </c>
      <c r="P138" s="20">
        <f>ABS(K138)</f>
        <v>0</v>
      </c>
      <c r="Q138" s="20">
        <f t="shared" si="21"/>
        <v>0</v>
      </c>
    </row>
    <row r="139" spans="4:17" x14ac:dyDescent="0.35">
      <c r="D139" s="20" t="str">
        <f t="shared" si="17"/>
        <v/>
      </c>
      <c r="E139" s="23" t="str">
        <f t="shared" si="18"/>
        <v/>
      </c>
      <c r="F139" s="23" t="str">
        <f t="shared" si="19"/>
        <v/>
      </c>
      <c r="G139" s="20">
        <f t="shared" si="22"/>
        <v>0</v>
      </c>
      <c r="H139" s="20">
        <f t="shared" si="26"/>
        <v>0</v>
      </c>
      <c r="I139" s="20">
        <f t="shared" si="23"/>
        <v>0</v>
      </c>
      <c r="J139" s="20">
        <f t="shared" si="26"/>
        <v>1</v>
      </c>
      <c r="K139" s="20">
        <f t="shared" si="24"/>
        <v>0</v>
      </c>
      <c r="L139" s="20">
        <f t="shared" si="26"/>
        <v>0</v>
      </c>
      <c r="M139" s="20">
        <f t="shared" si="25"/>
        <v>0</v>
      </c>
      <c r="N139" s="20">
        <f>ABS(G139)</f>
        <v>0</v>
      </c>
      <c r="O139" s="20">
        <f>ABS(I139)</f>
        <v>0</v>
      </c>
      <c r="P139" s="20">
        <f>ABS(K139)</f>
        <v>0</v>
      </c>
      <c r="Q139" s="20">
        <f t="shared" si="21"/>
        <v>0</v>
      </c>
    </row>
    <row r="140" spans="4:17" x14ac:dyDescent="0.35">
      <c r="D140" s="20" t="str">
        <f t="shared" si="17"/>
        <v/>
      </c>
      <c r="E140" s="23" t="str">
        <f t="shared" si="18"/>
        <v/>
      </c>
      <c r="F140" s="23" t="str">
        <f t="shared" si="19"/>
        <v/>
      </c>
      <c r="G140" s="20">
        <f t="shared" si="22"/>
        <v>0</v>
      </c>
      <c r="H140" s="20">
        <f t="shared" si="26"/>
        <v>0</v>
      </c>
      <c r="I140" s="20">
        <f t="shared" si="23"/>
        <v>0</v>
      </c>
      <c r="J140" s="20">
        <f t="shared" si="26"/>
        <v>0</v>
      </c>
      <c r="K140" s="20">
        <f t="shared" si="24"/>
        <v>0</v>
      </c>
      <c r="L140" s="20">
        <f t="shared" si="26"/>
        <v>1</v>
      </c>
      <c r="M140" s="20">
        <f t="shared" si="25"/>
        <v>0</v>
      </c>
      <c r="N140" s="20">
        <f>ABS(G140)</f>
        <v>0</v>
      </c>
      <c r="O140" s="20">
        <f>ABS(I140)</f>
        <v>0</v>
      </c>
      <c r="P140" s="20">
        <f>ABS(K140)</f>
        <v>0</v>
      </c>
      <c r="Q140" s="20">
        <f t="shared" si="21"/>
        <v>0</v>
      </c>
    </row>
    <row r="141" spans="4:17" x14ac:dyDescent="0.35">
      <c r="D141" s="20" t="str">
        <f t="shared" si="17"/>
        <v/>
      </c>
      <c r="E141" s="23" t="str">
        <f t="shared" si="18"/>
        <v/>
      </c>
      <c r="F141" s="23" t="str">
        <f t="shared" si="19"/>
        <v/>
      </c>
      <c r="G141" s="20">
        <f t="shared" si="22"/>
        <v>0</v>
      </c>
      <c r="H141" s="20">
        <f t="shared" si="26"/>
        <v>1</v>
      </c>
      <c r="I141" s="20">
        <f t="shared" si="23"/>
        <v>0</v>
      </c>
      <c r="J141" s="20">
        <f t="shared" si="26"/>
        <v>0</v>
      </c>
      <c r="K141" s="20">
        <f t="shared" si="24"/>
        <v>0</v>
      </c>
      <c r="L141" s="20">
        <f t="shared" si="26"/>
        <v>0</v>
      </c>
      <c r="M141" s="20">
        <f t="shared" si="25"/>
        <v>0</v>
      </c>
      <c r="N141" s="20">
        <f>ABS(G141)</f>
        <v>0</v>
      </c>
      <c r="O141" s="20">
        <f>ABS(I141)</f>
        <v>0</v>
      </c>
      <c r="P141" s="20">
        <f>ABS(K141)</f>
        <v>0</v>
      </c>
      <c r="Q141" s="20">
        <f t="shared" si="21"/>
        <v>0</v>
      </c>
    </row>
    <row r="142" spans="4:17" x14ac:dyDescent="0.35">
      <c r="D142" s="20" t="str">
        <f t="shared" si="17"/>
        <v/>
      </c>
      <c r="E142" s="23" t="str">
        <f t="shared" si="18"/>
        <v/>
      </c>
      <c r="F142" s="23" t="str">
        <f t="shared" si="19"/>
        <v/>
      </c>
      <c r="G142" s="20">
        <f t="shared" si="22"/>
        <v>0</v>
      </c>
      <c r="H142" s="20">
        <f t="shared" si="26"/>
        <v>0</v>
      </c>
      <c r="I142" s="20">
        <f t="shared" si="23"/>
        <v>0</v>
      </c>
      <c r="J142" s="20">
        <f t="shared" si="26"/>
        <v>1</v>
      </c>
      <c r="K142" s="20">
        <f t="shared" si="24"/>
        <v>0</v>
      </c>
      <c r="L142" s="20">
        <f t="shared" si="26"/>
        <v>0</v>
      </c>
      <c r="M142" s="20">
        <f t="shared" si="25"/>
        <v>0</v>
      </c>
      <c r="N142" s="20">
        <f>ABS(G142)</f>
        <v>0</v>
      </c>
      <c r="O142" s="20">
        <f>ABS(I142)</f>
        <v>0</v>
      </c>
      <c r="P142" s="20">
        <f>ABS(K142)</f>
        <v>0</v>
      </c>
      <c r="Q142" s="20">
        <f t="shared" si="21"/>
        <v>0</v>
      </c>
    </row>
    <row r="143" spans="4:17" x14ac:dyDescent="0.35">
      <c r="D143" s="20" t="str">
        <f t="shared" si="17"/>
        <v/>
      </c>
      <c r="E143" s="23" t="str">
        <f t="shared" si="18"/>
        <v/>
      </c>
      <c r="F143" s="23" t="str">
        <f t="shared" si="19"/>
        <v/>
      </c>
      <c r="G143" s="20">
        <f t="shared" si="22"/>
        <v>0</v>
      </c>
      <c r="H143" s="20">
        <f t="shared" si="26"/>
        <v>0</v>
      </c>
      <c r="I143" s="20">
        <f t="shared" si="23"/>
        <v>0</v>
      </c>
      <c r="J143" s="20">
        <f t="shared" si="26"/>
        <v>0</v>
      </c>
      <c r="K143" s="20">
        <f t="shared" si="24"/>
        <v>0</v>
      </c>
      <c r="L143" s="20">
        <f t="shared" si="26"/>
        <v>1</v>
      </c>
      <c r="M143" s="20">
        <f t="shared" si="25"/>
        <v>0</v>
      </c>
      <c r="N143" s="20">
        <f>ABS(G143)</f>
        <v>0</v>
      </c>
      <c r="O143" s="20">
        <f>ABS(I143)</f>
        <v>0</v>
      </c>
      <c r="P143" s="20">
        <f>ABS(K143)</f>
        <v>0</v>
      </c>
      <c r="Q143" s="20">
        <f t="shared" si="21"/>
        <v>0</v>
      </c>
    </row>
    <row r="144" spans="4:17" x14ac:dyDescent="0.35">
      <c r="D144" s="20" t="str">
        <f t="shared" si="17"/>
        <v/>
      </c>
      <c r="E144" s="23" t="str">
        <f t="shared" si="18"/>
        <v/>
      </c>
      <c r="F144" s="23" t="str">
        <f t="shared" si="19"/>
        <v/>
      </c>
      <c r="G144" s="20">
        <f t="shared" si="22"/>
        <v>0</v>
      </c>
      <c r="H144" s="20">
        <f t="shared" si="26"/>
        <v>1</v>
      </c>
      <c r="I144" s="20">
        <f t="shared" si="23"/>
        <v>0</v>
      </c>
      <c r="J144" s="20">
        <f t="shared" si="26"/>
        <v>0</v>
      </c>
      <c r="K144" s="20">
        <f t="shared" si="24"/>
        <v>0</v>
      </c>
      <c r="L144" s="20">
        <f t="shared" si="26"/>
        <v>0</v>
      </c>
      <c r="M144" s="20">
        <f t="shared" si="25"/>
        <v>0</v>
      </c>
      <c r="N144" s="20">
        <f>ABS(G144)</f>
        <v>0</v>
      </c>
      <c r="O144" s="20">
        <f>ABS(I144)</f>
        <v>0</v>
      </c>
      <c r="P144" s="20">
        <f>ABS(K144)</f>
        <v>0</v>
      </c>
      <c r="Q144" s="20">
        <f t="shared" si="21"/>
        <v>0</v>
      </c>
    </row>
    <row r="145" spans="4:17" x14ac:dyDescent="0.35">
      <c r="D145" s="20" t="str">
        <f t="shared" si="17"/>
        <v/>
      </c>
      <c r="E145" s="23" t="str">
        <f t="shared" si="18"/>
        <v/>
      </c>
      <c r="F145" s="23" t="str">
        <f t="shared" si="19"/>
        <v/>
      </c>
      <c r="G145" s="20">
        <f t="shared" si="22"/>
        <v>0</v>
      </c>
      <c r="H145" s="20">
        <f t="shared" si="26"/>
        <v>0</v>
      </c>
      <c r="I145" s="20">
        <f t="shared" si="23"/>
        <v>0</v>
      </c>
      <c r="J145" s="20">
        <f t="shared" si="26"/>
        <v>1</v>
      </c>
      <c r="K145" s="20">
        <f t="shared" si="24"/>
        <v>0</v>
      </c>
      <c r="L145" s="20">
        <f t="shared" si="26"/>
        <v>0</v>
      </c>
      <c r="M145" s="20">
        <f t="shared" si="25"/>
        <v>0</v>
      </c>
      <c r="N145" s="20">
        <f>ABS(G145)</f>
        <v>0</v>
      </c>
      <c r="O145" s="20">
        <f>ABS(I145)</f>
        <v>0</v>
      </c>
      <c r="P145" s="20">
        <f>ABS(K145)</f>
        <v>0</v>
      </c>
      <c r="Q145" s="20">
        <f t="shared" si="21"/>
        <v>0</v>
      </c>
    </row>
    <row r="146" spans="4:17" x14ac:dyDescent="0.35">
      <c r="D146" s="20" t="str">
        <f t="shared" si="17"/>
        <v/>
      </c>
      <c r="E146" s="23" t="str">
        <f t="shared" si="18"/>
        <v/>
      </c>
      <c r="F146" s="23" t="str">
        <f t="shared" si="19"/>
        <v/>
      </c>
      <c r="G146" s="20">
        <f t="shared" si="22"/>
        <v>0</v>
      </c>
      <c r="H146" s="20">
        <f t="shared" si="26"/>
        <v>0</v>
      </c>
      <c r="I146" s="20">
        <f t="shared" si="23"/>
        <v>0</v>
      </c>
      <c r="J146" s="20">
        <f t="shared" si="26"/>
        <v>0</v>
      </c>
      <c r="K146" s="20">
        <f t="shared" si="24"/>
        <v>0</v>
      </c>
      <c r="L146" s="20">
        <f t="shared" si="26"/>
        <v>1</v>
      </c>
      <c r="M146" s="20">
        <f t="shared" si="25"/>
        <v>0</v>
      </c>
      <c r="N146" s="20">
        <f>ABS(G146)</f>
        <v>0</v>
      </c>
      <c r="O146" s="20">
        <f>ABS(I146)</f>
        <v>0</v>
      </c>
      <c r="P146" s="20">
        <f>ABS(K146)</f>
        <v>0</v>
      </c>
      <c r="Q146" s="20">
        <f t="shared" si="21"/>
        <v>0</v>
      </c>
    </row>
    <row r="147" spans="4:17" x14ac:dyDescent="0.35">
      <c r="D147" s="20" t="str">
        <f t="shared" si="17"/>
        <v/>
      </c>
      <c r="E147" s="23" t="str">
        <f t="shared" si="18"/>
        <v/>
      </c>
      <c r="F147" s="23" t="str">
        <f t="shared" si="19"/>
        <v/>
      </c>
      <c r="G147" s="20">
        <f t="shared" si="22"/>
        <v>0</v>
      </c>
      <c r="H147" s="20">
        <f t="shared" si="26"/>
        <v>1</v>
      </c>
      <c r="I147" s="20">
        <f t="shared" si="23"/>
        <v>0</v>
      </c>
      <c r="J147" s="20">
        <f t="shared" si="26"/>
        <v>0</v>
      </c>
      <c r="K147" s="20">
        <f t="shared" si="24"/>
        <v>0</v>
      </c>
      <c r="L147" s="20">
        <f t="shared" si="26"/>
        <v>0</v>
      </c>
      <c r="M147" s="20">
        <f t="shared" si="25"/>
        <v>0</v>
      </c>
      <c r="N147" s="20">
        <f>ABS(G147)</f>
        <v>0</v>
      </c>
      <c r="O147" s="20">
        <f>ABS(I147)</f>
        <v>0</v>
      </c>
      <c r="P147" s="20">
        <f>ABS(K147)</f>
        <v>0</v>
      </c>
      <c r="Q147" s="20">
        <f t="shared" si="21"/>
        <v>0</v>
      </c>
    </row>
    <row r="148" spans="4:17" x14ac:dyDescent="0.35">
      <c r="D148" s="20" t="str">
        <f t="shared" si="17"/>
        <v/>
      </c>
      <c r="E148" s="23" t="str">
        <f t="shared" si="18"/>
        <v/>
      </c>
      <c r="F148" s="23" t="str">
        <f t="shared" si="19"/>
        <v/>
      </c>
      <c r="G148" s="20">
        <f t="shared" si="22"/>
        <v>0</v>
      </c>
      <c r="H148" s="20">
        <f t="shared" si="26"/>
        <v>0</v>
      </c>
      <c r="I148" s="20">
        <f t="shared" si="23"/>
        <v>0</v>
      </c>
      <c r="J148" s="20">
        <f t="shared" si="26"/>
        <v>1</v>
      </c>
      <c r="K148" s="20">
        <f t="shared" si="24"/>
        <v>0</v>
      </c>
      <c r="L148" s="20">
        <f t="shared" si="26"/>
        <v>0</v>
      </c>
      <c r="M148" s="20">
        <f t="shared" si="25"/>
        <v>0</v>
      </c>
      <c r="N148" s="20">
        <f>ABS(G148)</f>
        <v>0</v>
      </c>
      <c r="O148" s="20">
        <f>ABS(I148)</f>
        <v>0</v>
      </c>
      <c r="P148" s="20">
        <f>ABS(K148)</f>
        <v>0</v>
      </c>
      <c r="Q148" s="20">
        <f t="shared" si="21"/>
        <v>0</v>
      </c>
    </row>
    <row r="149" spans="4:17" x14ac:dyDescent="0.35">
      <c r="D149" s="20" t="str">
        <f t="shared" si="17"/>
        <v/>
      </c>
      <c r="E149" s="23" t="str">
        <f t="shared" si="18"/>
        <v/>
      </c>
      <c r="F149" s="23" t="str">
        <f t="shared" si="19"/>
        <v/>
      </c>
      <c r="G149" s="20">
        <f t="shared" si="22"/>
        <v>0</v>
      </c>
      <c r="H149" s="20">
        <f t="shared" si="26"/>
        <v>0</v>
      </c>
      <c r="I149" s="20">
        <f t="shared" si="23"/>
        <v>0</v>
      </c>
      <c r="J149" s="20">
        <f t="shared" si="26"/>
        <v>0</v>
      </c>
      <c r="K149" s="20">
        <f t="shared" si="24"/>
        <v>0</v>
      </c>
      <c r="L149" s="20">
        <f t="shared" si="26"/>
        <v>1</v>
      </c>
      <c r="M149" s="20">
        <f t="shared" si="25"/>
        <v>0</v>
      </c>
      <c r="N149" s="20">
        <f>ABS(G149)</f>
        <v>0</v>
      </c>
      <c r="O149" s="20">
        <f>ABS(I149)</f>
        <v>0</v>
      </c>
      <c r="P149" s="20">
        <f>ABS(K149)</f>
        <v>0</v>
      </c>
      <c r="Q149" s="20">
        <f t="shared" si="21"/>
        <v>0</v>
      </c>
    </row>
    <row r="150" spans="4:17" x14ac:dyDescent="0.35">
      <c r="D150" s="20" t="str">
        <f t="shared" si="17"/>
        <v/>
      </c>
      <c r="E150" s="23" t="str">
        <f t="shared" si="18"/>
        <v/>
      </c>
      <c r="F150" s="23" t="str">
        <f t="shared" si="19"/>
        <v/>
      </c>
      <c r="G150" s="20">
        <f t="shared" si="22"/>
        <v>0</v>
      </c>
      <c r="H150" s="20">
        <f t="shared" si="26"/>
        <v>1</v>
      </c>
      <c r="I150" s="20">
        <f t="shared" si="23"/>
        <v>0</v>
      </c>
      <c r="J150" s="20">
        <f t="shared" si="26"/>
        <v>0</v>
      </c>
      <c r="K150" s="20">
        <f t="shared" si="24"/>
        <v>0</v>
      </c>
      <c r="L150" s="20">
        <f t="shared" si="26"/>
        <v>0</v>
      </c>
      <c r="M150" s="20">
        <f t="shared" si="25"/>
        <v>0</v>
      </c>
      <c r="N150" s="20">
        <f>ABS(G150)</f>
        <v>0</v>
      </c>
      <c r="O150" s="20">
        <f>ABS(I150)</f>
        <v>0</v>
      </c>
      <c r="P150" s="20">
        <f>ABS(K150)</f>
        <v>0</v>
      </c>
      <c r="Q150" s="20">
        <f t="shared" si="21"/>
        <v>0</v>
      </c>
    </row>
    <row r="151" spans="4:17" x14ac:dyDescent="0.35">
      <c r="D151" s="20" t="str">
        <f t="shared" ref="D151:D214" si="27">IF(D150&lt;=$B$5,D150+1,"")</f>
        <v/>
      </c>
      <c r="E151" s="23" t="str">
        <f t="shared" ref="E151:E214" si="28">IF(D150&lt;=$B$5,E150+$B$6,"")</f>
        <v/>
      </c>
      <c r="F151" s="23" t="str">
        <f t="shared" ref="F151:F214" si="29">IF(D150&lt;=$B$5,(20*COS((5/2)*E151^2+1))/(E151^2+2),"")</f>
        <v/>
      </c>
      <c r="G151" s="20">
        <f t="shared" si="22"/>
        <v>0</v>
      </c>
      <c r="H151" s="20">
        <f t="shared" si="26"/>
        <v>0</v>
      </c>
      <c r="I151" s="20">
        <f t="shared" si="23"/>
        <v>0</v>
      </c>
      <c r="J151" s="20">
        <f t="shared" si="26"/>
        <v>1</v>
      </c>
      <c r="K151" s="20">
        <f t="shared" si="24"/>
        <v>0</v>
      </c>
      <c r="L151" s="20">
        <f t="shared" si="26"/>
        <v>0</v>
      </c>
      <c r="M151" s="20">
        <f t="shared" si="25"/>
        <v>0</v>
      </c>
      <c r="N151" s="20">
        <f>ABS(G151)</f>
        <v>0</v>
      </c>
      <c r="O151" s="20">
        <f>ABS(I151)</f>
        <v>0</v>
      </c>
      <c r="P151" s="20">
        <f>ABS(K151)</f>
        <v>0</v>
      </c>
      <c r="Q151" s="20">
        <f t="shared" si="21"/>
        <v>0</v>
      </c>
    </row>
    <row r="152" spans="4:17" x14ac:dyDescent="0.35">
      <c r="D152" s="20" t="str">
        <f t="shared" si="27"/>
        <v/>
      </c>
      <c r="E152" s="23" t="str">
        <f t="shared" si="28"/>
        <v/>
      </c>
      <c r="F152" s="23" t="str">
        <f t="shared" si="29"/>
        <v/>
      </c>
      <c r="G152" s="20">
        <f t="shared" si="22"/>
        <v>0</v>
      </c>
      <c r="H152" s="20">
        <f t="shared" si="26"/>
        <v>0</v>
      </c>
      <c r="I152" s="20">
        <f t="shared" si="23"/>
        <v>0</v>
      </c>
      <c r="J152" s="20">
        <f t="shared" si="26"/>
        <v>0</v>
      </c>
      <c r="K152" s="20">
        <f t="shared" si="24"/>
        <v>0</v>
      </c>
      <c r="L152" s="20">
        <f t="shared" si="26"/>
        <v>1</v>
      </c>
      <c r="M152" s="20">
        <f t="shared" si="25"/>
        <v>0</v>
      </c>
      <c r="N152" s="20">
        <f>ABS(G152)</f>
        <v>0</v>
      </c>
      <c r="O152" s="20">
        <f>ABS(I152)</f>
        <v>0</v>
      </c>
      <c r="P152" s="20">
        <f>ABS(K152)</f>
        <v>0</v>
      </c>
      <c r="Q152" s="20">
        <f t="shared" si="21"/>
        <v>0</v>
      </c>
    </row>
    <row r="153" spans="4:17" x14ac:dyDescent="0.35">
      <c r="D153" s="20" t="str">
        <f t="shared" si="27"/>
        <v/>
      </c>
      <c r="E153" s="23" t="str">
        <f t="shared" si="28"/>
        <v/>
      </c>
      <c r="F153" s="23" t="str">
        <f t="shared" si="29"/>
        <v/>
      </c>
      <c r="G153" s="20">
        <f t="shared" si="22"/>
        <v>0</v>
      </c>
      <c r="H153" s="20">
        <f t="shared" si="26"/>
        <v>1</v>
      </c>
      <c r="I153" s="20">
        <f t="shared" si="23"/>
        <v>0</v>
      </c>
      <c r="J153" s="20">
        <f t="shared" si="26"/>
        <v>0</v>
      </c>
      <c r="K153" s="20">
        <f t="shared" si="24"/>
        <v>0</v>
      </c>
      <c r="L153" s="20">
        <f t="shared" si="26"/>
        <v>0</v>
      </c>
      <c r="M153" s="20">
        <f t="shared" si="25"/>
        <v>0</v>
      </c>
      <c r="N153" s="20">
        <f>ABS(G153)</f>
        <v>0</v>
      </c>
      <c r="O153" s="20">
        <f>ABS(I153)</f>
        <v>0</v>
      </c>
      <c r="P153" s="20">
        <f>ABS(K153)</f>
        <v>0</v>
      </c>
      <c r="Q153" s="20">
        <f t="shared" si="21"/>
        <v>0</v>
      </c>
    </row>
    <row r="154" spans="4:17" x14ac:dyDescent="0.35">
      <c r="D154" s="20" t="str">
        <f t="shared" si="27"/>
        <v/>
      </c>
      <c r="E154" s="23" t="str">
        <f t="shared" si="28"/>
        <v/>
      </c>
      <c r="F154" s="23" t="str">
        <f t="shared" si="29"/>
        <v/>
      </c>
      <c r="G154" s="20">
        <f t="shared" si="22"/>
        <v>0</v>
      </c>
      <c r="H154" s="20">
        <f t="shared" si="26"/>
        <v>0</v>
      </c>
      <c r="I154" s="20">
        <f t="shared" si="23"/>
        <v>0</v>
      </c>
      <c r="J154" s="20">
        <f t="shared" si="26"/>
        <v>1</v>
      </c>
      <c r="K154" s="20">
        <f t="shared" si="24"/>
        <v>0</v>
      </c>
      <c r="L154" s="20">
        <f t="shared" si="26"/>
        <v>0</v>
      </c>
      <c r="M154" s="20">
        <f t="shared" si="25"/>
        <v>0</v>
      </c>
      <c r="N154" s="20">
        <f>ABS(G154)</f>
        <v>0</v>
      </c>
      <c r="O154" s="20">
        <f>ABS(I154)</f>
        <v>0</v>
      </c>
      <c r="P154" s="20">
        <f>ABS(K154)</f>
        <v>0</v>
      </c>
      <c r="Q154" s="20">
        <f t="shared" si="21"/>
        <v>0</v>
      </c>
    </row>
    <row r="155" spans="4:17" x14ac:dyDescent="0.35">
      <c r="D155" s="20" t="str">
        <f t="shared" si="27"/>
        <v/>
      </c>
      <c r="E155" s="23" t="str">
        <f t="shared" si="28"/>
        <v/>
      </c>
      <c r="F155" s="23" t="str">
        <f t="shared" si="29"/>
        <v/>
      </c>
      <c r="G155" s="20">
        <f t="shared" si="22"/>
        <v>0</v>
      </c>
      <c r="H155" s="20">
        <f t="shared" si="26"/>
        <v>0</v>
      </c>
      <c r="I155" s="20">
        <f t="shared" si="23"/>
        <v>0</v>
      </c>
      <c r="J155" s="20">
        <f t="shared" si="26"/>
        <v>0</v>
      </c>
      <c r="K155" s="20">
        <f t="shared" si="24"/>
        <v>0</v>
      </c>
      <c r="L155" s="20">
        <f t="shared" si="26"/>
        <v>1</v>
      </c>
      <c r="M155" s="20">
        <f t="shared" si="25"/>
        <v>0</v>
      </c>
      <c r="N155" s="20">
        <f>ABS(G155)</f>
        <v>0</v>
      </c>
      <c r="O155" s="20">
        <f>ABS(I155)</f>
        <v>0</v>
      </c>
      <c r="P155" s="20">
        <f>ABS(K155)</f>
        <v>0</v>
      </c>
      <c r="Q155" s="20">
        <f t="shared" si="21"/>
        <v>0</v>
      </c>
    </row>
    <row r="156" spans="4:17" x14ac:dyDescent="0.35">
      <c r="D156" s="20" t="str">
        <f t="shared" si="27"/>
        <v/>
      </c>
      <c r="E156" s="23" t="str">
        <f t="shared" si="28"/>
        <v/>
      </c>
      <c r="F156" s="23" t="str">
        <f t="shared" si="29"/>
        <v/>
      </c>
      <c r="G156" s="20">
        <f t="shared" si="22"/>
        <v>0</v>
      </c>
      <c r="H156" s="20">
        <f t="shared" si="26"/>
        <v>1</v>
      </c>
      <c r="I156" s="20">
        <f t="shared" si="23"/>
        <v>0</v>
      </c>
      <c r="J156" s="20">
        <f t="shared" si="26"/>
        <v>0</v>
      </c>
      <c r="K156" s="20">
        <f t="shared" si="24"/>
        <v>0</v>
      </c>
      <c r="L156" s="20">
        <f t="shared" si="26"/>
        <v>0</v>
      </c>
      <c r="M156" s="20">
        <f t="shared" si="25"/>
        <v>0</v>
      </c>
      <c r="N156" s="20">
        <f>ABS(G156)</f>
        <v>0</v>
      </c>
      <c r="O156" s="20">
        <f>ABS(I156)</f>
        <v>0</v>
      </c>
      <c r="P156" s="20">
        <f>ABS(K156)</f>
        <v>0</v>
      </c>
      <c r="Q156" s="20">
        <f t="shared" si="21"/>
        <v>0</v>
      </c>
    </row>
    <row r="157" spans="4:17" x14ac:dyDescent="0.35">
      <c r="D157" s="20" t="str">
        <f t="shared" si="27"/>
        <v/>
      </c>
      <c r="E157" s="23" t="str">
        <f t="shared" si="28"/>
        <v/>
      </c>
      <c r="F157" s="23" t="str">
        <f t="shared" si="29"/>
        <v/>
      </c>
      <c r="G157" s="20">
        <f t="shared" si="22"/>
        <v>0</v>
      </c>
      <c r="H157" s="20">
        <f t="shared" si="26"/>
        <v>0</v>
      </c>
      <c r="I157" s="20">
        <f t="shared" si="23"/>
        <v>0</v>
      </c>
      <c r="J157" s="20">
        <f t="shared" si="26"/>
        <v>1</v>
      </c>
      <c r="K157" s="20">
        <f t="shared" si="24"/>
        <v>0</v>
      </c>
      <c r="L157" s="20">
        <f t="shared" si="26"/>
        <v>0</v>
      </c>
      <c r="M157" s="20">
        <f t="shared" si="25"/>
        <v>0</v>
      </c>
      <c r="N157" s="20">
        <f>ABS(G157)</f>
        <v>0</v>
      </c>
      <c r="O157" s="20">
        <f>ABS(I157)</f>
        <v>0</v>
      </c>
      <c r="P157" s="20">
        <f>ABS(K157)</f>
        <v>0</v>
      </c>
      <c r="Q157" s="20">
        <f t="shared" si="21"/>
        <v>0</v>
      </c>
    </row>
    <row r="158" spans="4:17" x14ac:dyDescent="0.35">
      <c r="D158" s="20" t="str">
        <f t="shared" si="27"/>
        <v/>
      </c>
      <c r="E158" s="23" t="str">
        <f t="shared" si="28"/>
        <v/>
      </c>
      <c r="F158" s="23" t="str">
        <f t="shared" si="29"/>
        <v/>
      </c>
      <c r="G158" s="20">
        <f t="shared" si="22"/>
        <v>0</v>
      </c>
      <c r="H158" s="20">
        <f t="shared" si="26"/>
        <v>0</v>
      </c>
      <c r="I158" s="20">
        <f t="shared" si="23"/>
        <v>0</v>
      </c>
      <c r="J158" s="20">
        <f t="shared" si="26"/>
        <v>0</v>
      </c>
      <c r="K158" s="20">
        <f t="shared" si="24"/>
        <v>0</v>
      </c>
      <c r="L158" s="20">
        <f t="shared" si="26"/>
        <v>1</v>
      </c>
      <c r="M158" s="20">
        <f t="shared" si="25"/>
        <v>0</v>
      </c>
      <c r="N158" s="20">
        <f>ABS(G158)</f>
        <v>0</v>
      </c>
      <c r="O158" s="20">
        <f>ABS(I158)</f>
        <v>0</v>
      </c>
      <c r="P158" s="20">
        <f>ABS(K158)</f>
        <v>0</v>
      </c>
      <c r="Q158" s="20">
        <f t="shared" si="21"/>
        <v>0</v>
      </c>
    </row>
    <row r="159" spans="4:17" x14ac:dyDescent="0.35">
      <c r="D159" s="20" t="str">
        <f t="shared" si="27"/>
        <v/>
      </c>
      <c r="E159" s="23" t="str">
        <f t="shared" si="28"/>
        <v/>
      </c>
      <c r="F159" s="23" t="str">
        <f t="shared" si="29"/>
        <v/>
      </c>
      <c r="G159" s="20">
        <f t="shared" si="22"/>
        <v>0</v>
      </c>
      <c r="H159" s="20">
        <f t="shared" si="26"/>
        <v>1</v>
      </c>
      <c r="I159" s="20">
        <f t="shared" si="23"/>
        <v>0</v>
      </c>
      <c r="J159" s="20">
        <f t="shared" si="26"/>
        <v>0</v>
      </c>
      <c r="K159" s="20">
        <f t="shared" si="24"/>
        <v>0</v>
      </c>
      <c r="L159" s="20">
        <f t="shared" si="26"/>
        <v>0</v>
      </c>
      <c r="M159" s="20">
        <f t="shared" si="25"/>
        <v>0</v>
      </c>
      <c r="N159" s="20">
        <f>ABS(G159)</f>
        <v>0</v>
      </c>
      <c r="O159" s="20">
        <f>ABS(I159)</f>
        <v>0</v>
      </c>
      <c r="P159" s="20">
        <f>ABS(K159)</f>
        <v>0</v>
      </c>
      <c r="Q159" s="20">
        <f t="shared" si="21"/>
        <v>0</v>
      </c>
    </row>
    <row r="160" spans="4:17" x14ac:dyDescent="0.35">
      <c r="D160" s="20" t="str">
        <f t="shared" si="27"/>
        <v/>
      </c>
      <c r="E160" s="23" t="str">
        <f t="shared" si="28"/>
        <v/>
      </c>
      <c r="F160" s="23" t="str">
        <f t="shared" si="29"/>
        <v/>
      </c>
      <c r="G160" s="20">
        <f t="shared" si="22"/>
        <v>0</v>
      </c>
      <c r="H160" s="20">
        <f t="shared" si="26"/>
        <v>0</v>
      </c>
      <c r="I160" s="20">
        <f t="shared" si="23"/>
        <v>0</v>
      </c>
      <c r="J160" s="20">
        <f t="shared" si="26"/>
        <v>1</v>
      </c>
      <c r="K160" s="20">
        <f t="shared" si="24"/>
        <v>0</v>
      </c>
      <c r="L160" s="20">
        <f t="shared" si="26"/>
        <v>0</v>
      </c>
      <c r="M160" s="20">
        <f t="shared" si="25"/>
        <v>0</v>
      </c>
      <c r="N160" s="20">
        <f>ABS(G160)</f>
        <v>0</v>
      </c>
      <c r="O160" s="20">
        <f>ABS(I160)</f>
        <v>0</v>
      </c>
      <c r="P160" s="20">
        <f>ABS(K160)</f>
        <v>0</v>
      </c>
      <c r="Q160" s="20">
        <f t="shared" si="21"/>
        <v>0</v>
      </c>
    </row>
    <row r="161" spans="4:17" x14ac:dyDescent="0.35">
      <c r="D161" s="20" t="str">
        <f t="shared" si="27"/>
        <v/>
      </c>
      <c r="E161" s="23" t="str">
        <f t="shared" si="28"/>
        <v/>
      </c>
      <c r="F161" s="23" t="str">
        <f t="shared" si="29"/>
        <v/>
      </c>
      <c r="G161" s="20">
        <f t="shared" si="22"/>
        <v>0</v>
      </c>
      <c r="H161" s="20">
        <f t="shared" si="26"/>
        <v>0</v>
      </c>
      <c r="I161" s="20">
        <f t="shared" si="23"/>
        <v>0</v>
      </c>
      <c r="J161" s="20">
        <f t="shared" si="26"/>
        <v>0</v>
      </c>
      <c r="K161" s="20">
        <f t="shared" si="24"/>
        <v>0</v>
      </c>
      <c r="L161" s="20">
        <f t="shared" si="26"/>
        <v>1</v>
      </c>
      <c r="M161" s="20">
        <f t="shared" si="25"/>
        <v>0</v>
      </c>
      <c r="N161" s="20">
        <f>ABS(G161)</f>
        <v>0</v>
      </c>
      <c r="O161" s="20">
        <f>ABS(I161)</f>
        <v>0</v>
      </c>
      <c r="P161" s="20">
        <f>ABS(K161)</f>
        <v>0</v>
      </c>
      <c r="Q161" s="20">
        <f t="shared" si="21"/>
        <v>0</v>
      </c>
    </row>
    <row r="162" spans="4:17" x14ac:dyDescent="0.35">
      <c r="D162" s="20" t="str">
        <f t="shared" si="27"/>
        <v/>
      </c>
      <c r="E162" s="23" t="str">
        <f t="shared" si="28"/>
        <v/>
      </c>
      <c r="F162" s="23" t="str">
        <f t="shared" si="29"/>
        <v/>
      </c>
      <c r="G162" s="20">
        <f t="shared" si="22"/>
        <v>0</v>
      </c>
      <c r="H162" s="20">
        <f t="shared" si="26"/>
        <v>1</v>
      </c>
      <c r="I162" s="20">
        <f t="shared" si="23"/>
        <v>0</v>
      </c>
      <c r="J162" s="20">
        <f t="shared" si="26"/>
        <v>0</v>
      </c>
      <c r="K162" s="20">
        <f t="shared" si="24"/>
        <v>0</v>
      </c>
      <c r="L162" s="20">
        <f t="shared" si="26"/>
        <v>0</v>
      </c>
      <c r="M162" s="20">
        <f t="shared" si="25"/>
        <v>0</v>
      </c>
      <c r="N162" s="20">
        <f>ABS(G162)</f>
        <v>0</v>
      </c>
      <c r="O162" s="20">
        <f>ABS(I162)</f>
        <v>0</v>
      </c>
      <c r="P162" s="20">
        <f>ABS(K162)</f>
        <v>0</v>
      </c>
      <c r="Q162" s="20">
        <f t="shared" si="21"/>
        <v>0</v>
      </c>
    </row>
    <row r="163" spans="4:17" x14ac:dyDescent="0.35">
      <c r="D163" s="20" t="str">
        <f t="shared" si="27"/>
        <v/>
      </c>
      <c r="E163" s="23" t="str">
        <f t="shared" si="28"/>
        <v/>
      </c>
      <c r="F163" s="23" t="str">
        <f t="shared" si="29"/>
        <v/>
      </c>
      <c r="G163" s="20">
        <f t="shared" si="22"/>
        <v>0</v>
      </c>
      <c r="H163" s="20">
        <f t="shared" si="26"/>
        <v>0</v>
      </c>
      <c r="I163" s="20">
        <f t="shared" si="23"/>
        <v>0</v>
      </c>
      <c r="J163" s="20">
        <f t="shared" si="26"/>
        <v>1</v>
      </c>
      <c r="K163" s="20">
        <f t="shared" si="24"/>
        <v>0</v>
      </c>
      <c r="L163" s="20">
        <f t="shared" si="26"/>
        <v>0</v>
      </c>
      <c r="M163" s="20">
        <f t="shared" si="25"/>
        <v>0</v>
      </c>
      <c r="N163" s="20">
        <f>ABS(G163)</f>
        <v>0</v>
      </c>
      <c r="O163" s="20">
        <f>ABS(I163)</f>
        <v>0</v>
      </c>
      <c r="P163" s="20">
        <f>ABS(K163)</f>
        <v>0</v>
      </c>
      <c r="Q163" s="20">
        <f t="shared" si="21"/>
        <v>0</v>
      </c>
    </row>
    <row r="164" spans="4:17" x14ac:dyDescent="0.35">
      <c r="D164" s="20" t="str">
        <f t="shared" si="27"/>
        <v/>
      </c>
      <c r="E164" s="23" t="str">
        <f t="shared" si="28"/>
        <v/>
      </c>
      <c r="F164" s="23" t="str">
        <f t="shared" si="29"/>
        <v/>
      </c>
      <c r="G164" s="20">
        <f t="shared" si="22"/>
        <v>0</v>
      </c>
      <c r="H164" s="20">
        <f t="shared" si="26"/>
        <v>0</v>
      </c>
      <c r="I164" s="20">
        <f t="shared" si="23"/>
        <v>0</v>
      </c>
      <c r="J164" s="20">
        <f t="shared" si="26"/>
        <v>0</v>
      </c>
      <c r="K164" s="20">
        <f t="shared" si="24"/>
        <v>0</v>
      </c>
      <c r="L164" s="20">
        <f t="shared" si="26"/>
        <v>1</v>
      </c>
      <c r="M164" s="20">
        <f t="shared" si="25"/>
        <v>0</v>
      </c>
      <c r="N164" s="20">
        <f>ABS(G164)</f>
        <v>0</v>
      </c>
      <c r="O164" s="20">
        <f>ABS(I164)</f>
        <v>0</v>
      </c>
      <c r="P164" s="20">
        <f>ABS(K164)</f>
        <v>0</v>
      </c>
      <c r="Q164" s="20">
        <f t="shared" si="21"/>
        <v>0</v>
      </c>
    </row>
    <row r="165" spans="4:17" x14ac:dyDescent="0.35">
      <c r="D165" s="20" t="str">
        <f t="shared" si="27"/>
        <v/>
      </c>
      <c r="E165" s="23" t="str">
        <f t="shared" si="28"/>
        <v/>
      </c>
      <c r="F165" s="23" t="str">
        <f t="shared" si="29"/>
        <v/>
      </c>
      <c r="G165" s="20">
        <f t="shared" si="22"/>
        <v>0</v>
      </c>
      <c r="H165" s="20">
        <f t="shared" si="26"/>
        <v>1</v>
      </c>
      <c r="I165" s="20">
        <f t="shared" si="23"/>
        <v>0</v>
      </c>
      <c r="J165" s="20">
        <f t="shared" si="26"/>
        <v>0</v>
      </c>
      <c r="K165" s="20">
        <f t="shared" si="24"/>
        <v>0</v>
      </c>
      <c r="L165" s="20">
        <f t="shared" si="26"/>
        <v>0</v>
      </c>
      <c r="M165" s="20">
        <f t="shared" si="25"/>
        <v>0</v>
      </c>
      <c r="N165" s="20">
        <f>ABS(G165)</f>
        <v>0</v>
      </c>
      <c r="O165" s="20">
        <f>ABS(I165)</f>
        <v>0</v>
      </c>
      <c r="P165" s="20">
        <f>ABS(K165)</f>
        <v>0</v>
      </c>
      <c r="Q165" s="20">
        <f t="shared" si="21"/>
        <v>0</v>
      </c>
    </row>
    <row r="166" spans="4:17" x14ac:dyDescent="0.35">
      <c r="D166" s="20" t="str">
        <f t="shared" si="27"/>
        <v/>
      </c>
      <c r="E166" s="23" t="str">
        <f t="shared" si="28"/>
        <v/>
      </c>
      <c r="F166" s="23" t="str">
        <f t="shared" si="29"/>
        <v/>
      </c>
      <c r="G166" s="20">
        <f t="shared" si="22"/>
        <v>0</v>
      </c>
      <c r="H166" s="20">
        <f t="shared" si="26"/>
        <v>0</v>
      </c>
      <c r="I166" s="20">
        <f t="shared" si="23"/>
        <v>0</v>
      </c>
      <c r="J166" s="20">
        <f t="shared" si="26"/>
        <v>1</v>
      </c>
      <c r="K166" s="20">
        <f t="shared" si="24"/>
        <v>0</v>
      </c>
      <c r="L166" s="20">
        <f t="shared" si="26"/>
        <v>0</v>
      </c>
      <c r="M166" s="20">
        <f t="shared" si="25"/>
        <v>0</v>
      </c>
      <c r="N166" s="20">
        <f>ABS(G166)</f>
        <v>0</v>
      </c>
      <c r="O166" s="20">
        <f>ABS(I166)</f>
        <v>0</v>
      </c>
      <c r="P166" s="20">
        <f>ABS(K166)</f>
        <v>0</v>
      </c>
      <c r="Q166" s="20">
        <f t="shared" si="21"/>
        <v>0</v>
      </c>
    </row>
    <row r="167" spans="4:17" x14ac:dyDescent="0.35">
      <c r="D167" s="20" t="str">
        <f t="shared" si="27"/>
        <v/>
      </c>
      <c r="E167" s="23" t="str">
        <f t="shared" si="28"/>
        <v/>
      </c>
      <c r="F167" s="23" t="str">
        <f t="shared" si="29"/>
        <v/>
      </c>
      <c r="G167" s="20">
        <f t="shared" si="22"/>
        <v>0</v>
      </c>
      <c r="H167" s="20">
        <f t="shared" si="26"/>
        <v>0</v>
      </c>
      <c r="I167" s="20">
        <f t="shared" si="23"/>
        <v>0</v>
      </c>
      <c r="J167" s="20">
        <f t="shared" si="26"/>
        <v>0</v>
      </c>
      <c r="K167" s="20">
        <f t="shared" si="24"/>
        <v>0</v>
      </c>
      <c r="L167" s="20">
        <f t="shared" si="26"/>
        <v>1</v>
      </c>
      <c r="M167" s="20">
        <f t="shared" si="25"/>
        <v>0</v>
      </c>
      <c r="N167" s="20">
        <f>ABS(G167)</f>
        <v>0</v>
      </c>
      <c r="O167" s="20">
        <f>ABS(I167)</f>
        <v>0</v>
      </c>
      <c r="P167" s="20">
        <f>ABS(K167)</f>
        <v>0</v>
      </c>
      <c r="Q167" s="20">
        <f t="shared" si="21"/>
        <v>0</v>
      </c>
    </row>
    <row r="168" spans="4:17" x14ac:dyDescent="0.35">
      <c r="D168" s="20" t="str">
        <f t="shared" si="27"/>
        <v/>
      </c>
      <c r="E168" s="23" t="str">
        <f t="shared" si="28"/>
        <v/>
      </c>
      <c r="F168" s="23" t="str">
        <f t="shared" si="29"/>
        <v/>
      </c>
      <c r="G168" s="20">
        <f t="shared" si="22"/>
        <v>0</v>
      </c>
      <c r="H168" s="20">
        <f t="shared" si="26"/>
        <v>1</v>
      </c>
      <c r="I168" s="20">
        <f t="shared" si="23"/>
        <v>0</v>
      </c>
      <c r="J168" s="20">
        <f t="shared" si="26"/>
        <v>0</v>
      </c>
      <c r="K168" s="20">
        <f t="shared" si="24"/>
        <v>0</v>
      </c>
      <c r="L168" s="20">
        <f t="shared" si="26"/>
        <v>0</v>
      </c>
      <c r="M168" s="20">
        <f t="shared" si="25"/>
        <v>0</v>
      </c>
      <c r="N168" s="20">
        <f>ABS(G168)</f>
        <v>0</v>
      </c>
      <c r="O168" s="20">
        <f>ABS(I168)</f>
        <v>0</v>
      </c>
      <c r="P168" s="20">
        <f>ABS(K168)</f>
        <v>0</v>
      </c>
      <c r="Q168" s="20">
        <f t="shared" si="21"/>
        <v>0</v>
      </c>
    </row>
    <row r="169" spans="4:17" x14ac:dyDescent="0.35">
      <c r="D169" s="20" t="str">
        <f t="shared" si="27"/>
        <v/>
      </c>
      <c r="E169" s="23" t="str">
        <f t="shared" si="28"/>
        <v/>
      </c>
      <c r="F169" s="23" t="str">
        <f t="shared" si="29"/>
        <v/>
      </c>
      <c r="G169" s="20">
        <f t="shared" si="22"/>
        <v>0</v>
      </c>
      <c r="H169" s="20">
        <f t="shared" si="26"/>
        <v>0</v>
      </c>
      <c r="I169" s="20">
        <f t="shared" si="23"/>
        <v>0</v>
      </c>
      <c r="J169" s="20">
        <f t="shared" si="26"/>
        <v>1</v>
      </c>
      <c r="K169" s="20">
        <f t="shared" si="24"/>
        <v>0</v>
      </c>
      <c r="L169" s="20">
        <f t="shared" si="26"/>
        <v>0</v>
      </c>
      <c r="M169" s="20">
        <f t="shared" si="25"/>
        <v>0</v>
      </c>
      <c r="N169" s="20">
        <f>ABS(G169)</f>
        <v>0</v>
      </c>
      <c r="O169" s="20">
        <f>ABS(I169)</f>
        <v>0</v>
      </c>
      <c r="P169" s="20">
        <f>ABS(K169)</f>
        <v>0</v>
      </c>
      <c r="Q169" s="20">
        <f t="shared" si="21"/>
        <v>0</v>
      </c>
    </row>
    <row r="170" spans="4:17" x14ac:dyDescent="0.35">
      <c r="D170" s="20" t="str">
        <f t="shared" si="27"/>
        <v/>
      </c>
      <c r="E170" s="23" t="str">
        <f t="shared" si="28"/>
        <v/>
      </c>
      <c r="F170" s="23" t="str">
        <f t="shared" si="29"/>
        <v/>
      </c>
      <c r="G170" s="20">
        <f t="shared" si="22"/>
        <v>0</v>
      </c>
      <c r="H170" s="20">
        <f t="shared" si="26"/>
        <v>0</v>
      </c>
      <c r="I170" s="20">
        <f t="shared" si="23"/>
        <v>0</v>
      </c>
      <c r="J170" s="20">
        <f t="shared" si="26"/>
        <v>0</v>
      </c>
      <c r="K170" s="20">
        <f t="shared" si="24"/>
        <v>0</v>
      </c>
      <c r="L170" s="20">
        <f t="shared" si="26"/>
        <v>1</v>
      </c>
      <c r="M170" s="20">
        <f t="shared" si="25"/>
        <v>0</v>
      </c>
      <c r="N170" s="20">
        <f>ABS(G170)</f>
        <v>0</v>
      </c>
      <c r="O170" s="20">
        <f>ABS(I170)</f>
        <v>0</v>
      </c>
      <c r="P170" s="20">
        <f>ABS(K170)</f>
        <v>0</v>
      </c>
      <c r="Q170" s="20">
        <f t="shared" si="21"/>
        <v>0</v>
      </c>
    </row>
    <row r="171" spans="4:17" x14ac:dyDescent="0.35">
      <c r="D171" s="20" t="str">
        <f t="shared" si="27"/>
        <v/>
      </c>
      <c r="E171" s="23" t="str">
        <f t="shared" si="28"/>
        <v/>
      </c>
      <c r="F171" s="23" t="str">
        <f t="shared" si="29"/>
        <v/>
      </c>
      <c r="G171" s="20">
        <f t="shared" si="22"/>
        <v>0</v>
      </c>
      <c r="H171" s="20">
        <f t="shared" si="26"/>
        <v>1</v>
      </c>
      <c r="I171" s="20">
        <f t="shared" si="23"/>
        <v>0</v>
      </c>
      <c r="J171" s="20">
        <f t="shared" si="26"/>
        <v>0</v>
      </c>
      <c r="K171" s="20">
        <f t="shared" si="24"/>
        <v>0</v>
      </c>
      <c r="L171" s="20">
        <f t="shared" si="26"/>
        <v>0</v>
      </c>
      <c r="M171" s="20">
        <f t="shared" si="25"/>
        <v>0</v>
      </c>
      <c r="N171" s="20">
        <f>ABS(G171)</f>
        <v>0</v>
      </c>
      <c r="O171" s="20">
        <f>ABS(I171)</f>
        <v>0</v>
      </c>
      <c r="P171" s="20">
        <f>ABS(K171)</f>
        <v>0</v>
      </c>
      <c r="Q171" s="20">
        <f t="shared" si="21"/>
        <v>0</v>
      </c>
    </row>
    <row r="172" spans="4:17" x14ac:dyDescent="0.35">
      <c r="D172" s="20" t="str">
        <f t="shared" si="27"/>
        <v/>
      </c>
      <c r="E172" s="23" t="str">
        <f t="shared" si="28"/>
        <v/>
      </c>
      <c r="F172" s="23" t="str">
        <f t="shared" si="29"/>
        <v/>
      </c>
      <c r="G172" s="20">
        <f t="shared" si="22"/>
        <v>0</v>
      </c>
      <c r="H172" s="20">
        <f t="shared" si="26"/>
        <v>0</v>
      </c>
      <c r="I172" s="20">
        <f t="shared" si="23"/>
        <v>0</v>
      </c>
      <c r="J172" s="20">
        <f t="shared" si="26"/>
        <v>1</v>
      </c>
      <c r="K172" s="20">
        <f t="shared" si="24"/>
        <v>0</v>
      </c>
      <c r="L172" s="20">
        <f t="shared" si="26"/>
        <v>0</v>
      </c>
      <c r="M172" s="20">
        <f t="shared" si="25"/>
        <v>0</v>
      </c>
      <c r="N172" s="20">
        <f>ABS(G172)</f>
        <v>0</v>
      </c>
      <c r="O172" s="20">
        <f>ABS(I172)</f>
        <v>0</v>
      </c>
      <c r="P172" s="20">
        <f>ABS(K172)</f>
        <v>0</v>
      </c>
      <c r="Q172" s="20">
        <f t="shared" si="21"/>
        <v>0</v>
      </c>
    </row>
    <row r="173" spans="4:17" x14ac:dyDescent="0.35">
      <c r="D173" s="20" t="str">
        <f t="shared" si="27"/>
        <v/>
      </c>
      <c r="E173" s="23" t="str">
        <f t="shared" si="28"/>
        <v/>
      </c>
      <c r="F173" s="23" t="str">
        <f t="shared" si="29"/>
        <v/>
      </c>
      <c r="G173" s="20">
        <f t="shared" si="22"/>
        <v>0</v>
      </c>
      <c r="H173" s="20">
        <f t="shared" si="26"/>
        <v>0</v>
      </c>
      <c r="I173" s="20">
        <f t="shared" si="23"/>
        <v>0</v>
      </c>
      <c r="J173" s="20">
        <f t="shared" si="26"/>
        <v>0</v>
      </c>
      <c r="K173" s="20">
        <f t="shared" si="24"/>
        <v>0</v>
      </c>
      <c r="L173" s="20">
        <f t="shared" si="26"/>
        <v>1</v>
      </c>
      <c r="M173" s="20">
        <f t="shared" si="25"/>
        <v>0</v>
      </c>
      <c r="N173" s="20">
        <f>ABS(G173)</f>
        <v>0</v>
      </c>
      <c r="O173" s="20">
        <f>ABS(I173)</f>
        <v>0</v>
      </c>
      <c r="P173" s="20">
        <f>ABS(K173)</f>
        <v>0</v>
      </c>
      <c r="Q173" s="20">
        <f t="shared" si="21"/>
        <v>0</v>
      </c>
    </row>
    <row r="174" spans="4:17" x14ac:dyDescent="0.35">
      <c r="D174" s="20" t="str">
        <f t="shared" si="27"/>
        <v/>
      </c>
      <c r="E174" s="23" t="str">
        <f t="shared" si="28"/>
        <v/>
      </c>
      <c r="F174" s="23" t="str">
        <f t="shared" si="29"/>
        <v/>
      </c>
      <c r="G174" s="20">
        <f t="shared" si="22"/>
        <v>0</v>
      </c>
      <c r="H174" s="20">
        <f t="shared" si="26"/>
        <v>1</v>
      </c>
      <c r="I174" s="20">
        <f t="shared" si="23"/>
        <v>0</v>
      </c>
      <c r="J174" s="20">
        <f t="shared" si="26"/>
        <v>0</v>
      </c>
      <c r="K174" s="20">
        <f t="shared" si="24"/>
        <v>0</v>
      </c>
      <c r="L174" s="20">
        <f t="shared" si="26"/>
        <v>0</v>
      </c>
      <c r="M174" s="20">
        <f t="shared" si="25"/>
        <v>0</v>
      </c>
      <c r="N174" s="20">
        <f>ABS(G174)</f>
        <v>0</v>
      </c>
      <c r="O174" s="20">
        <f>ABS(I174)</f>
        <v>0</v>
      </c>
      <c r="P174" s="20">
        <f>ABS(K174)</f>
        <v>0</v>
      </c>
      <c r="Q174" s="20">
        <f t="shared" si="21"/>
        <v>0</v>
      </c>
    </row>
    <row r="175" spans="4:17" x14ac:dyDescent="0.35">
      <c r="D175" s="20" t="str">
        <f t="shared" si="27"/>
        <v/>
      </c>
      <c r="E175" s="23" t="str">
        <f t="shared" si="28"/>
        <v/>
      </c>
      <c r="F175" s="23" t="str">
        <f t="shared" si="29"/>
        <v/>
      </c>
      <c r="G175" s="20">
        <f t="shared" si="22"/>
        <v>0</v>
      </c>
      <c r="H175" s="20">
        <f t="shared" si="26"/>
        <v>0</v>
      </c>
      <c r="I175" s="20">
        <f t="shared" si="23"/>
        <v>0</v>
      </c>
      <c r="J175" s="20">
        <f t="shared" si="26"/>
        <v>1</v>
      </c>
      <c r="K175" s="20">
        <f t="shared" si="24"/>
        <v>0</v>
      </c>
      <c r="L175" s="20">
        <f t="shared" si="26"/>
        <v>0</v>
      </c>
      <c r="M175" s="20">
        <f t="shared" si="25"/>
        <v>0</v>
      </c>
      <c r="N175" s="20">
        <f>ABS(G175)</f>
        <v>0</v>
      </c>
      <c r="O175" s="20">
        <f>ABS(I175)</f>
        <v>0</v>
      </c>
      <c r="P175" s="20">
        <f>ABS(K175)</f>
        <v>0</v>
      </c>
      <c r="Q175" s="20">
        <f t="shared" si="21"/>
        <v>0</v>
      </c>
    </row>
    <row r="176" spans="4:17" x14ac:dyDescent="0.35">
      <c r="D176" s="20" t="str">
        <f t="shared" si="27"/>
        <v/>
      </c>
      <c r="E176" s="23" t="str">
        <f t="shared" si="28"/>
        <v/>
      </c>
      <c r="F176" s="23" t="str">
        <f t="shared" si="29"/>
        <v/>
      </c>
      <c r="G176" s="20">
        <f t="shared" si="22"/>
        <v>0</v>
      </c>
      <c r="H176" s="20">
        <f t="shared" si="26"/>
        <v>0</v>
      </c>
      <c r="I176" s="20">
        <f t="shared" si="23"/>
        <v>0</v>
      </c>
      <c r="J176" s="20">
        <f t="shared" si="26"/>
        <v>0</v>
      </c>
      <c r="K176" s="20">
        <f t="shared" si="24"/>
        <v>0</v>
      </c>
      <c r="L176" s="20">
        <f t="shared" si="26"/>
        <v>1</v>
      </c>
      <c r="M176" s="20">
        <f t="shared" si="25"/>
        <v>0</v>
      </c>
      <c r="N176" s="20">
        <f>ABS(G176)</f>
        <v>0</v>
      </c>
      <c r="O176" s="20">
        <f>ABS(I176)</f>
        <v>0</v>
      </c>
      <c r="P176" s="20">
        <f>ABS(K176)</f>
        <v>0</v>
      </c>
      <c r="Q176" s="20">
        <f t="shared" si="21"/>
        <v>0</v>
      </c>
    </row>
    <row r="177" spans="4:17" x14ac:dyDescent="0.35">
      <c r="D177" s="20" t="str">
        <f t="shared" si="27"/>
        <v/>
      </c>
      <c r="E177" s="23" t="str">
        <f t="shared" si="28"/>
        <v/>
      </c>
      <c r="F177" s="23" t="str">
        <f t="shared" si="29"/>
        <v/>
      </c>
      <c r="G177" s="20">
        <f t="shared" si="22"/>
        <v>0</v>
      </c>
      <c r="H177" s="20">
        <f t="shared" si="26"/>
        <v>1</v>
      </c>
      <c r="I177" s="20">
        <f t="shared" si="23"/>
        <v>0</v>
      </c>
      <c r="J177" s="20">
        <f t="shared" si="26"/>
        <v>0</v>
      </c>
      <c r="K177" s="20">
        <f t="shared" si="24"/>
        <v>0</v>
      </c>
      <c r="L177" s="20">
        <f t="shared" si="26"/>
        <v>0</v>
      </c>
      <c r="M177" s="20">
        <f t="shared" si="25"/>
        <v>0</v>
      </c>
      <c r="N177" s="20">
        <f>ABS(G177)</f>
        <v>0</v>
      </c>
      <c r="O177" s="20">
        <f>ABS(I177)</f>
        <v>0</v>
      </c>
      <c r="P177" s="20">
        <f>ABS(K177)</f>
        <v>0</v>
      </c>
      <c r="Q177" s="20">
        <f t="shared" si="21"/>
        <v>0</v>
      </c>
    </row>
    <row r="178" spans="4:17" x14ac:dyDescent="0.35">
      <c r="D178" s="20" t="str">
        <f t="shared" si="27"/>
        <v/>
      </c>
      <c r="E178" s="23" t="str">
        <f t="shared" si="28"/>
        <v/>
      </c>
      <c r="F178" s="23" t="str">
        <f t="shared" si="29"/>
        <v/>
      </c>
      <c r="G178" s="20">
        <f t="shared" si="22"/>
        <v>0</v>
      </c>
      <c r="H178" s="20">
        <f t="shared" si="26"/>
        <v>0</v>
      </c>
      <c r="I178" s="20">
        <f t="shared" si="23"/>
        <v>0</v>
      </c>
      <c r="J178" s="20">
        <f t="shared" si="26"/>
        <v>1</v>
      </c>
      <c r="K178" s="20">
        <f t="shared" si="24"/>
        <v>0</v>
      </c>
      <c r="L178" s="20">
        <f t="shared" si="26"/>
        <v>0</v>
      </c>
      <c r="M178" s="20">
        <f t="shared" si="25"/>
        <v>0</v>
      </c>
      <c r="N178" s="20">
        <f>ABS(G178)</f>
        <v>0</v>
      </c>
      <c r="O178" s="20">
        <f>ABS(I178)</f>
        <v>0</v>
      </c>
      <c r="P178" s="20">
        <f>ABS(K178)</f>
        <v>0</v>
      </c>
      <c r="Q178" s="20">
        <f t="shared" si="21"/>
        <v>0</v>
      </c>
    </row>
    <row r="179" spans="4:17" x14ac:dyDescent="0.35">
      <c r="D179" s="20" t="str">
        <f t="shared" si="27"/>
        <v/>
      </c>
      <c r="E179" s="23" t="str">
        <f t="shared" si="28"/>
        <v/>
      </c>
      <c r="F179" s="23" t="str">
        <f t="shared" si="29"/>
        <v/>
      </c>
      <c r="G179" s="20">
        <f t="shared" si="22"/>
        <v>0</v>
      </c>
      <c r="H179" s="20">
        <f t="shared" si="26"/>
        <v>0</v>
      </c>
      <c r="I179" s="20">
        <f t="shared" si="23"/>
        <v>0</v>
      </c>
      <c r="J179" s="20">
        <f t="shared" si="26"/>
        <v>0</v>
      </c>
      <c r="K179" s="20">
        <f t="shared" si="24"/>
        <v>0</v>
      </c>
      <c r="L179" s="20">
        <f t="shared" si="26"/>
        <v>1</v>
      </c>
      <c r="M179" s="20">
        <f t="shared" si="25"/>
        <v>0</v>
      </c>
      <c r="N179" s="20">
        <f>ABS(G179)</f>
        <v>0</v>
      </c>
      <c r="O179" s="20">
        <f>ABS(I179)</f>
        <v>0</v>
      </c>
      <c r="P179" s="20">
        <f>ABS(K179)</f>
        <v>0</v>
      </c>
      <c r="Q179" s="20">
        <f t="shared" si="21"/>
        <v>0</v>
      </c>
    </row>
    <row r="180" spans="4:17" x14ac:dyDescent="0.35">
      <c r="D180" s="20" t="str">
        <f t="shared" si="27"/>
        <v/>
      </c>
      <c r="E180" s="23" t="str">
        <f t="shared" si="28"/>
        <v/>
      </c>
      <c r="F180" s="23" t="str">
        <f t="shared" si="29"/>
        <v/>
      </c>
      <c r="G180" s="20">
        <f t="shared" si="22"/>
        <v>0</v>
      </c>
      <c r="H180" s="20">
        <f t="shared" si="26"/>
        <v>1</v>
      </c>
      <c r="I180" s="20">
        <f t="shared" si="23"/>
        <v>0</v>
      </c>
      <c r="J180" s="20">
        <f t="shared" si="26"/>
        <v>0</v>
      </c>
      <c r="K180" s="20">
        <f t="shared" si="24"/>
        <v>0</v>
      </c>
      <c r="L180" s="20">
        <f t="shared" si="26"/>
        <v>0</v>
      </c>
      <c r="M180" s="20">
        <f t="shared" si="25"/>
        <v>0</v>
      </c>
      <c r="N180" s="20">
        <f>ABS(G180)</f>
        <v>0</v>
      </c>
      <c r="O180" s="20">
        <f>ABS(I180)</f>
        <v>0</v>
      </c>
      <c r="P180" s="20">
        <f>ABS(K180)</f>
        <v>0</v>
      </c>
      <c r="Q180" s="20">
        <f t="shared" si="21"/>
        <v>0</v>
      </c>
    </row>
    <row r="181" spans="4:17" x14ac:dyDescent="0.35">
      <c r="D181" s="20" t="str">
        <f t="shared" si="27"/>
        <v/>
      </c>
      <c r="E181" s="23" t="str">
        <f t="shared" si="28"/>
        <v/>
      </c>
      <c r="F181" s="23" t="str">
        <f t="shared" si="29"/>
        <v/>
      </c>
      <c r="G181" s="20">
        <f t="shared" si="22"/>
        <v>0</v>
      </c>
      <c r="H181" s="20">
        <f t="shared" si="26"/>
        <v>0</v>
      </c>
      <c r="I181" s="20">
        <f t="shared" si="23"/>
        <v>0</v>
      </c>
      <c r="J181" s="20">
        <f t="shared" si="26"/>
        <v>1</v>
      </c>
      <c r="K181" s="20">
        <f t="shared" si="24"/>
        <v>0</v>
      </c>
      <c r="L181" s="20">
        <f t="shared" si="26"/>
        <v>0</v>
      </c>
      <c r="M181" s="20">
        <f t="shared" si="25"/>
        <v>0</v>
      </c>
      <c r="N181" s="20">
        <f>ABS(G181)</f>
        <v>0</v>
      </c>
      <c r="O181" s="20">
        <f>ABS(I181)</f>
        <v>0</v>
      </c>
      <c r="P181" s="20">
        <f>ABS(K181)</f>
        <v>0</v>
      </c>
      <c r="Q181" s="20">
        <f t="shared" si="21"/>
        <v>0</v>
      </c>
    </row>
    <row r="182" spans="4:17" x14ac:dyDescent="0.35">
      <c r="D182" s="20" t="str">
        <f t="shared" si="27"/>
        <v/>
      </c>
      <c r="E182" s="23" t="str">
        <f t="shared" si="28"/>
        <v/>
      </c>
      <c r="F182" s="23" t="str">
        <f t="shared" si="29"/>
        <v/>
      </c>
      <c r="G182" s="20">
        <f t="shared" si="22"/>
        <v>0</v>
      </c>
      <c r="H182" s="20">
        <f t="shared" si="26"/>
        <v>0</v>
      </c>
      <c r="I182" s="20">
        <f t="shared" si="23"/>
        <v>0</v>
      </c>
      <c r="J182" s="20">
        <f t="shared" si="26"/>
        <v>0</v>
      </c>
      <c r="K182" s="20">
        <f t="shared" si="24"/>
        <v>0</v>
      </c>
      <c r="L182" s="20">
        <f t="shared" si="26"/>
        <v>1</v>
      </c>
      <c r="M182" s="20">
        <f t="shared" si="25"/>
        <v>0</v>
      </c>
      <c r="N182" s="20">
        <f>ABS(G182)</f>
        <v>0</v>
      </c>
      <c r="O182" s="20">
        <f>ABS(I182)</f>
        <v>0</v>
      </c>
      <c r="P182" s="20">
        <f>ABS(K182)</f>
        <v>0</v>
      </c>
      <c r="Q182" s="20">
        <f t="shared" si="21"/>
        <v>0</v>
      </c>
    </row>
    <row r="183" spans="4:17" x14ac:dyDescent="0.35">
      <c r="D183" s="20" t="str">
        <f t="shared" si="27"/>
        <v/>
      </c>
      <c r="E183" s="23" t="str">
        <f t="shared" si="28"/>
        <v/>
      </c>
      <c r="F183" s="23" t="str">
        <f t="shared" si="29"/>
        <v/>
      </c>
      <c r="G183" s="20">
        <f t="shared" si="22"/>
        <v>0</v>
      </c>
      <c r="H183" s="20">
        <f t="shared" si="26"/>
        <v>1</v>
      </c>
      <c r="I183" s="20">
        <f t="shared" si="23"/>
        <v>0</v>
      </c>
      <c r="J183" s="20">
        <f t="shared" si="26"/>
        <v>0</v>
      </c>
      <c r="K183" s="20">
        <f t="shared" si="24"/>
        <v>0</v>
      </c>
      <c r="L183" s="20">
        <f t="shared" si="26"/>
        <v>0</v>
      </c>
      <c r="M183" s="20">
        <f t="shared" si="25"/>
        <v>0</v>
      </c>
      <c r="N183" s="20">
        <f>ABS(G183)</f>
        <v>0</v>
      </c>
      <c r="O183" s="20">
        <f>ABS(I183)</f>
        <v>0</v>
      </c>
      <c r="P183" s="20">
        <f>ABS(K183)</f>
        <v>0</v>
      </c>
      <c r="Q183" s="20">
        <f t="shared" si="21"/>
        <v>0</v>
      </c>
    </row>
    <row r="184" spans="4:17" x14ac:dyDescent="0.35">
      <c r="D184" s="20" t="str">
        <f t="shared" si="27"/>
        <v/>
      </c>
      <c r="E184" s="23" t="str">
        <f t="shared" si="28"/>
        <v/>
      </c>
      <c r="F184" s="23" t="str">
        <f t="shared" si="29"/>
        <v/>
      </c>
      <c r="G184" s="20">
        <f t="shared" si="22"/>
        <v>0</v>
      </c>
      <c r="H184" s="20">
        <f t="shared" si="26"/>
        <v>0</v>
      </c>
      <c r="I184" s="20">
        <f t="shared" si="23"/>
        <v>0</v>
      </c>
      <c r="J184" s="20">
        <f t="shared" si="26"/>
        <v>1</v>
      </c>
      <c r="K184" s="20">
        <f t="shared" si="24"/>
        <v>0</v>
      </c>
      <c r="L184" s="20">
        <f t="shared" si="26"/>
        <v>0</v>
      </c>
      <c r="M184" s="20">
        <f t="shared" si="25"/>
        <v>0</v>
      </c>
      <c r="N184" s="20">
        <f>ABS(G184)</f>
        <v>0</v>
      </c>
      <c r="O184" s="20">
        <f>ABS(I184)</f>
        <v>0</v>
      </c>
      <c r="P184" s="20">
        <f>ABS(K184)</f>
        <v>0</v>
      </c>
      <c r="Q184" s="20">
        <f t="shared" si="21"/>
        <v>0</v>
      </c>
    </row>
    <row r="185" spans="4:17" x14ac:dyDescent="0.35">
      <c r="D185" s="20" t="str">
        <f t="shared" si="27"/>
        <v/>
      </c>
      <c r="E185" s="23" t="str">
        <f t="shared" si="28"/>
        <v/>
      </c>
      <c r="F185" s="23" t="str">
        <f t="shared" si="29"/>
        <v/>
      </c>
      <c r="G185" s="20">
        <f t="shared" si="22"/>
        <v>0</v>
      </c>
      <c r="H185" s="20">
        <f t="shared" si="26"/>
        <v>0</v>
      </c>
      <c r="I185" s="20">
        <f t="shared" si="23"/>
        <v>0</v>
      </c>
      <c r="J185" s="20">
        <f t="shared" si="26"/>
        <v>0</v>
      </c>
      <c r="K185" s="20">
        <f t="shared" si="24"/>
        <v>0</v>
      </c>
      <c r="L185" s="20">
        <f t="shared" si="26"/>
        <v>1</v>
      </c>
      <c r="M185" s="20">
        <f t="shared" si="25"/>
        <v>0</v>
      </c>
      <c r="N185" s="20">
        <f>ABS(G185)</f>
        <v>0</v>
      </c>
      <c r="O185" s="20">
        <f>ABS(I185)</f>
        <v>0</v>
      </c>
      <c r="P185" s="20">
        <f>ABS(K185)</f>
        <v>0</v>
      </c>
      <c r="Q185" s="20">
        <f t="shared" si="21"/>
        <v>0</v>
      </c>
    </row>
    <row r="186" spans="4:17" x14ac:dyDescent="0.35">
      <c r="D186" s="20" t="str">
        <f t="shared" si="27"/>
        <v/>
      </c>
      <c r="E186" s="23" t="str">
        <f t="shared" si="28"/>
        <v/>
      </c>
      <c r="F186" s="23" t="str">
        <f t="shared" si="29"/>
        <v/>
      </c>
      <c r="G186" s="20">
        <f t="shared" si="22"/>
        <v>0</v>
      </c>
      <c r="H186" s="20">
        <f t="shared" si="26"/>
        <v>1</v>
      </c>
      <c r="I186" s="20">
        <f t="shared" si="23"/>
        <v>0</v>
      </c>
      <c r="J186" s="20">
        <f t="shared" si="26"/>
        <v>0</v>
      </c>
      <c r="K186" s="20">
        <f t="shared" si="24"/>
        <v>0</v>
      </c>
      <c r="L186" s="20">
        <f t="shared" si="26"/>
        <v>0</v>
      </c>
      <c r="M186" s="20">
        <f t="shared" si="25"/>
        <v>0</v>
      </c>
      <c r="N186" s="20">
        <f>ABS(G186)</f>
        <v>0</v>
      </c>
      <c r="O186" s="20">
        <f>ABS(I186)</f>
        <v>0</v>
      </c>
      <c r="P186" s="20">
        <f>ABS(K186)</f>
        <v>0</v>
      </c>
      <c r="Q186" s="20">
        <f t="shared" si="21"/>
        <v>0</v>
      </c>
    </row>
    <row r="187" spans="4:17" x14ac:dyDescent="0.35">
      <c r="D187" s="20" t="str">
        <f t="shared" si="27"/>
        <v/>
      </c>
      <c r="E187" s="23" t="str">
        <f t="shared" si="28"/>
        <v/>
      </c>
      <c r="F187" s="23" t="str">
        <f t="shared" si="29"/>
        <v/>
      </c>
      <c r="G187" s="20">
        <f t="shared" si="22"/>
        <v>0</v>
      </c>
      <c r="H187" s="20">
        <f t="shared" si="26"/>
        <v>0</v>
      </c>
      <c r="I187" s="20">
        <f t="shared" si="23"/>
        <v>0</v>
      </c>
      <c r="J187" s="20">
        <f t="shared" si="26"/>
        <v>1</v>
      </c>
      <c r="K187" s="20">
        <f t="shared" si="24"/>
        <v>0</v>
      </c>
      <c r="L187" s="20">
        <f t="shared" si="26"/>
        <v>0</v>
      </c>
      <c r="M187" s="20">
        <f t="shared" si="25"/>
        <v>0</v>
      </c>
      <c r="N187" s="20">
        <f>ABS(G187)</f>
        <v>0</v>
      </c>
      <c r="O187" s="20">
        <f>ABS(I187)</f>
        <v>0</v>
      </c>
      <c r="P187" s="20">
        <f>ABS(K187)</f>
        <v>0</v>
      </c>
      <c r="Q187" s="20">
        <f t="shared" si="21"/>
        <v>0</v>
      </c>
    </row>
    <row r="188" spans="4:17" x14ac:dyDescent="0.35">
      <c r="D188" s="20" t="str">
        <f t="shared" si="27"/>
        <v/>
      </c>
      <c r="E188" s="23" t="str">
        <f t="shared" si="28"/>
        <v/>
      </c>
      <c r="F188" s="23" t="str">
        <f t="shared" si="29"/>
        <v/>
      </c>
      <c r="G188" s="20">
        <f t="shared" si="22"/>
        <v>0</v>
      </c>
      <c r="H188" s="20">
        <f t="shared" si="26"/>
        <v>0</v>
      </c>
      <c r="I188" s="20">
        <f t="shared" si="23"/>
        <v>0</v>
      </c>
      <c r="J188" s="20">
        <f t="shared" si="26"/>
        <v>0</v>
      </c>
      <c r="K188" s="20">
        <f t="shared" si="24"/>
        <v>0</v>
      </c>
      <c r="L188" s="20">
        <f t="shared" si="26"/>
        <v>1</v>
      </c>
      <c r="M188" s="20">
        <f t="shared" si="25"/>
        <v>0</v>
      </c>
      <c r="N188" s="20">
        <f>ABS(G188)</f>
        <v>0</v>
      </c>
      <c r="O188" s="20">
        <f>ABS(I188)</f>
        <v>0</v>
      </c>
      <c r="P188" s="20">
        <f>ABS(K188)</f>
        <v>0</v>
      </c>
      <c r="Q188" s="20">
        <f t="shared" si="21"/>
        <v>0</v>
      </c>
    </row>
    <row r="189" spans="4:17" x14ac:dyDescent="0.35">
      <c r="D189" s="20" t="str">
        <f t="shared" si="27"/>
        <v/>
      </c>
      <c r="E189" s="23" t="str">
        <f t="shared" si="28"/>
        <v/>
      </c>
      <c r="F189" s="23" t="str">
        <f t="shared" si="29"/>
        <v/>
      </c>
      <c r="G189" s="20">
        <f t="shared" si="22"/>
        <v>0</v>
      </c>
      <c r="H189" s="20">
        <f t="shared" si="26"/>
        <v>1</v>
      </c>
      <c r="I189" s="20">
        <f t="shared" si="23"/>
        <v>0</v>
      </c>
      <c r="J189" s="20">
        <f t="shared" si="26"/>
        <v>0</v>
      </c>
      <c r="K189" s="20">
        <f t="shared" si="24"/>
        <v>0</v>
      </c>
      <c r="L189" s="20">
        <f t="shared" si="26"/>
        <v>0</v>
      </c>
      <c r="M189" s="20">
        <f t="shared" si="25"/>
        <v>0</v>
      </c>
      <c r="N189" s="20">
        <f>ABS(G189)</f>
        <v>0</v>
      </c>
      <c r="O189" s="20">
        <f>ABS(I189)</f>
        <v>0</v>
      </c>
      <c r="P189" s="20">
        <f>ABS(K189)</f>
        <v>0</v>
      </c>
      <c r="Q189" s="20">
        <f t="shared" si="21"/>
        <v>0</v>
      </c>
    </row>
    <row r="190" spans="4:17" x14ac:dyDescent="0.35">
      <c r="D190" s="20" t="str">
        <f t="shared" si="27"/>
        <v/>
      </c>
      <c r="E190" s="23" t="str">
        <f t="shared" si="28"/>
        <v/>
      </c>
      <c r="F190" s="23" t="str">
        <f t="shared" si="29"/>
        <v/>
      </c>
      <c r="G190" s="20">
        <f t="shared" si="22"/>
        <v>0</v>
      </c>
      <c r="H190" s="20">
        <f t="shared" si="26"/>
        <v>0</v>
      </c>
      <c r="I190" s="20">
        <f t="shared" si="23"/>
        <v>0</v>
      </c>
      <c r="J190" s="20">
        <f t="shared" si="26"/>
        <v>1</v>
      </c>
      <c r="K190" s="20">
        <f t="shared" si="24"/>
        <v>0</v>
      </c>
      <c r="L190" s="20">
        <f t="shared" si="26"/>
        <v>0</v>
      </c>
      <c r="M190" s="20">
        <f t="shared" si="25"/>
        <v>0</v>
      </c>
      <c r="N190" s="20">
        <f>ABS(G190)</f>
        <v>0</v>
      </c>
      <c r="O190" s="20">
        <f>ABS(I190)</f>
        <v>0</v>
      </c>
      <c r="P190" s="20">
        <f>ABS(K190)</f>
        <v>0</v>
      </c>
      <c r="Q190" s="20">
        <f t="shared" si="21"/>
        <v>0</v>
      </c>
    </row>
    <row r="191" spans="4:17" x14ac:dyDescent="0.35">
      <c r="D191" s="20" t="str">
        <f t="shared" si="27"/>
        <v/>
      </c>
      <c r="E191" s="23" t="str">
        <f t="shared" si="28"/>
        <v/>
      </c>
      <c r="F191" s="23" t="str">
        <f t="shared" si="29"/>
        <v/>
      </c>
      <c r="G191" s="20">
        <f t="shared" si="22"/>
        <v>0</v>
      </c>
      <c r="H191" s="20">
        <f t="shared" si="26"/>
        <v>0</v>
      </c>
      <c r="I191" s="20">
        <f t="shared" si="23"/>
        <v>0</v>
      </c>
      <c r="J191" s="20">
        <f t="shared" si="26"/>
        <v>0</v>
      </c>
      <c r="K191" s="20">
        <f t="shared" si="24"/>
        <v>0</v>
      </c>
      <c r="L191" s="20">
        <f t="shared" si="26"/>
        <v>1</v>
      </c>
      <c r="M191" s="20">
        <f t="shared" si="25"/>
        <v>0</v>
      </c>
      <c r="N191" s="20">
        <f>ABS(G191)</f>
        <v>0</v>
      </c>
      <c r="O191" s="20">
        <f>ABS(I191)</f>
        <v>0</v>
      </c>
      <c r="P191" s="20">
        <f>ABS(K191)</f>
        <v>0</v>
      </c>
      <c r="Q191" s="20">
        <f t="shared" si="21"/>
        <v>0</v>
      </c>
    </row>
    <row r="192" spans="4:17" x14ac:dyDescent="0.35">
      <c r="D192" s="20" t="str">
        <f t="shared" si="27"/>
        <v/>
      </c>
      <c r="E192" s="23" t="str">
        <f t="shared" si="28"/>
        <v/>
      </c>
      <c r="F192" s="23" t="str">
        <f t="shared" si="29"/>
        <v/>
      </c>
      <c r="G192" s="20">
        <f t="shared" si="22"/>
        <v>0</v>
      </c>
      <c r="H192" s="20">
        <f t="shared" si="26"/>
        <v>1</v>
      </c>
      <c r="I192" s="20">
        <f t="shared" si="23"/>
        <v>0</v>
      </c>
      <c r="J192" s="20">
        <f t="shared" si="26"/>
        <v>0</v>
      </c>
      <c r="K192" s="20">
        <f t="shared" si="24"/>
        <v>0</v>
      </c>
      <c r="L192" s="20">
        <f t="shared" si="26"/>
        <v>0</v>
      </c>
      <c r="M192" s="20">
        <f t="shared" si="25"/>
        <v>0</v>
      </c>
      <c r="N192" s="20">
        <f>ABS(G192)</f>
        <v>0</v>
      </c>
      <c r="O192" s="20">
        <f>ABS(I192)</f>
        <v>0</v>
      </c>
      <c r="P192" s="20">
        <f>ABS(K192)</f>
        <v>0</v>
      </c>
      <c r="Q192" s="20">
        <f t="shared" si="21"/>
        <v>0</v>
      </c>
    </row>
    <row r="193" spans="4:17" x14ac:dyDescent="0.35">
      <c r="D193" s="20" t="str">
        <f t="shared" si="27"/>
        <v/>
      </c>
      <c r="E193" s="23" t="str">
        <f t="shared" si="28"/>
        <v/>
      </c>
      <c r="F193" s="23" t="str">
        <f t="shared" si="29"/>
        <v/>
      </c>
      <c r="G193" s="20">
        <f t="shared" si="22"/>
        <v>0</v>
      </c>
      <c r="H193" s="20">
        <f t="shared" si="26"/>
        <v>0</v>
      </c>
      <c r="I193" s="20">
        <f t="shared" si="23"/>
        <v>0</v>
      </c>
      <c r="J193" s="20">
        <f t="shared" si="26"/>
        <v>1</v>
      </c>
      <c r="K193" s="20">
        <f t="shared" si="24"/>
        <v>0</v>
      </c>
      <c r="L193" s="20">
        <f t="shared" si="26"/>
        <v>0</v>
      </c>
      <c r="M193" s="20">
        <f t="shared" si="25"/>
        <v>0</v>
      </c>
      <c r="N193" s="20">
        <f>ABS(G193)</f>
        <v>0</v>
      </c>
      <c r="O193" s="20">
        <f>ABS(I193)</f>
        <v>0</v>
      </c>
      <c r="P193" s="20">
        <f>ABS(K193)</f>
        <v>0</v>
      </c>
      <c r="Q193" s="20">
        <f t="shared" si="21"/>
        <v>0</v>
      </c>
    </row>
    <row r="194" spans="4:17" x14ac:dyDescent="0.35">
      <c r="D194" s="20" t="str">
        <f t="shared" si="27"/>
        <v/>
      </c>
      <c r="E194" s="23" t="str">
        <f t="shared" si="28"/>
        <v/>
      </c>
      <c r="F194" s="23" t="str">
        <f t="shared" si="29"/>
        <v/>
      </c>
      <c r="G194" s="20">
        <f t="shared" si="22"/>
        <v>0</v>
      </c>
      <c r="H194" s="20">
        <f t="shared" si="26"/>
        <v>0</v>
      </c>
      <c r="I194" s="20">
        <f t="shared" si="23"/>
        <v>0</v>
      </c>
      <c r="J194" s="20">
        <f t="shared" si="26"/>
        <v>0</v>
      </c>
      <c r="K194" s="20">
        <f t="shared" si="24"/>
        <v>0</v>
      </c>
      <c r="L194" s="20">
        <f t="shared" si="26"/>
        <v>1</v>
      </c>
      <c r="M194" s="20">
        <f t="shared" si="25"/>
        <v>0</v>
      </c>
      <c r="N194" s="20">
        <f>ABS(G194)</f>
        <v>0</v>
      </c>
      <c r="O194" s="20">
        <f>ABS(I194)</f>
        <v>0</v>
      </c>
      <c r="P194" s="20">
        <f>ABS(K194)</f>
        <v>0</v>
      </c>
      <c r="Q194" s="20">
        <f t="shared" ref="Q194:Q257" si="30">ABS(M194)</f>
        <v>0</v>
      </c>
    </row>
    <row r="195" spans="4:17" x14ac:dyDescent="0.35">
      <c r="D195" s="20" t="str">
        <f t="shared" si="27"/>
        <v/>
      </c>
      <c r="E195" s="23" t="str">
        <f t="shared" si="28"/>
        <v/>
      </c>
      <c r="F195" s="23" t="str">
        <f t="shared" si="29"/>
        <v/>
      </c>
      <c r="G195" s="20">
        <f t="shared" si="22"/>
        <v>0</v>
      </c>
      <c r="H195" s="20">
        <f t="shared" si="26"/>
        <v>1</v>
      </c>
      <c r="I195" s="20">
        <f t="shared" si="23"/>
        <v>0</v>
      </c>
      <c r="J195" s="20">
        <f t="shared" si="26"/>
        <v>0</v>
      </c>
      <c r="K195" s="20">
        <f t="shared" si="24"/>
        <v>0</v>
      </c>
      <c r="L195" s="20">
        <f t="shared" si="26"/>
        <v>0</v>
      </c>
      <c r="M195" s="20">
        <f t="shared" si="25"/>
        <v>0</v>
      </c>
      <c r="N195" s="20">
        <f>ABS(G195)</f>
        <v>0</v>
      </c>
      <c r="O195" s="20">
        <f>ABS(I195)</f>
        <v>0</v>
      </c>
      <c r="P195" s="20">
        <f>ABS(K195)</f>
        <v>0</v>
      </c>
      <c r="Q195" s="20">
        <f t="shared" ref="Q195:Q257" si="31">ABS(M195)</f>
        <v>0</v>
      </c>
    </row>
    <row r="196" spans="4:17" x14ac:dyDescent="0.35">
      <c r="D196" s="20" t="str">
        <f t="shared" si="27"/>
        <v/>
      </c>
      <c r="E196" s="23" t="str">
        <f t="shared" si="28"/>
        <v/>
      </c>
      <c r="F196" s="23" t="str">
        <f t="shared" si="29"/>
        <v/>
      </c>
      <c r="G196" s="20">
        <f t="shared" ref="G196:G259" si="32">IF(D196=$B$5+1,F196,0)</f>
        <v>0</v>
      </c>
      <c r="H196" s="20">
        <f t="shared" si="26"/>
        <v>0</v>
      </c>
      <c r="I196" s="20">
        <f t="shared" ref="I196:I259" si="33">IF(D195&lt;$B$5,F196*H196,0)</f>
        <v>0</v>
      </c>
      <c r="J196" s="20">
        <f t="shared" si="26"/>
        <v>1</v>
      </c>
      <c r="K196" s="20">
        <f t="shared" ref="K196:K259" si="34">IF(D195&lt;$B$5,F196*J196,0)</f>
        <v>0</v>
      </c>
      <c r="L196" s="20">
        <f t="shared" si="26"/>
        <v>0</v>
      </c>
      <c r="M196" s="20">
        <f t="shared" ref="M196:M259" si="35">IF(D195&lt;$B$5,F196*L196,0)</f>
        <v>0</v>
      </c>
      <c r="N196" s="20">
        <f>ABS(G196)</f>
        <v>0</v>
      </c>
      <c r="O196" s="20">
        <f>ABS(I196)</f>
        <v>0</v>
      </c>
      <c r="P196" s="20">
        <f>ABS(K196)</f>
        <v>0</v>
      </c>
      <c r="Q196" s="20">
        <f t="shared" si="31"/>
        <v>0</v>
      </c>
    </row>
    <row r="197" spans="4:17" x14ac:dyDescent="0.35">
      <c r="D197" s="20" t="str">
        <f t="shared" si="27"/>
        <v/>
      </c>
      <c r="E197" s="23" t="str">
        <f t="shared" si="28"/>
        <v/>
      </c>
      <c r="F197" s="23" t="str">
        <f t="shared" si="29"/>
        <v/>
      </c>
      <c r="G197" s="20">
        <f t="shared" si="32"/>
        <v>0</v>
      </c>
      <c r="H197" s="20">
        <f t="shared" si="26"/>
        <v>0</v>
      </c>
      <c r="I197" s="20">
        <f t="shared" si="33"/>
        <v>0</v>
      </c>
      <c r="J197" s="20">
        <f t="shared" si="26"/>
        <v>0</v>
      </c>
      <c r="K197" s="20">
        <f t="shared" si="34"/>
        <v>0</v>
      </c>
      <c r="L197" s="20">
        <f t="shared" si="26"/>
        <v>1</v>
      </c>
      <c r="M197" s="20">
        <f t="shared" si="35"/>
        <v>0</v>
      </c>
      <c r="N197" s="20">
        <f>ABS(G197)</f>
        <v>0</v>
      </c>
      <c r="O197" s="20">
        <f>ABS(I197)</f>
        <v>0</v>
      </c>
      <c r="P197" s="20">
        <f>ABS(K197)</f>
        <v>0</v>
      </c>
      <c r="Q197" s="20">
        <f t="shared" si="31"/>
        <v>0</v>
      </c>
    </row>
    <row r="198" spans="4:17" x14ac:dyDescent="0.35">
      <c r="D198" s="20" t="str">
        <f t="shared" si="27"/>
        <v/>
      </c>
      <c r="E198" s="23" t="str">
        <f t="shared" si="28"/>
        <v/>
      </c>
      <c r="F198" s="23" t="str">
        <f t="shared" si="29"/>
        <v/>
      </c>
      <c r="G198" s="20">
        <f t="shared" si="32"/>
        <v>0</v>
      </c>
      <c r="H198" s="20">
        <f t="shared" si="26"/>
        <v>1</v>
      </c>
      <c r="I198" s="20">
        <f t="shared" si="33"/>
        <v>0</v>
      </c>
      <c r="J198" s="20">
        <f t="shared" si="26"/>
        <v>0</v>
      </c>
      <c r="K198" s="20">
        <f t="shared" si="34"/>
        <v>0</v>
      </c>
      <c r="L198" s="20">
        <f t="shared" si="26"/>
        <v>0</v>
      </c>
      <c r="M198" s="20">
        <f t="shared" si="35"/>
        <v>0</v>
      </c>
      <c r="N198" s="20">
        <f>ABS(G198)</f>
        <v>0</v>
      </c>
      <c r="O198" s="20">
        <f>ABS(I198)</f>
        <v>0</v>
      </c>
      <c r="P198" s="20">
        <f>ABS(K198)</f>
        <v>0</v>
      </c>
      <c r="Q198" s="20">
        <f t="shared" si="31"/>
        <v>0</v>
      </c>
    </row>
    <row r="199" spans="4:17" x14ac:dyDescent="0.35">
      <c r="D199" s="20" t="str">
        <f t="shared" si="27"/>
        <v/>
      </c>
      <c r="E199" s="23" t="str">
        <f t="shared" si="28"/>
        <v/>
      </c>
      <c r="F199" s="23" t="str">
        <f t="shared" si="29"/>
        <v/>
      </c>
      <c r="G199" s="20">
        <f t="shared" si="32"/>
        <v>0</v>
      </c>
      <c r="H199" s="20">
        <f t="shared" ref="H199:L262" si="36">IF(H198+H197=0,1,0)</f>
        <v>0</v>
      </c>
      <c r="I199" s="20">
        <f t="shared" si="33"/>
        <v>0</v>
      </c>
      <c r="J199" s="20">
        <f t="shared" si="36"/>
        <v>1</v>
      </c>
      <c r="K199" s="20">
        <f t="shared" si="34"/>
        <v>0</v>
      </c>
      <c r="L199" s="20">
        <f t="shared" si="36"/>
        <v>0</v>
      </c>
      <c r="M199" s="20">
        <f t="shared" si="35"/>
        <v>0</v>
      </c>
      <c r="N199" s="20">
        <f>ABS(G199)</f>
        <v>0</v>
      </c>
      <c r="O199" s="20">
        <f>ABS(I199)</f>
        <v>0</v>
      </c>
      <c r="P199" s="20">
        <f>ABS(K199)</f>
        <v>0</v>
      </c>
      <c r="Q199" s="20">
        <f t="shared" si="31"/>
        <v>0</v>
      </c>
    </row>
    <row r="200" spans="4:17" x14ac:dyDescent="0.35">
      <c r="D200" s="20" t="str">
        <f t="shared" si="27"/>
        <v/>
      </c>
      <c r="E200" s="23" t="str">
        <f t="shared" si="28"/>
        <v/>
      </c>
      <c r="F200" s="23" t="str">
        <f t="shared" si="29"/>
        <v/>
      </c>
      <c r="G200" s="20">
        <f t="shared" si="32"/>
        <v>0</v>
      </c>
      <c r="H200" s="20">
        <f t="shared" si="36"/>
        <v>0</v>
      </c>
      <c r="I200" s="20">
        <f t="shared" si="33"/>
        <v>0</v>
      </c>
      <c r="J200" s="20">
        <f t="shared" si="36"/>
        <v>0</v>
      </c>
      <c r="K200" s="20">
        <f t="shared" si="34"/>
        <v>0</v>
      </c>
      <c r="L200" s="20">
        <f t="shared" si="36"/>
        <v>1</v>
      </c>
      <c r="M200" s="20">
        <f t="shared" si="35"/>
        <v>0</v>
      </c>
      <c r="N200" s="20">
        <f>ABS(G200)</f>
        <v>0</v>
      </c>
      <c r="O200" s="20">
        <f>ABS(I200)</f>
        <v>0</v>
      </c>
      <c r="P200" s="20">
        <f>ABS(K200)</f>
        <v>0</v>
      </c>
      <c r="Q200" s="20">
        <f t="shared" si="31"/>
        <v>0</v>
      </c>
    </row>
    <row r="201" spans="4:17" x14ac:dyDescent="0.35">
      <c r="D201" s="20" t="str">
        <f t="shared" si="27"/>
        <v/>
      </c>
      <c r="E201" s="23" t="str">
        <f t="shared" si="28"/>
        <v/>
      </c>
      <c r="F201" s="23" t="str">
        <f t="shared" si="29"/>
        <v/>
      </c>
      <c r="G201" s="20">
        <f t="shared" si="32"/>
        <v>0</v>
      </c>
      <c r="H201" s="20">
        <f t="shared" si="36"/>
        <v>1</v>
      </c>
      <c r="I201" s="20">
        <f t="shared" si="33"/>
        <v>0</v>
      </c>
      <c r="J201" s="20">
        <f t="shared" si="36"/>
        <v>0</v>
      </c>
      <c r="K201" s="20">
        <f t="shared" si="34"/>
        <v>0</v>
      </c>
      <c r="L201" s="20">
        <f t="shared" si="36"/>
        <v>0</v>
      </c>
      <c r="M201" s="20">
        <f t="shared" si="35"/>
        <v>0</v>
      </c>
      <c r="N201" s="20">
        <f>ABS(G201)</f>
        <v>0</v>
      </c>
      <c r="O201" s="20">
        <f>ABS(I201)</f>
        <v>0</v>
      </c>
      <c r="P201" s="20">
        <f>ABS(K201)</f>
        <v>0</v>
      </c>
      <c r="Q201" s="20">
        <f t="shared" si="31"/>
        <v>0</v>
      </c>
    </row>
    <row r="202" spans="4:17" x14ac:dyDescent="0.35">
      <c r="D202" s="20" t="str">
        <f t="shared" si="27"/>
        <v/>
      </c>
      <c r="E202" s="23" t="str">
        <f t="shared" si="28"/>
        <v/>
      </c>
      <c r="F202" s="23" t="str">
        <f t="shared" si="29"/>
        <v/>
      </c>
      <c r="G202" s="20">
        <f t="shared" si="32"/>
        <v>0</v>
      </c>
      <c r="H202" s="20">
        <f t="shared" si="36"/>
        <v>0</v>
      </c>
      <c r="I202" s="20">
        <f t="shared" si="33"/>
        <v>0</v>
      </c>
      <c r="J202" s="20">
        <f t="shared" si="36"/>
        <v>1</v>
      </c>
      <c r="K202" s="20">
        <f t="shared" si="34"/>
        <v>0</v>
      </c>
      <c r="L202" s="20">
        <f t="shared" si="36"/>
        <v>0</v>
      </c>
      <c r="M202" s="20">
        <f t="shared" si="35"/>
        <v>0</v>
      </c>
      <c r="N202" s="20">
        <f>ABS(G202)</f>
        <v>0</v>
      </c>
      <c r="O202" s="20">
        <f>ABS(I202)</f>
        <v>0</v>
      </c>
      <c r="P202" s="20">
        <f>ABS(K202)</f>
        <v>0</v>
      </c>
      <c r="Q202" s="20">
        <f t="shared" si="31"/>
        <v>0</v>
      </c>
    </row>
    <row r="203" spans="4:17" x14ac:dyDescent="0.35">
      <c r="D203" s="20" t="str">
        <f t="shared" si="27"/>
        <v/>
      </c>
      <c r="E203" s="23" t="str">
        <f t="shared" si="28"/>
        <v/>
      </c>
      <c r="F203" s="23" t="str">
        <f t="shared" si="29"/>
        <v/>
      </c>
      <c r="G203" s="20">
        <f t="shared" si="32"/>
        <v>0</v>
      </c>
      <c r="H203" s="20">
        <f t="shared" si="36"/>
        <v>0</v>
      </c>
      <c r="I203" s="20">
        <f t="shared" si="33"/>
        <v>0</v>
      </c>
      <c r="J203" s="20">
        <f t="shared" si="36"/>
        <v>0</v>
      </c>
      <c r="K203" s="20">
        <f t="shared" si="34"/>
        <v>0</v>
      </c>
      <c r="L203" s="20">
        <f t="shared" si="36"/>
        <v>1</v>
      </c>
      <c r="M203" s="20">
        <f t="shared" si="35"/>
        <v>0</v>
      </c>
      <c r="N203" s="20">
        <f>ABS(G203)</f>
        <v>0</v>
      </c>
      <c r="O203" s="20">
        <f>ABS(I203)</f>
        <v>0</v>
      </c>
      <c r="P203" s="20">
        <f>ABS(K203)</f>
        <v>0</v>
      </c>
      <c r="Q203" s="20">
        <f t="shared" si="31"/>
        <v>0</v>
      </c>
    </row>
    <row r="204" spans="4:17" x14ac:dyDescent="0.35">
      <c r="D204" s="20" t="str">
        <f t="shared" si="27"/>
        <v/>
      </c>
      <c r="E204" s="23" t="str">
        <f t="shared" si="28"/>
        <v/>
      </c>
      <c r="F204" s="23" t="str">
        <f t="shared" si="29"/>
        <v/>
      </c>
      <c r="G204" s="20">
        <f t="shared" si="32"/>
        <v>0</v>
      </c>
      <c r="H204" s="20">
        <f t="shared" si="36"/>
        <v>1</v>
      </c>
      <c r="I204" s="20">
        <f t="shared" si="33"/>
        <v>0</v>
      </c>
      <c r="J204" s="20">
        <f t="shared" si="36"/>
        <v>0</v>
      </c>
      <c r="K204" s="20">
        <f t="shared" si="34"/>
        <v>0</v>
      </c>
      <c r="L204" s="20">
        <f t="shared" si="36"/>
        <v>0</v>
      </c>
      <c r="M204" s="20">
        <f t="shared" si="35"/>
        <v>0</v>
      </c>
      <c r="N204" s="20">
        <f>ABS(G204)</f>
        <v>0</v>
      </c>
      <c r="O204" s="20">
        <f>ABS(I204)</f>
        <v>0</v>
      </c>
      <c r="P204" s="20">
        <f>ABS(K204)</f>
        <v>0</v>
      </c>
      <c r="Q204" s="20">
        <f t="shared" si="31"/>
        <v>0</v>
      </c>
    </row>
    <row r="205" spans="4:17" x14ac:dyDescent="0.35">
      <c r="D205" s="20" t="str">
        <f t="shared" si="27"/>
        <v/>
      </c>
      <c r="E205" s="23" t="str">
        <f t="shared" si="28"/>
        <v/>
      </c>
      <c r="F205" s="23" t="str">
        <f t="shared" si="29"/>
        <v/>
      </c>
      <c r="G205" s="20">
        <f t="shared" si="32"/>
        <v>0</v>
      </c>
      <c r="H205" s="20">
        <f t="shared" si="36"/>
        <v>0</v>
      </c>
      <c r="I205" s="20">
        <f t="shared" si="33"/>
        <v>0</v>
      </c>
      <c r="J205" s="20">
        <f t="shared" si="36"/>
        <v>1</v>
      </c>
      <c r="K205" s="20">
        <f t="shared" si="34"/>
        <v>0</v>
      </c>
      <c r="L205" s="20">
        <f t="shared" si="36"/>
        <v>0</v>
      </c>
      <c r="M205" s="20">
        <f t="shared" si="35"/>
        <v>0</v>
      </c>
      <c r="N205" s="20">
        <f>ABS(G205)</f>
        <v>0</v>
      </c>
      <c r="O205" s="20">
        <f>ABS(I205)</f>
        <v>0</v>
      </c>
      <c r="P205" s="20">
        <f>ABS(K205)</f>
        <v>0</v>
      </c>
      <c r="Q205" s="20">
        <f t="shared" si="31"/>
        <v>0</v>
      </c>
    </row>
    <row r="206" spans="4:17" x14ac:dyDescent="0.35">
      <c r="D206" s="20" t="str">
        <f t="shared" si="27"/>
        <v/>
      </c>
      <c r="E206" s="23" t="str">
        <f t="shared" si="28"/>
        <v/>
      </c>
      <c r="F206" s="23" t="str">
        <f t="shared" si="29"/>
        <v/>
      </c>
      <c r="G206" s="20">
        <f t="shared" si="32"/>
        <v>0</v>
      </c>
      <c r="H206" s="20">
        <f t="shared" si="36"/>
        <v>0</v>
      </c>
      <c r="I206" s="20">
        <f t="shared" si="33"/>
        <v>0</v>
      </c>
      <c r="J206" s="20">
        <f t="shared" si="36"/>
        <v>0</v>
      </c>
      <c r="K206" s="20">
        <f t="shared" si="34"/>
        <v>0</v>
      </c>
      <c r="L206" s="20">
        <f t="shared" si="36"/>
        <v>1</v>
      </c>
      <c r="M206" s="20">
        <f t="shared" si="35"/>
        <v>0</v>
      </c>
      <c r="N206" s="20">
        <f>ABS(G206)</f>
        <v>0</v>
      </c>
      <c r="O206" s="20">
        <f>ABS(I206)</f>
        <v>0</v>
      </c>
      <c r="P206" s="20">
        <f>ABS(K206)</f>
        <v>0</v>
      </c>
      <c r="Q206" s="20">
        <f t="shared" si="31"/>
        <v>0</v>
      </c>
    </row>
    <row r="207" spans="4:17" x14ac:dyDescent="0.35">
      <c r="D207" s="20" t="str">
        <f t="shared" si="27"/>
        <v/>
      </c>
      <c r="E207" s="23" t="str">
        <f t="shared" si="28"/>
        <v/>
      </c>
      <c r="F207" s="23" t="str">
        <f t="shared" si="29"/>
        <v/>
      </c>
      <c r="G207" s="20">
        <f t="shared" si="32"/>
        <v>0</v>
      </c>
      <c r="H207" s="20">
        <f t="shared" si="36"/>
        <v>1</v>
      </c>
      <c r="I207" s="20">
        <f t="shared" si="33"/>
        <v>0</v>
      </c>
      <c r="J207" s="20">
        <f t="shared" si="36"/>
        <v>0</v>
      </c>
      <c r="K207" s="20">
        <f t="shared" si="34"/>
        <v>0</v>
      </c>
      <c r="L207" s="20">
        <f t="shared" si="36"/>
        <v>0</v>
      </c>
      <c r="M207" s="20">
        <f t="shared" si="35"/>
        <v>0</v>
      </c>
      <c r="N207" s="20">
        <f>ABS(G207)</f>
        <v>0</v>
      </c>
      <c r="O207" s="20">
        <f>ABS(I207)</f>
        <v>0</v>
      </c>
      <c r="P207" s="20">
        <f>ABS(K207)</f>
        <v>0</v>
      </c>
      <c r="Q207" s="20">
        <f t="shared" si="31"/>
        <v>0</v>
      </c>
    </row>
    <row r="208" spans="4:17" x14ac:dyDescent="0.35">
      <c r="D208" s="20" t="str">
        <f t="shared" si="27"/>
        <v/>
      </c>
      <c r="E208" s="23" t="str">
        <f t="shared" si="28"/>
        <v/>
      </c>
      <c r="F208" s="23" t="str">
        <f t="shared" si="29"/>
        <v/>
      </c>
      <c r="G208" s="20">
        <f t="shared" si="32"/>
        <v>0</v>
      </c>
      <c r="H208" s="20">
        <f t="shared" si="36"/>
        <v>0</v>
      </c>
      <c r="I208" s="20">
        <f t="shared" si="33"/>
        <v>0</v>
      </c>
      <c r="J208" s="20">
        <f t="shared" si="36"/>
        <v>1</v>
      </c>
      <c r="K208" s="20">
        <f t="shared" si="34"/>
        <v>0</v>
      </c>
      <c r="L208" s="20">
        <f t="shared" si="36"/>
        <v>0</v>
      </c>
      <c r="M208" s="20">
        <f t="shared" si="35"/>
        <v>0</v>
      </c>
      <c r="N208" s="20">
        <f>ABS(G208)</f>
        <v>0</v>
      </c>
      <c r="O208" s="20">
        <f>ABS(I208)</f>
        <v>0</v>
      </c>
      <c r="P208" s="20">
        <f>ABS(K208)</f>
        <v>0</v>
      </c>
      <c r="Q208" s="20">
        <f t="shared" si="31"/>
        <v>0</v>
      </c>
    </row>
    <row r="209" spans="4:17" x14ac:dyDescent="0.35">
      <c r="D209" s="20" t="str">
        <f t="shared" si="27"/>
        <v/>
      </c>
      <c r="E209" s="23" t="str">
        <f t="shared" si="28"/>
        <v/>
      </c>
      <c r="F209" s="23" t="str">
        <f t="shared" si="29"/>
        <v/>
      </c>
      <c r="G209" s="20">
        <f t="shared" si="32"/>
        <v>0</v>
      </c>
      <c r="H209" s="20">
        <f t="shared" si="36"/>
        <v>0</v>
      </c>
      <c r="I209" s="20">
        <f t="shared" si="33"/>
        <v>0</v>
      </c>
      <c r="J209" s="20">
        <f t="shared" si="36"/>
        <v>0</v>
      </c>
      <c r="K209" s="20">
        <f t="shared" si="34"/>
        <v>0</v>
      </c>
      <c r="L209" s="20">
        <f t="shared" si="36"/>
        <v>1</v>
      </c>
      <c r="M209" s="20">
        <f t="shared" si="35"/>
        <v>0</v>
      </c>
      <c r="N209" s="20">
        <f>ABS(G209)</f>
        <v>0</v>
      </c>
      <c r="O209" s="20">
        <f>ABS(I209)</f>
        <v>0</v>
      </c>
      <c r="P209" s="20">
        <f>ABS(K209)</f>
        <v>0</v>
      </c>
      <c r="Q209" s="20">
        <f t="shared" si="31"/>
        <v>0</v>
      </c>
    </row>
    <row r="210" spans="4:17" x14ac:dyDescent="0.35">
      <c r="D210" s="20" t="str">
        <f t="shared" si="27"/>
        <v/>
      </c>
      <c r="E210" s="23" t="str">
        <f t="shared" si="28"/>
        <v/>
      </c>
      <c r="F210" s="23" t="str">
        <f t="shared" si="29"/>
        <v/>
      </c>
      <c r="G210" s="20">
        <f t="shared" si="32"/>
        <v>0</v>
      </c>
      <c r="H210" s="20">
        <f t="shared" si="36"/>
        <v>1</v>
      </c>
      <c r="I210" s="20">
        <f t="shared" si="33"/>
        <v>0</v>
      </c>
      <c r="J210" s="20">
        <f t="shared" si="36"/>
        <v>0</v>
      </c>
      <c r="K210" s="20">
        <f t="shared" si="34"/>
        <v>0</v>
      </c>
      <c r="L210" s="20">
        <f t="shared" si="36"/>
        <v>0</v>
      </c>
      <c r="M210" s="20">
        <f t="shared" si="35"/>
        <v>0</v>
      </c>
      <c r="N210" s="20">
        <f>ABS(G210)</f>
        <v>0</v>
      </c>
      <c r="O210" s="20">
        <f>ABS(I210)</f>
        <v>0</v>
      </c>
      <c r="P210" s="20">
        <f>ABS(K210)</f>
        <v>0</v>
      </c>
      <c r="Q210" s="20">
        <f t="shared" si="31"/>
        <v>0</v>
      </c>
    </row>
    <row r="211" spans="4:17" x14ac:dyDescent="0.35">
      <c r="D211" s="20" t="str">
        <f t="shared" si="27"/>
        <v/>
      </c>
      <c r="E211" s="23" t="str">
        <f t="shared" si="28"/>
        <v/>
      </c>
      <c r="F211" s="23" t="str">
        <f t="shared" si="29"/>
        <v/>
      </c>
      <c r="G211" s="20">
        <f t="shared" si="32"/>
        <v>0</v>
      </c>
      <c r="H211" s="20">
        <f t="shared" si="36"/>
        <v>0</v>
      </c>
      <c r="I211" s="20">
        <f t="shared" si="33"/>
        <v>0</v>
      </c>
      <c r="J211" s="20">
        <f t="shared" si="36"/>
        <v>1</v>
      </c>
      <c r="K211" s="20">
        <f t="shared" si="34"/>
        <v>0</v>
      </c>
      <c r="L211" s="20">
        <f t="shared" si="36"/>
        <v>0</v>
      </c>
      <c r="M211" s="20">
        <f t="shared" si="35"/>
        <v>0</v>
      </c>
      <c r="N211" s="20">
        <f>ABS(G211)</f>
        <v>0</v>
      </c>
      <c r="O211" s="20">
        <f>ABS(I211)</f>
        <v>0</v>
      </c>
      <c r="P211" s="20">
        <f>ABS(K211)</f>
        <v>0</v>
      </c>
      <c r="Q211" s="20">
        <f t="shared" si="31"/>
        <v>0</v>
      </c>
    </row>
    <row r="212" spans="4:17" x14ac:dyDescent="0.35">
      <c r="D212" s="20" t="str">
        <f t="shared" si="27"/>
        <v/>
      </c>
      <c r="E212" s="23" t="str">
        <f t="shared" si="28"/>
        <v/>
      </c>
      <c r="F212" s="23" t="str">
        <f t="shared" si="29"/>
        <v/>
      </c>
      <c r="G212" s="20">
        <f t="shared" si="32"/>
        <v>0</v>
      </c>
      <c r="H212" s="20">
        <f t="shared" si="36"/>
        <v>0</v>
      </c>
      <c r="I212" s="20">
        <f t="shared" si="33"/>
        <v>0</v>
      </c>
      <c r="J212" s="20">
        <f t="shared" si="36"/>
        <v>0</v>
      </c>
      <c r="K212" s="20">
        <f t="shared" si="34"/>
        <v>0</v>
      </c>
      <c r="L212" s="20">
        <f t="shared" si="36"/>
        <v>1</v>
      </c>
      <c r="M212" s="20">
        <f t="shared" si="35"/>
        <v>0</v>
      </c>
      <c r="N212" s="20">
        <f>ABS(G212)</f>
        <v>0</v>
      </c>
      <c r="O212" s="20">
        <f>ABS(I212)</f>
        <v>0</v>
      </c>
      <c r="P212" s="20">
        <f>ABS(K212)</f>
        <v>0</v>
      </c>
      <c r="Q212" s="20">
        <f t="shared" si="31"/>
        <v>0</v>
      </c>
    </row>
    <row r="213" spans="4:17" x14ac:dyDescent="0.35">
      <c r="D213" s="20" t="str">
        <f t="shared" si="27"/>
        <v/>
      </c>
      <c r="E213" s="23" t="str">
        <f t="shared" si="28"/>
        <v/>
      </c>
      <c r="F213" s="23" t="str">
        <f t="shared" si="29"/>
        <v/>
      </c>
      <c r="G213" s="20">
        <f t="shared" si="32"/>
        <v>0</v>
      </c>
      <c r="H213" s="20">
        <f t="shared" si="36"/>
        <v>1</v>
      </c>
      <c r="I213" s="20">
        <f t="shared" si="33"/>
        <v>0</v>
      </c>
      <c r="J213" s="20">
        <f t="shared" si="36"/>
        <v>0</v>
      </c>
      <c r="K213" s="20">
        <f t="shared" si="34"/>
        <v>0</v>
      </c>
      <c r="L213" s="20">
        <f t="shared" si="36"/>
        <v>0</v>
      </c>
      <c r="M213" s="20">
        <f t="shared" si="35"/>
        <v>0</v>
      </c>
      <c r="N213" s="20">
        <f>ABS(G213)</f>
        <v>0</v>
      </c>
      <c r="O213" s="20">
        <f>ABS(I213)</f>
        <v>0</v>
      </c>
      <c r="P213" s="20">
        <f>ABS(K213)</f>
        <v>0</v>
      </c>
      <c r="Q213" s="20">
        <f t="shared" si="31"/>
        <v>0</v>
      </c>
    </row>
    <row r="214" spans="4:17" x14ac:dyDescent="0.35">
      <c r="D214" s="20" t="str">
        <f t="shared" si="27"/>
        <v/>
      </c>
      <c r="E214" s="23" t="str">
        <f t="shared" si="28"/>
        <v/>
      </c>
      <c r="F214" s="23" t="str">
        <f t="shared" si="29"/>
        <v/>
      </c>
      <c r="G214" s="20">
        <f t="shared" si="32"/>
        <v>0</v>
      </c>
      <c r="H214" s="20">
        <f t="shared" si="36"/>
        <v>0</v>
      </c>
      <c r="I214" s="20">
        <f t="shared" si="33"/>
        <v>0</v>
      </c>
      <c r="J214" s="20">
        <f t="shared" si="36"/>
        <v>1</v>
      </c>
      <c r="K214" s="20">
        <f t="shared" si="34"/>
        <v>0</v>
      </c>
      <c r="L214" s="20">
        <f t="shared" si="36"/>
        <v>0</v>
      </c>
      <c r="M214" s="20">
        <f t="shared" si="35"/>
        <v>0</v>
      </c>
      <c r="N214" s="20">
        <f>ABS(G214)</f>
        <v>0</v>
      </c>
      <c r="O214" s="20">
        <f>ABS(I214)</f>
        <v>0</v>
      </c>
      <c r="P214" s="20">
        <f>ABS(K214)</f>
        <v>0</v>
      </c>
      <c r="Q214" s="20">
        <f t="shared" si="31"/>
        <v>0</v>
      </c>
    </row>
    <row r="215" spans="4:17" x14ac:dyDescent="0.35">
      <c r="D215" s="20" t="str">
        <f t="shared" ref="D215:D278" si="37">IF(D214&lt;=$B$5,D214+1,"")</f>
        <v/>
      </c>
      <c r="E215" s="23" t="str">
        <f t="shared" ref="E215:E278" si="38">IF(D214&lt;=$B$5,E214+$B$6,"")</f>
        <v/>
      </c>
      <c r="F215" s="23" t="str">
        <f t="shared" ref="F215:F278" si="39">IF(D214&lt;=$B$5,(20*COS((5/2)*E215^2+1))/(E215^2+2),"")</f>
        <v/>
      </c>
      <c r="G215" s="20">
        <f t="shared" si="32"/>
        <v>0</v>
      </c>
      <c r="H215" s="20">
        <f t="shared" si="36"/>
        <v>0</v>
      </c>
      <c r="I215" s="20">
        <f t="shared" si="33"/>
        <v>0</v>
      </c>
      <c r="J215" s="20">
        <f t="shared" si="36"/>
        <v>0</v>
      </c>
      <c r="K215" s="20">
        <f t="shared" si="34"/>
        <v>0</v>
      </c>
      <c r="L215" s="20">
        <f t="shared" si="36"/>
        <v>1</v>
      </c>
      <c r="M215" s="20">
        <f t="shared" si="35"/>
        <v>0</v>
      </c>
      <c r="N215" s="20">
        <f>ABS(G215)</f>
        <v>0</v>
      </c>
      <c r="O215" s="20">
        <f>ABS(I215)</f>
        <v>0</v>
      </c>
      <c r="P215" s="20">
        <f>ABS(K215)</f>
        <v>0</v>
      </c>
      <c r="Q215" s="20">
        <f t="shared" si="31"/>
        <v>0</v>
      </c>
    </row>
    <row r="216" spans="4:17" x14ac:dyDescent="0.35">
      <c r="D216" s="20" t="str">
        <f t="shared" si="37"/>
        <v/>
      </c>
      <c r="E216" s="23" t="str">
        <f t="shared" si="38"/>
        <v/>
      </c>
      <c r="F216" s="23" t="str">
        <f t="shared" si="39"/>
        <v/>
      </c>
      <c r="G216" s="20">
        <f t="shared" si="32"/>
        <v>0</v>
      </c>
      <c r="H216" s="20">
        <f t="shared" si="36"/>
        <v>1</v>
      </c>
      <c r="I216" s="20">
        <f t="shared" si="33"/>
        <v>0</v>
      </c>
      <c r="J216" s="20">
        <f t="shared" si="36"/>
        <v>0</v>
      </c>
      <c r="K216" s="20">
        <f t="shared" si="34"/>
        <v>0</v>
      </c>
      <c r="L216" s="20">
        <f t="shared" si="36"/>
        <v>0</v>
      </c>
      <c r="M216" s="20">
        <f t="shared" si="35"/>
        <v>0</v>
      </c>
      <c r="N216" s="20">
        <f>ABS(G216)</f>
        <v>0</v>
      </c>
      <c r="O216" s="20">
        <f>ABS(I216)</f>
        <v>0</v>
      </c>
      <c r="P216" s="20">
        <f>ABS(K216)</f>
        <v>0</v>
      </c>
      <c r="Q216" s="20">
        <f t="shared" si="31"/>
        <v>0</v>
      </c>
    </row>
    <row r="217" spans="4:17" x14ac:dyDescent="0.35">
      <c r="D217" s="20" t="str">
        <f t="shared" si="37"/>
        <v/>
      </c>
      <c r="E217" s="23" t="str">
        <f t="shared" si="38"/>
        <v/>
      </c>
      <c r="F217" s="23" t="str">
        <f t="shared" si="39"/>
        <v/>
      </c>
      <c r="G217" s="20">
        <f t="shared" si="32"/>
        <v>0</v>
      </c>
      <c r="H217" s="20">
        <f t="shared" si="36"/>
        <v>0</v>
      </c>
      <c r="I217" s="20">
        <f t="shared" si="33"/>
        <v>0</v>
      </c>
      <c r="J217" s="20">
        <f t="shared" si="36"/>
        <v>1</v>
      </c>
      <c r="K217" s="20">
        <f t="shared" si="34"/>
        <v>0</v>
      </c>
      <c r="L217" s="20">
        <f t="shared" si="36"/>
        <v>0</v>
      </c>
      <c r="M217" s="20">
        <f t="shared" si="35"/>
        <v>0</v>
      </c>
      <c r="N217" s="20">
        <f>ABS(G217)</f>
        <v>0</v>
      </c>
      <c r="O217" s="20">
        <f>ABS(I217)</f>
        <v>0</v>
      </c>
      <c r="P217" s="20">
        <f>ABS(K217)</f>
        <v>0</v>
      </c>
      <c r="Q217" s="20">
        <f t="shared" si="31"/>
        <v>0</v>
      </c>
    </row>
    <row r="218" spans="4:17" x14ac:dyDescent="0.35">
      <c r="D218" s="20" t="str">
        <f t="shared" si="37"/>
        <v/>
      </c>
      <c r="E218" s="23" t="str">
        <f t="shared" si="38"/>
        <v/>
      </c>
      <c r="F218" s="23" t="str">
        <f t="shared" si="39"/>
        <v/>
      </c>
      <c r="G218" s="20">
        <f t="shared" si="32"/>
        <v>0</v>
      </c>
      <c r="H218" s="20">
        <f t="shared" si="36"/>
        <v>0</v>
      </c>
      <c r="I218" s="20">
        <f t="shared" si="33"/>
        <v>0</v>
      </c>
      <c r="J218" s="20">
        <f t="shared" si="36"/>
        <v>0</v>
      </c>
      <c r="K218" s="20">
        <f t="shared" si="34"/>
        <v>0</v>
      </c>
      <c r="L218" s="20">
        <f t="shared" si="36"/>
        <v>1</v>
      </c>
      <c r="M218" s="20">
        <f t="shared" si="35"/>
        <v>0</v>
      </c>
      <c r="N218" s="20">
        <f>ABS(G218)</f>
        <v>0</v>
      </c>
      <c r="O218" s="20">
        <f>ABS(I218)</f>
        <v>0</v>
      </c>
      <c r="P218" s="20">
        <f>ABS(K218)</f>
        <v>0</v>
      </c>
      <c r="Q218" s="20">
        <f t="shared" si="31"/>
        <v>0</v>
      </c>
    </row>
    <row r="219" spans="4:17" x14ac:dyDescent="0.35">
      <c r="D219" s="20" t="str">
        <f t="shared" si="37"/>
        <v/>
      </c>
      <c r="E219" s="23" t="str">
        <f t="shared" si="38"/>
        <v/>
      </c>
      <c r="F219" s="23" t="str">
        <f t="shared" si="39"/>
        <v/>
      </c>
      <c r="G219" s="20">
        <f t="shared" si="32"/>
        <v>0</v>
      </c>
      <c r="H219" s="20">
        <f t="shared" si="36"/>
        <v>1</v>
      </c>
      <c r="I219" s="20">
        <f t="shared" si="33"/>
        <v>0</v>
      </c>
      <c r="J219" s="20">
        <f t="shared" si="36"/>
        <v>0</v>
      </c>
      <c r="K219" s="20">
        <f t="shared" si="34"/>
        <v>0</v>
      </c>
      <c r="L219" s="20">
        <f t="shared" si="36"/>
        <v>0</v>
      </c>
      <c r="M219" s="20">
        <f t="shared" si="35"/>
        <v>0</v>
      </c>
      <c r="N219" s="20">
        <f>ABS(G219)</f>
        <v>0</v>
      </c>
      <c r="O219" s="20">
        <f>ABS(I219)</f>
        <v>0</v>
      </c>
      <c r="P219" s="20">
        <f>ABS(K219)</f>
        <v>0</v>
      </c>
      <c r="Q219" s="20">
        <f t="shared" si="31"/>
        <v>0</v>
      </c>
    </row>
    <row r="220" spans="4:17" x14ac:dyDescent="0.35">
      <c r="D220" s="20" t="str">
        <f t="shared" si="37"/>
        <v/>
      </c>
      <c r="E220" s="23" t="str">
        <f t="shared" si="38"/>
        <v/>
      </c>
      <c r="F220" s="23" t="str">
        <f t="shared" si="39"/>
        <v/>
      </c>
      <c r="G220" s="20">
        <f t="shared" si="32"/>
        <v>0</v>
      </c>
      <c r="H220" s="20">
        <f t="shared" si="36"/>
        <v>0</v>
      </c>
      <c r="I220" s="20">
        <f t="shared" si="33"/>
        <v>0</v>
      </c>
      <c r="J220" s="20">
        <f t="shared" si="36"/>
        <v>1</v>
      </c>
      <c r="K220" s="20">
        <f t="shared" si="34"/>
        <v>0</v>
      </c>
      <c r="L220" s="20">
        <f t="shared" si="36"/>
        <v>0</v>
      </c>
      <c r="M220" s="20">
        <f t="shared" si="35"/>
        <v>0</v>
      </c>
      <c r="N220" s="20">
        <f>ABS(G220)</f>
        <v>0</v>
      </c>
      <c r="O220" s="20">
        <f>ABS(I220)</f>
        <v>0</v>
      </c>
      <c r="P220" s="20">
        <f>ABS(K220)</f>
        <v>0</v>
      </c>
      <c r="Q220" s="20">
        <f t="shared" si="31"/>
        <v>0</v>
      </c>
    </row>
    <row r="221" spans="4:17" x14ac:dyDescent="0.35">
      <c r="D221" s="20" t="str">
        <f t="shared" si="37"/>
        <v/>
      </c>
      <c r="E221" s="23" t="str">
        <f t="shared" si="38"/>
        <v/>
      </c>
      <c r="F221" s="23" t="str">
        <f t="shared" si="39"/>
        <v/>
      </c>
      <c r="G221" s="20">
        <f t="shared" si="32"/>
        <v>0</v>
      </c>
      <c r="H221" s="20">
        <f t="shared" si="36"/>
        <v>0</v>
      </c>
      <c r="I221" s="20">
        <f t="shared" si="33"/>
        <v>0</v>
      </c>
      <c r="J221" s="20">
        <f t="shared" si="36"/>
        <v>0</v>
      </c>
      <c r="K221" s="20">
        <f t="shared" si="34"/>
        <v>0</v>
      </c>
      <c r="L221" s="20">
        <f t="shared" si="36"/>
        <v>1</v>
      </c>
      <c r="M221" s="20">
        <f t="shared" si="35"/>
        <v>0</v>
      </c>
      <c r="N221" s="20">
        <f>ABS(G221)</f>
        <v>0</v>
      </c>
      <c r="O221" s="20">
        <f>ABS(I221)</f>
        <v>0</v>
      </c>
      <c r="P221" s="20">
        <f>ABS(K221)</f>
        <v>0</v>
      </c>
      <c r="Q221" s="20">
        <f t="shared" si="31"/>
        <v>0</v>
      </c>
    </row>
    <row r="222" spans="4:17" x14ac:dyDescent="0.35">
      <c r="D222" s="20" t="str">
        <f t="shared" si="37"/>
        <v/>
      </c>
      <c r="E222" s="23" t="str">
        <f t="shared" si="38"/>
        <v/>
      </c>
      <c r="F222" s="23" t="str">
        <f t="shared" si="39"/>
        <v/>
      </c>
      <c r="G222" s="20">
        <f t="shared" si="32"/>
        <v>0</v>
      </c>
      <c r="H222" s="20">
        <f t="shared" si="36"/>
        <v>1</v>
      </c>
      <c r="I222" s="20">
        <f t="shared" si="33"/>
        <v>0</v>
      </c>
      <c r="J222" s="20">
        <f t="shared" si="36"/>
        <v>0</v>
      </c>
      <c r="K222" s="20">
        <f t="shared" si="34"/>
        <v>0</v>
      </c>
      <c r="L222" s="20">
        <f t="shared" si="36"/>
        <v>0</v>
      </c>
      <c r="M222" s="20">
        <f t="shared" si="35"/>
        <v>0</v>
      </c>
      <c r="N222" s="20">
        <f>ABS(G222)</f>
        <v>0</v>
      </c>
      <c r="O222" s="20">
        <f>ABS(I222)</f>
        <v>0</v>
      </c>
      <c r="P222" s="20">
        <f>ABS(K222)</f>
        <v>0</v>
      </c>
      <c r="Q222" s="20">
        <f t="shared" si="31"/>
        <v>0</v>
      </c>
    </row>
    <row r="223" spans="4:17" x14ac:dyDescent="0.35">
      <c r="D223" s="20" t="str">
        <f t="shared" si="37"/>
        <v/>
      </c>
      <c r="E223" s="23" t="str">
        <f t="shared" si="38"/>
        <v/>
      </c>
      <c r="F223" s="23" t="str">
        <f t="shared" si="39"/>
        <v/>
      </c>
      <c r="G223" s="20">
        <f t="shared" si="32"/>
        <v>0</v>
      </c>
      <c r="H223" s="20">
        <f t="shared" si="36"/>
        <v>0</v>
      </c>
      <c r="I223" s="20">
        <f t="shared" si="33"/>
        <v>0</v>
      </c>
      <c r="J223" s="20">
        <f t="shared" si="36"/>
        <v>1</v>
      </c>
      <c r="K223" s="20">
        <f t="shared" si="34"/>
        <v>0</v>
      </c>
      <c r="L223" s="20">
        <f t="shared" si="36"/>
        <v>0</v>
      </c>
      <c r="M223" s="20">
        <f t="shared" si="35"/>
        <v>0</v>
      </c>
      <c r="N223" s="20">
        <f>ABS(G223)</f>
        <v>0</v>
      </c>
      <c r="O223" s="20">
        <f>ABS(I223)</f>
        <v>0</v>
      </c>
      <c r="P223" s="20">
        <f>ABS(K223)</f>
        <v>0</v>
      </c>
      <c r="Q223" s="20">
        <f t="shared" si="31"/>
        <v>0</v>
      </c>
    </row>
    <row r="224" spans="4:17" x14ac:dyDescent="0.35">
      <c r="D224" s="20" t="str">
        <f t="shared" si="37"/>
        <v/>
      </c>
      <c r="E224" s="23" t="str">
        <f t="shared" si="38"/>
        <v/>
      </c>
      <c r="F224" s="23" t="str">
        <f t="shared" si="39"/>
        <v/>
      </c>
      <c r="G224" s="20">
        <f t="shared" si="32"/>
        <v>0</v>
      </c>
      <c r="H224" s="20">
        <f t="shared" si="36"/>
        <v>0</v>
      </c>
      <c r="I224" s="20">
        <f t="shared" si="33"/>
        <v>0</v>
      </c>
      <c r="J224" s="20">
        <f t="shared" si="36"/>
        <v>0</v>
      </c>
      <c r="K224" s="20">
        <f t="shared" si="34"/>
        <v>0</v>
      </c>
      <c r="L224" s="20">
        <f t="shared" si="36"/>
        <v>1</v>
      </c>
      <c r="M224" s="20">
        <f t="shared" si="35"/>
        <v>0</v>
      </c>
      <c r="N224" s="20">
        <f>ABS(G224)</f>
        <v>0</v>
      </c>
      <c r="O224" s="20">
        <f>ABS(I224)</f>
        <v>0</v>
      </c>
      <c r="P224" s="20">
        <f>ABS(K224)</f>
        <v>0</v>
      </c>
      <c r="Q224" s="20">
        <f t="shared" si="31"/>
        <v>0</v>
      </c>
    </row>
    <row r="225" spans="4:17" x14ac:dyDescent="0.35">
      <c r="D225" s="20" t="str">
        <f t="shared" si="37"/>
        <v/>
      </c>
      <c r="E225" s="23" t="str">
        <f t="shared" si="38"/>
        <v/>
      </c>
      <c r="F225" s="23" t="str">
        <f t="shared" si="39"/>
        <v/>
      </c>
      <c r="G225" s="20">
        <f t="shared" si="32"/>
        <v>0</v>
      </c>
      <c r="H225" s="20">
        <f t="shared" si="36"/>
        <v>1</v>
      </c>
      <c r="I225" s="20">
        <f t="shared" si="33"/>
        <v>0</v>
      </c>
      <c r="J225" s="20">
        <f t="shared" si="36"/>
        <v>0</v>
      </c>
      <c r="K225" s="20">
        <f t="shared" si="34"/>
        <v>0</v>
      </c>
      <c r="L225" s="20">
        <f t="shared" si="36"/>
        <v>0</v>
      </c>
      <c r="M225" s="20">
        <f t="shared" si="35"/>
        <v>0</v>
      </c>
      <c r="N225" s="20">
        <f>ABS(G225)</f>
        <v>0</v>
      </c>
      <c r="O225" s="20">
        <f>ABS(I225)</f>
        <v>0</v>
      </c>
      <c r="P225" s="20">
        <f>ABS(K225)</f>
        <v>0</v>
      </c>
      <c r="Q225" s="20">
        <f t="shared" si="31"/>
        <v>0</v>
      </c>
    </row>
    <row r="226" spans="4:17" x14ac:dyDescent="0.35">
      <c r="D226" s="20" t="str">
        <f t="shared" si="37"/>
        <v/>
      </c>
      <c r="E226" s="23" t="str">
        <f t="shared" si="38"/>
        <v/>
      </c>
      <c r="F226" s="23" t="str">
        <f t="shared" si="39"/>
        <v/>
      </c>
      <c r="G226" s="20">
        <f t="shared" si="32"/>
        <v>0</v>
      </c>
      <c r="H226" s="20">
        <f t="shared" si="36"/>
        <v>0</v>
      </c>
      <c r="I226" s="20">
        <f t="shared" si="33"/>
        <v>0</v>
      </c>
      <c r="J226" s="20">
        <f t="shared" si="36"/>
        <v>1</v>
      </c>
      <c r="K226" s="20">
        <f t="shared" si="34"/>
        <v>0</v>
      </c>
      <c r="L226" s="20">
        <f t="shared" si="36"/>
        <v>0</v>
      </c>
      <c r="M226" s="20">
        <f t="shared" si="35"/>
        <v>0</v>
      </c>
      <c r="N226" s="20">
        <f>ABS(G226)</f>
        <v>0</v>
      </c>
      <c r="O226" s="20">
        <f>ABS(I226)</f>
        <v>0</v>
      </c>
      <c r="P226" s="20">
        <f>ABS(K226)</f>
        <v>0</v>
      </c>
      <c r="Q226" s="20">
        <f t="shared" si="31"/>
        <v>0</v>
      </c>
    </row>
    <row r="227" spans="4:17" x14ac:dyDescent="0.35">
      <c r="D227" s="20" t="str">
        <f t="shared" si="37"/>
        <v/>
      </c>
      <c r="E227" s="23" t="str">
        <f t="shared" si="38"/>
        <v/>
      </c>
      <c r="F227" s="23" t="str">
        <f t="shared" si="39"/>
        <v/>
      </c>
      <c r="G227" s="20">
        <f t="shared" si="32"/>
        <v>0</v>
      </c>
      <c r="H227" s="20">
        <f t="shared" si="36"/>
        <v>0</v>
      </c>
      <c r="I227" s="20">
        <f t="shared" si="33"/>
        <v>0</v>
      </c>
      <c r="J227" s="20">
        <f t="shared" si="36"/>
        <v>0</v>
      </c>
      <c r="K227" s="20">
        <f t="shared" si="34"/>
        <v>0</v>
      </c>
      <c r="L227" s="20">
        <f t="shared" si="36"/>
        <v>1</v>
      </c>
      <c r="M227" s="20">
        <f t="shared" si="35"/>
        <v>0</v>
      </c>
      <c r="N227" s="20">
        <f>ABS(G227)</f>
        <v>0</v>
      </c>
      <c r="O227" s="20">
        <f>ABS(I227)</f>
        <v>0</v>
      </c>
      <c r="P227" s="20">
        <f>ABS(K227)</f>
        <v>0</v>
      </c>
      <c r="Q227" s="20">
        <f t="shared" si="31"/>
        <v>0</v>
      </c>
    </row>
    <row r="228" spans="4:17" x14ac:dyDescent="0.35">
      <c r="D228" s="20" t="str">
        <f t="shared" si="37"/>
        <v/>
      </c>
      <c r="E228" s="23" t="str">
        <f t="shared" si="38"/>
        <v/>
      </c>
      <c r="F228" s="23" t="str">
        <f t="shared" si="39"/>
        <v/>
      </c>
      <c r="G228" s="20">
        <f t="shared" si="32"/>
        <v>0</v>
      </c>
      <c r="H228" s="20">
        <f t="shared" si="36"/>
        <v>1</v>
      </c>
      <c r="I228" s="20">
        <f t="shared" si="33"/>
        <v>0</v>
      </c>
      <c r="J228" s="20">
        <f t="shared" si="36"/>
        <v>0</v>
      </c>
      <c r="K228" s="20">
        <f t="shared" si="34"/>
        <v>0</v>
      </c>
      <c r="L228" s="20">
        <f t="shared" si="36"/>
        <v>0</v>
      </c>
      <c r="M228" s="20">
        <f t="shared" si="35"/>
        <v>0</v>
      </c>
      <c r="N228" s="20">
        <f>ABS(G228)</f>
        <v>0</v>
      </c>
      <c r="O228" s="20">
        <f>ABS(I228)</f>
        <v>0</v>
      </c>
      <c r="P228" s="20">
        <f>ABS(K228)</f>
        <v>0</v>
      </c>
      <c r="Q228" s="20">
        <f t="shared" si="31"/>
        <v>0</v>
      </c>
    </row>
    <row r="229" spans="4:17" x14ac:dyDescent="0.35">
      <c r="D229" s="20" t="str">
        <f t="shared" si="37"/>
        <v/>
      </c>
      <c r="E229" s="23" t="str">
        <f t="shared" si="38"/>
        <v/>
      </c>
      <c r="F229" s="23" t="str">
        <f t="shared" si="39"/>
        <v/>
      </c>
      <c r="G229" s="20">
        <f t="shared" si="32"/>
        <v>0</v>
      </c>
      <c r="H229" s="20">
        <f t="shared" si="36"/>
        <v>0</v>
      </c>
      <c r="I229" s="20">
        <f t="shared" si="33"/>
        <v>0</v>
      </c>
      <c r="J229" s="20">
        <f t="shared" si="36"/>
        <v>1</v>
      </c>
      <c r="K229" s="20">
        <f t="shared" si="34"/>
        <v>0</v>
      </c>
      <c r="L229" s="20">
        <f t="shared" si="36"/>
        <v>0</v>
      </c>
      <c r="M229" s="20">
        <f t="shared" si="35"/>
        <v>0</v>
      </c>
      <c r="N229" s="20">
        <f>ABS(G229)</f>
        <v>0</v>
      </c>
      <c r="O229" s="20">
        <f>ABS(I229)</f>
        <v>0</v>
      </c>
      <c r="P229" s="20">
        <f>ABS(K229)</f>
        <v>0</v>
      </c>
      <c r="Q229" s="20">
        <f t="shared" si="31"/>
        <v>0</v>
      </c>
    </row>
    <row r="230" spans="4:17" x14ac:dyDescent="0.35">
      <c r="D230" s="20" t="str">
        <f t="shared" si="37"/>
        <v/>
      </c>
      <c r="E230" s="23" t="str">
        <f t="shared" si="38"/>
        <v/>
      </c>
      <c r="F230" s="23" t="str">
        <f t="shared" si="39"/>
        <v/>
      </c>
      <c r="G230" s="20">
        <f t="shared" si="32"/>
        <v>0</v>
      </c>
      <c r="H230" s="20">
        <f t="shared" si="36"/>
        <v>0</v>
      </c>
      <c r="I230" s="20">
        <f t="shared" si="33"/>
        <v>0</v>
      </c>
      <c r="J230" s="20">
        <f t="shared" si="36"/>
        <v>0</v>
      </c>
      <c r="K230" s="20">
        <f t="shared" si="34"/>
        <v>0</v>
      </c>
      <c r="L230" s="20">
        <f t="shared" si="36"/>
        <v>1</v>
      </c>
      <c r="M230" s="20">
        <f t="shared" si="35"/>
        <v>0</v>
      </c>
      <c r="N230" s="20">
        <f>ABS(G230)</f>
        <v>0</v>
      </c>
      <c r="O230" s="20">
        <f>ABS(I230)</f>
        <v>0</v>
      </c>
      <c r="P230" s="20">
        <f>ABS(K230)</f>
        <v>0</v>
      </c>
      <c r="Q230" s="20">
        <f t="shared" si="31"/>
        <v>0</v>
      </c>
    </row>
    <row r="231" spans="4:17" x14ac:dyDescent="0.35">
      <c r="D231" s="20" t="str">
        <f t="shared" si="37"/>
        <v/>
      </c>
      <c r="E231" s="23" t="str">
        <f t="shared" si="38"/>
        <v/>
      </c>
      <c r="F231" s="23" t="str">
        <f t="shared" si="39"/>
        <v/>
      </c>
      <c r="G231" s="20">
        <f t="shared" si="32"/>
        <v>0</v>
      </c>
      <c r="H231" s="20">
        <f t="shared" si="36"/>
        <v>1</v>
      </c>
      <c r="I231" s="20">
        <f t="shared" si="33"/>
        <v>0</v>
      </c>
      <c r="J231" s="20">
        <f t="shared" si="36"/>
        <v>0</v>
      </c>
      <c r="K231" s="20">
        <f t="shared" si="34"/>
        <v>0</v>
      </c>
      <c r="L231" s="20">
        <f t="shared" si="36"/>
        <v>0</v>
      </c>
      <c r="M231" s="20">
        <f t="shared" si="35"/>
        <v>0</v>
      </c>
      <c r="N231" s="20">
        <f>ABS(G231)</f>
        <v>0</v>
      </c>
      <c r="O231" s="20">
        <f>ABS(I231)</f>
        <v>0</v>
      </c>
      <c r="P231" s="20">
        <f>ABS(K231)</f>
        <v>0</v>
      </c>
      <c r="Q231" s="20">
        <f t="shared" si="31"/>
        <v>0</v>
      </c>
    </row>
    <row r="232" spans="4:17" x14ac:dyDescent="0.35">
      <c r="D232" s="20" t="str">
        <f t="shared" si="37"/>
        <v/>
      </c>
      <c r="E232" s="23" t="str">
        <f t="shared" si="38"/>
        <v/>
      </c>
      <c r="F232" s="23" t="str">
        <f t="shared" si="39"/>
        <v/>
      </c>
      <c r="G232" s="20">
        <f t="shared" si="32"/>
        <v>0</v>
      </c>
      <c r="H232" s="20">
        <f t="shared" si="36"/>
        <v>0</v>
      </c>
      <c r="I232" s="20">
        <f t="shared" si="33"/>
        <v>0</v>
      </c>
      <c r="J232" s="20">
        <f t="shared" si="36"/>
        <v>1</v>
      </c>
      <c r="K232" s="20">
        <f t="shared" si="34"/>
        <v>0</v>
      </c>
      <c r="L232" s="20">
        <f t="shared" si="36"/>
        <v>0</v>
      </c>
      <c r="M232" s="20">
        <f t="shared" si="35"/>
        <v>0</v>
      </c>
      <c r="N232" s="20">
        <f>ABS(G232)</f>
        <v>0</v>
      </c>
      <c r="O232" s="20">
        <f>ABS(I232)</f>
        <v>0</v>
      </c>
      <c r="P232" s="20">
        <f>ABS(K232)</f>
        <v>0</v>
      </c>
      <c r="Q232" s="20">
        <f t="shared" si="31"/>
        <v>0</v>
      </c>
    </row>
    <row r="233" spans="4:17" x14ac:dyDescent="0.35">
      <c r="D233" s="20" t="str">
        <f t="shared" si="37"/>
        <v/>
      </c>
      <c r="E233" s="23" t="str">
        <f t="shared" si="38"/>
        <v/>
      </c>
      <c r="F233" s="23" t="str">
        <f t="shared" si="39"/>
        <v/>
      </c>
      <c r="G233" s="20">
        <f t="shared" si="32"/>
        <v>0</v>
      </c>
      <c r="H233" s="20">
        <f t="shared" si="36"/>
        <v>0</v>
      </c>
      <c r="I233" s="20">
        <f t="shared" si="33"/>
        <v>0</v>
      </c>
      <c r="J233" s="20">
        <f t="shared" si="36"/>
        <v>0</v>
      </c>
      <c r="K233" s="20">
        <f t="shared" si="34"/>
        <v>0</v>
      </c>
      <c r="L233" s="20">
        <f t="shared" si="36"/>
        <v>1</v>
      </c>
      <c r="M233" s="20">
        <f t="shared" si="35"/>
        <v>0</v>
      </c>
      <c r="N233" s="20">
        <f>ABS(G233)</f>
        <v>0</v>
      </c>
      <c r="O233" s="20">
        <f>ABS(I233)</f>
        <v>0</v>
      </c>
      <c r="P233" s="20">
        <f>ABS(K233)</f>
        <v>0</v>
      </c>
      <c r="Q233" s="20">
        <f t="shared" si="31"/>
        <v>0</v>
      </c>
    </row>
    <row r="234" spans="4:17" x14ac:dyDescent="0.35">
      <c r="D234" s="20" t="str">
        <f t="shared" si="37"/>
        <v/>
      </c>
      <c r="E234" s="23" t="str">
        <f t="shared" si="38"/>
        <v/>
      </c>
      <c r="F234" s="23" t="str">
        <f t="shared" si="39"/>
        <v/>
      </c>
      <c r="G234" s="20">
        <f t="shared" si="32"/>
        <v>0</v>
      </c>
      <c r="H234" s="20">
        <f t="shared" si="36"/>
        <v>1</v>
      </c>
      <c r="I234" s="20">
        <f t="shared" si="33"/>
        <v>0</v>
      </c>
      <c r="J234" s="20">
        <f t="shared" si="36"/>
        <v>0</v>
      </c>
      <c r="K234" s="20">
        <f t="shared" si="34"/>
        <v>0</v>
      </c>
      <c r="L234" s="20">
        <f t="shared" si="36"/>
        <v>0</v>
      </c>
      <c r="M234" s="20">
        <f t="shared" si="35"/>
        <v>0</v>
      </c>
      <c r="N234" s="20">
        <f>ABS(G234)</f>
        <v>0</v>
      </c>
      <c r="O234" s="20">
        <f>ABS(I234)</f>
        <v>0</v>
      </c>
      <c r="P234" s="20">
        <f>ABS(K234)</f>
        <v>0</v>
      </c>
      <c r="Q234" s="20">
        <f t="shared" si="31"/>
        <v>0</v>
      </c>
    </row>
    <row r="235" spans="4:17" x14ac:dyDescent="0.35">
      <c r="D235" s="20" t="str">
        <f t="shared" si="37"/>
        <v/>
      </c>
      <c r="E235" s="23" t="str">
        <f t="shared" si="38"/>
        <v/>
      </c>
      <c r="F235" s="23" t="str">
        <f t="shared" si="39"/>
        <v/>
      </c>
      <c r="G235" s="20">
        <f t="shared" si="32"/>
        <v>0</v>
      </c>
      <c r="H235" s="20">
        <f t="shared" si="36"/>
        <v>0</v>
      </c>
      <c r="I235" s="20">
        <f t="shared" si="33"/>
        <v>0</v>
      </c>
      <c r="J235" s="20">
        <f t="shared" si="36"/>
        <v>1</v>
      </c>
      <c r="K235" s="20">
        <f t="shared" si="34"/>
        <v>0</v>
      </c>
      <c r="L235" s="20">
        <f t="shared" si="36"/>
        <v>0</v>
      </c>
      <c r="M235" s="20">
        <f t="shared" si="35"/>
        <v>0</v>
      </c>
      <c r="N235" s="20">
        <f>ABS(G235)</f>
        <v>0</v>
      </c>
      <c r="O235" s="20">
        <f>ABS(I235)</f>
        <v>0</v>
      </c>
      <c r="P235" s="20">
        <f>ABS(K235)</f>
        <v>0</v>
      </c>
      <c r="Q235" s="20">
        <f t="shared" si="31"/>
        <v>0</v>
      </c>
    </row>
    <row r="236" spans="4:17" x14ac:dyDescent="0.35">
      <c r="D236" s="20" t="str">
        <f t="shared" si="37"/>
        <v/>
      </c>
      <c r="E236" s="23" t="str">
        <f t="shared" si="38"/>
        <v/>
      </c>
      <c r="F236" s="23" t="str">
        <f t="shared" si="39"/>
        <v/>
      </c>
      <c r="G236" s="20">
        <f t="shared" si="32"/>
        <v>0</v>
      </c>
      <c r="H236" s="20">
        <f t="shared" si="36"/>
        <v>0</v>
      </c>
      <c r="I236" s="20">
        <f t="shared" si="33"/>
        <v>0</v>
      </c>
      <c r="J236" s="20">
        <f t="shared" si="36"/>
        <v>0</v>
      </c>
      <c r="K236" s="20">
        <f t="shared" si="34"/>
        <v>0</v>
      </c>
      <c r="L236" s="20">
        <f t="shared" si="36"/>
        <v>1</v>
      </c>
      <c r="M236" s="20">
        <f t="shared" si="35"/>
        <v>0</v>
      </c>
      <c r="N236" s="20">
        <f>ABS(G236)</f>
        <v>0</v>
      </c>
      <c r="O236" s="20">
        <f>ABS(I236)</f>
        <v>0</v>
      </c>
      <c r="P236" s="20">
        <f>ABS(K236)</f>
        <v>0</v>
      </c>
      <c r="Q236" s="20">
        <f t="shared" si="31"/>
        <v>0</v>
      </c>
    </row>
    <row r="237" spans="4:17" x14ac:dyDescent="0.35">
      <c r="D237" s="20" t="str">
        <f t="shared" si="37"/>
        <v/>
      </c>
      <c r="E237" s="23" t="str">
        <f t="shared" si="38"/>
        <v/>
      </c>
      <c r="F237" s="23" t="str">
        <f t="shared" si="39"/>
        <v/>
      </c>
      <c r="G237" s="20">
        <f t="shared" si="32"/>
        <v>0</v>
      </c>
      <c r="H237" s="20">
        <f t="shared" si="36"/>
        <v>1</v>
      </c>
      <c r="I237" s="20">
        <f t="shared" si="33"/>
        <v>0</v>
      </c>
      <c r="J237" s="20">
        <f t="shared" si="36"/>
        <v>0</v>
      </c>
      <c r="K237" s="20">
        <f t="shared" si="34"/>
        <v>0</v>
      </c>
      <c r="L237" s="20">
        <f t="shared" si="36"/>
        <v>0</v>
      </c>
      <c r="M237" s="20">
        <f t="shared" si="35"/>
        <v>0</v>
      </c>
      <c r="N237" s="20">
        <f>ABS(G237)</f>
        <v>0</v>
      </c>
      <c r="O237" s="20">
        <f>ABS(I237)</f>
        <v>0</v>
      </c>
      <c r="P237" s="20">
        <f>ABS(K237)</f>
        <v>0</v>
      </c>
      <c r="Q237" s="20">
        <f t="shared" si="31"/>
        <v>0</v>
      </c>
    </row>
    <row r="238" spans="4:17" x14ac:dyDescent="0.35">
      <c r="D238" s="20" t="str">
        <f t="shared" si="37"/>
        <v/>
      </c>
      <c r="E238" s="23" t="str">
        <f t="shared" si="38"/>
        <v/>
      </c>
      <c r="F238" s="23" t="str">
        <f t="shared" si="39"/>
        <v/>
      </c>
      <c r="G238" s="20">
        <f t="shared" si="32"/>
        <v>0</v>
      </c>
      <c r="H238" s="20">
        <f t="shared" si="36"/>
        <v>0</v>
      </c>
      <c r="I238" s="20">
        <f t="shared" si="33"/>
        <v>0</v>
      </c>
      <c r="J238" s="20">
        <f t="shared" si="36"/>
        <v>1</v>
      </c>
      <c r="K238" s="20">
        <f t="shared" si="34"/>
        <v>0</v>
      </c>
      <c r="L238" s="20">
        <f t="shared" si="36"/>
        <v>0</v>
      </c>
      <c r="M238" s="20">
        <f t="shared" si="35"/>
        <v>0</v>
      </c>
      <c r="N238" s="20">
        <f>ABS(G238)</f>
        <v>0</v>
      </c>
      <c r="O238" s="20">
        <f>ABS(I238)</f>
        <v>0</v>
      </c>
      <c r="P238" s="20">
        <f>ABS(K238)</f>
        <v>0</v>
      </c>
      <c r="Q238" s="20">
        <f t="shared" si="31"/>
        <v>0</v>
      </c>
    </row>
    <row r="239" spans="4:17" x14ac:dyDescent="0.35">
      <c r="D239" s="20" t="str">
        <f t="shared" si="37"/>
        <v/>
      </c>
      <c r="E239" s="23" t="str">
        <f t="shared" si="38"/>
        <v/>
      </c>
      <c r="F239" s="23" t="str">
        <f t="shared" si="39"/>
        <v/>
      </c>
      <c r="G239" s="20">
        <f t="shared" si="32"/>
        <v>0</v>
      </c>
      <c r="H239" s="20">
        <f t="shared" si="36"/>
        <v>0</v>
      </c>
      <c r="I239" s="20">
        <f t="shared" si="33"/>
        <v>0</v>
      </c>
      <c r="J239" s="20">
        <f t="shared" si="36"/>
        <v>0</v>
      </c>
      <c r="K239" s="20">
        <f t="shared" si="34"/>
        <v>0</v>
      </c>
      <c r="L239" s="20">
        <f t="shared" si="36"/>
        <v>1</v>
      </c>
      <c r="M239" s="20">
        <f t="shared" si="35"/>
        <v>0</v>
      </c>
      <c r="N239" s="20">
        <f>ABS(G239)</f>
        <v>0</v>
      </c>
      <c r="O239" s="20">
        <f>ABS(I239)</f>
        <v>0</v>
      </c>
      <c r="P239" s="20">
        <f>ABS(K239)</f>
        <v>0</v>
      </c>
      <c r="Q239" s="20">
        <f t="shared" si="31"/>
        <v>0</v>
      </c>
    </row>
    <row r="240" spans="4:17" x14ac:dyDescent="0.35">
      <c r="D240" s="20" t="str">
        <f t="shared" si="37"/>
        <v/>
      </c>
      <c r="E240" s="23" t="str">
        <f t="shared" si="38"/>
        <v/>
      </c>
      <c r="F240" s="23" t="str">
        <f t="shared" si="39"/>
        <v/>
      </c>
      <c r="G240" s="20">
        <f t="shared" si="32"/>
        <v>0</v>
      </c>
      <c r="H240" s="20">
        <f t="shared" si="36"/>
        <v>1</v>
      </c>
      <c r="I240" s="20">
        <f t="shared" si="33"/>
        <v>0</v>
      </c>
      <c r="J240" s="20">
        <f t="shared" si="36"/>
        <v>0</v>
      </c>
      <c r="K240" s="20">
        <f t="shared" si="34"/>
        <v>0</v>
      </c>
      <c r="L240" s="20">
        <f t="shared" si="36"/>
        <v>0</v>
      </c>
      <c r="M240" s="20">
        <f t="shared" si="35"/>
        <v>0</v>
      </c>
      <c r="N240" s="20">
        <f>ABS(G240)</f>
        <v>0</v>
      </c>
      <c r="O240" s="20">
        <f>ABS(I240)</f>
        <v>0</v>
      </c>
      <c r="P240" s="20">
        <f>ABS(K240)</f>
        <v>0</v>
      </c>
      <c r="Q240" s="20">
        <f t="shared" si="31"/>
        <v>0</v>
      </c>
    </row>
    <row r="241" spans="4:17" x14ac:dyDescent="0.35">
      <c r="D241" s="20" t="str">
        <f t="shared" si="37"/>
        <v/>
      </c>
      <c r="E241" s="23" t="str">
        <f t="shared" si="38"/>
        <v/>
      </c>
      <c r="F241" s="23" t="str">
        <f t="shared" si="39"/>
        <v/>
      </c>
      <c r="G241" s="20">
        <f t="shared" si="32"/>
        <v>0</v>
      </c>
      <c r="H241" s="20">
        <f t="shared" si="36"/>
        <v>0</v>
      </c>
      <c r="I241" s="20">
        <f t="shared" si="33"/>
        <v>0</v>
      </c>
      <c r="J241" s="20">
        <f t="shared" si="36"/>
        <v>1</v>
      </c>
      <c r="K241" s="20">
        <f t="shared" si="34"/>
        <v>0</v>
      </c>
      <c r="L241" s="20">
        <f t="shared" si="36"/>
        <v>0</v>
      </c>
      <c r="M241" s="20">
        <f t="shared" si="35"/>
        <v>0</v>
      </c>
      <c r="N241" s="20">
        <f>ABS(G241)</f>
        <v>0</v>
      </c>
      <c r="O241" s="20">
        <f>ABS(I241)</f>
        <v>0</v>
      </c>
      <c r="P241" s="20">
        <f>ABS(K241)</f>
        <v>0</v>
      </c>
      <c r="Q241" s="20">
        <f t="shared" si="31"/>
        <v>0</v>
      </c>
    </row>
    <row r="242" spans="4:17" x14ac:dyDescent="0.35">
      <c r="D242" s="20" t="str">
        <f t="shared" si="37"/>
        <v/>
      </c>
      <c r="E242" s="23" t="str">
        <f t="shared" si="38"/>
        <v/>
      </c>
      <c r="F242" s="23" t="str">
        <f t="shared" si="39"/>
        <v/>
      </c>
      <c r="G242" s="20">
        <f t="shared" si="32"/>
        <v>0</v>
      </c>
      <c r="H242" s="20">
        <f t="shared" si="36"/>
        <v>0</v>
      </c>
      <c r="I242" s="20">
        <f t="shared" si="33"/>
        <v>0</v>
      </c>
      <c r="J242" s="20">
        <f t="shared" si="36"/>
        <v>0</v>
      </c>
      <c r="K242" s="20">
        <f t="shared" si="34"/>
        <v>0</v>
      </c>
      <c r="L242" s="20">
        <f t="shared" si="36"/>
        <v>1</v>
      </c>
      <c r="M242" s="20">
        <f t="shared" si="35"/>
        <v>0</v>
      </c>
      <c r="N242" s="20">
        <f>ABS(G242)</f>
        <v>0</v>
      </c>
      <c r="O242" s="20">
        <f>ABS(I242)</f>
        <v>0</v>
      </c>
      <c r="P242" s="20">
        <f>ABS(K242)</f>
        <v>0</v>
      </c>
      <c r="Q242" s="20">
        <f t="shared" si="31"/>
        <v>0</v>
      </c>
    </row>
    <row r="243" spans="4:17" x14ac:dyDescent="0.35">
      <c r="D243" s="20" t="str">
        <f t="shared" si="37"/>
        <v/>
      </c>
      <c r="E243" s="23" t="str">
        <f t="shared" si="38"/>
        <v/>
      </c>
      <c r="F243" s="23" t="str">
        <f t="shared" si="39"/>
        <v/>
      </c>
      <c r="G243" s="20">
        <f t="shared" si="32"/>
        <v>0</v>
      </c>
      <c r="H243" s="20">
        <f t="shared" si="36"/>
        <v>1</v>
      </c>
      <c r="I243" s="20">
        <f t="shared" si="33"/>
        <v>0</v>
      </c>
      <c r="J243" s="20">
        <f t="shared" si="36"/>
        <v>0</v>
      </c>
      <c r="K243" s="20">
        <f t="shared" si="34"/>
        <v>0</v>
      </c>
      <c r="L243" s="20">
        <f t="shared" si="36"/>
        <v>0</v>
      </c>
      <c r="M243" s="20">
        <f t="shared" si="35"/>
        <v>0</v>
      </c>
      <c r="N243" s="20">
        <f>ABS(G243)</f>
        <v>0</v>
      </c>
      <c r="O243" s="20">
        <f>ABS(I243)</f>
        <v>0</v>
      </c>
      <c r="P243" s="20">
        <f>ABS(K243)</f>
        <v>0</v>
      </c>
      <c r="Q243" s="20">
        <f t="shared" si="31"/>
        <v>0</v>
      </c>
    </row>
    <row r="244" spans="4:17" x14ac:dyDescent="0.35">
      <c r="D244" s="20" t="str">
        <f t="shared" si="37"/>
        <v/>
      </c>
      <c r="E244" s="23" t="str">
        <f t="shared" si="38"/>
        <v/>
      </c>
      <c r="F244" s="23" t="str">
        <f t="shared" si="39"/>
        <v/>
      </c>
      <c r="G244" s="20">
        <f t="shared" si="32"/>
        <v>0</v>
      </c>
      <c r="H244" s="20">
        <f t="shared" si="36"/>
        <v>0</v>
      </c>
      <c r="I244" s="20">
        <f t="shared" si="33"/>
        <v>0</v>
      </c>
      <c r="J244" s="20">
        <f t="shared" si="36"/>
        <v>1</v>
      </c>
      <c r="K244" s="20">
        <f t="shared" si="34"/>
        <v>0</v>
      </c>
      <c r="L244" s="20">
        <f t="shared" si="36"/>
        <v>0</v>
      </c>
      <c r="M244" s="20">
        <f t="shared" si="35"/>
        <v>0</v>
      </c>
      <c r="N244" s="20">
        <f>ABS(G244)</f>
        <v>0</v>
      </c>
      <c r="O244" s="20">
        <f>ABS(I244)</f>
        <v>0</v>
      </c>
      <c r="P244" s="20">
        <f>ABS(K244)</f>
        <v>0</v>
      </c>
      <c r="Q244" s="20">
        <f t="shared" si="31"/>
        <v>0</v>
      </c>
    </row>
    <row r="245" spans="4:17" x14ac:dyDescent="0.35">
      <c r="D245" s="20" t="str">
        <f t="shared" si="37"/>
        <v/>
      </c>
      <c r="E245" s="23" t="str">
        <f t="shared" si="38"/>
        <v/>
      </c>
      <c r="F245" s="23" t="str">
        <f t="shared" si="39"/>
        <v/>
      </c>
      <c r="G245" s="20">
        <f t="shared" si="32"/>
        <v>0</v>
      </c>
      <c r="H245" s="20">
        <f t="shared" si="36"/>
        <v>0</v>
      </c>
      <c r="I245" s="20">
        <f t="shared" si="33"/>
        <v>0</v>
      </c>
      <c r="J245" s="20">
        <f t="shared" si="36"/>
        <v>0</v>
      </c>
      <c r="K245" s="20">
        <f t="shared" si="34"/>
        <v>0</v>
      </c>
      <c r="L245" s="20">
        <f t="shared" si="36"/>
        <v>1</v>
      </c>
      <c r="M245" s="20">
        <f t="shared" si="35"/>
        <v>0</v>
      </c>
      <c r="N245" s="20">
        <f>ABS(G245)</f>
        <v>0</v>
      </c>
      <c r="O245" s="20">
        <f>ABS(I245)</f>
        <v>0</v>
      </c>
      <c r="P245" s="20">
        <f>ABS(K245)</f>
        <v>0</v>
      </c>
      <c r="Q245" s="20">
        <f t="shared" si="31"/>
        <v>0</v>
      </c>
    </row>
    <row r="246" spans="4:17" x14ac:dyDescent="0.35">
      <c r="D246" s="20" t="str">
        <f t="shared" si="37"/>
        <v/>
      </c>
      <c r="E246" s="23" t="str">
        <f t="shared" si="38"/>
        <v/>
      </c>
      <c r="F246" s="23" t="str">
        <f t="shared" si="39"/>
        <v/>
      </c>
      <c r="G246" s="20">
        <f t="shared" si="32"/>
        <v>0</v>
      </c>
      <c r="H246" s="20">
        <f t="shared" si="36"/>
        <v>1</v>
      </c>
      <c r="I246" s="20">
        <f t="shared" si="33"/>
        <v>0</v>
      </c>
      <c r="J246" s="20">
        <f t="shared" si="36"/>
        <v>0</v>
      </c>
      <c r="K246" s="20">
        <f t="shared" si="34"/>
        <v>0</v>
      </c>
      <c r="L246" s="20">
        <f t="shared" si="36"/>
        <v>0</v>
      </c>
      <c r="M246" s="20">
        <f t="shared" si="35"/>
        <v>0</v>
      </c>
      <c r="N246" s="20">
        <f>ABS(G246)</f>
        <v>0</v>
      </c>
      <c r="O246" s="20">
        <f>ABS(I246)</f>
        <v>0</v>
      </c>
      <c r="P246" s="20">
        <f>ABS(K246)</f>
        <v>0</v>
      </c>
      <c r="Q246" s="20">
        <f t="shared" si="31"/>
        <v>0</v>
      </c>
    </row>
    <row r="247" spans="4:17" x14ac:dyDescent="0.35">
      <c r="D247" s="20" t="str">
        <f t="shared" si="37"/>
        <v/>
      </c>
      <c r="E247" s="23" t="str">
        <f t="shared" si="38"/>
        <v/>
      </c>
      <c r="F247" s="23" t="str">
        <f t="shared" si="39"/>
        <v/>
      </c>
      <c r="G247" s="20">
        <f t="shared" si="32"/>
        <v>0</v>
      </c>
      <c r="H247" s="20">
        <f t="shared" si="36"/>
        <v>0</v>
      </c>
      <c r="I247" s="20">
        <f t="shared" si="33"/>
        <v>0</v>
      </c>
      <c r="J247" s="20">
        <f t="shared" si="36"/>
        <v>1</v>
      </c>
      <c r="K247" s="20">
        <f t="shared" si="34"/>
        <v>0</v>
      </c>
      <c r="L247" s="20">
        <f t="shared" si="36"/>
        <v>0</v>
      </c>
      <c r="M247" s="20">
        <f t="shared" si="35"/>
        <v>0</v>
      </c>
      <c r="N247" s="20">
        <f>ABS(G247)</f>
        <v>0</v>
      </c>
      <c r="O247" s="20">
        <f>ABS(I247)</f>
        <v>0</v>
      </c>
      <c r="P247" s="20">
        <f>ABS(K247)</f>
        <v>0</v>
      </c>
      <c r="Q247" s="20">
        <f t="shared" si="31"/>
        <v>0</v>
      </c>
    </row>
    <row r="248" spans="4:17" x14ac:dyDescent="0.35">
      <c r="D248" s="20" t="str">
        <f t="shared" si="37"/>
        <v/>
      </c>
      <c r="E248" s="23" t="str">
        <f t="shared" si="38"/>
        <v/>
      </c>
      <c r="F248" s="23" t="str">
        <f t="shared" si="39"/>
        <v/>
      </c>
      <c r="G248" s="20">
        <f t="shared" si="32"/>
        <v>0</v>
      </c>
      <c r="H248" s="20">
        <f t="shared" si="36"/>
        <v>0</v>
      </c>
      <c r="I248" s="20">
        <f t="shared" si="33"/>
        <v>0</v>
      </c>
      <c r="J248" s="20">
        <f t="shared" si="36"/>
        <v>0</v>
      </c>
      <c r="K248" s="20">
        <f t="shared" si="34"/>
        <v>0</v>
      </c>
      <c r="L248" s="20">
        <f t="shared" si="36"/>
        <v>1</v>
      </c>
      <c r="M248" s="20">
        <f t="shared" si="35"/>
        <v>0</v>
      </c>
      <c r="N248" s="20">
        <f>ABS(G248)</f>
        <v>0</v>
      </c>
      <c r="O248" s="20">
        <f>ABS(I248)</f>
        <v>0</v>
      </c>
      <c r="P248" s="20">
        <f>ABS(K248)</f>
        <v>0</v>
      </c>
      <c r="Q248" s="20">
        <f t="shared" si="31"/>
        <v>0</v>
      </c>
    </row>
    <row r="249" spans="4:17" x14ac:dyDescent="0.35">
      <c r="D249" s="20" t="str">
        <f t="shared" si="37"/>
        <v/>
      </c>
      <c r="E249" s="23" t="str">
        <f t="shared" si="38"/>
        <v/>
      </c>
      <c r="F249" s="23" t="str">
        <f t="shared" si="39"/>
        <v/>
      </c>
      <c r="G249" s="20">
        <f t="shared" si="32"/>
        <v>0</v>
      </c>
      <c r="H249" s="20">
        <f t="shared" si="36"/>
        <v>1</v>
      </c>
      <c r="I249" s="20">
        <f t="shared" si="33"/>
        <v>0</v>
      </c>
      <c r="J249" s="20">
        <f t="shared" si="36"/>
        <v>0</v>
      </c>
      <c r="K249" s="20">
        <f t="shared" si="34"/>
        <v>0</v>
      </c>
      <c r="L249" s="20">
        <f t="shared" si="36"/>
        <v>0</v>
      </c>
      <c r="M249" s="20">
        <f t="shared" si="35"/>
        <v>0</v>
      </c>
      <c r="N249" s="20">
        <f>ABS(G249)</f>
        <v>0</v>
      </c>
      <c r="O249" s="20">
        <f>ABS(I249)</f>
        <v>0</v>
      </c>
      <c r="P249" s="20">
        <f>ABS(K249)</f>
        <v>0</v>
      </c>
      <c r="Q249" s="20">
        <f t="shared" si="31"/>
        <v>0</v>
      </c>
    </row>
    <row r="250" spans="4:17" x14ac:dyDescent="0.35">
      <c r="D250" s="20" t="str">
        <f t="shared" si="37"/>
        <v/>
      </c>
      <c r="E250" s="23" t="str">
        <f t="shared" si="38"/>
        <v/>
      </c>
      <c r="F250" s="23" t="str">
        <f t="shared" si="39"/>
        <v/>
      </c>
      <c r="G250" s="20">
        <f t="shared" si="32"/>
        <v>0</v>
      </c>
      <c r="H250" s="20">
        <f t="shared" si="36"/>
        <v>0</v>
      </c>
      <c r="I250" s="20">
        <f t="shared" si="33"/>
        <v>0</v>
      </c>
      <c r="J250" s="20">
        <f t="shared" si="36"/>
        <v>1</v>
      </c>
      <c r="K250" s="20">
        <f t="shared" si="34"/>
        <v>0</v>
      </c>
      <c r="L250" s="20">
        <f t="shared" si="36"/>
        <v>0</v>
      </c>
      <c r="M250" s="20">
        <f t="shared" si="35"/>
        <v>0</v>
      </c>
      <c r="N250" s="20">
        <f>ABS(G250)</f>
        <v>0</v>
      </c>
      <c r="O250" s="20">
        <f>ABS(I250)</f>
        <v>0</v>
      </c>
      <c r="P250" s="20">
        <f>ABS(K250)</f>
        <v>0</v>
      </c>
      <c r="Q250" s="20">
        <f t="shared" si="31"/>
        <v>0</v>
      </c>
    </row>
    <row r="251" spans="4:17" x14ac:dyDescent="0.35">
      <c r="D251" s="20" t="str">
        <f t="shared" si="37"/>
        <v/>
      </c>
      <c r="E251" s="23" t="str">
        <f t="shared" si="38"/>
        <v/>
      </c>
      <c r="F251" s="23" t="str">
        <f t="shared" si="39"/>
        <v/>
      </c>
      <c r="G251" s="20">
        <f t="shared" si="32"/>
        <v>0</v>
      </c>
      <c r="H251" s="20">
        <f t="shared" si="36"/>
        <v>0</v>
      </c>
      <c r="I251" s="20">
        <f t="shared" si="33"/>
        <v>0</v>
      </c>
      <c r="J251" s="20">
        <f t="shared" si="36"/>
        <v>0</v>
      </c>
      <c r="K251" s="20">
        <f t="shared" si="34"/>
        <v>0</v>
      </c>
      <c r="L251" s="20">
        <f t="shared" si="36"/>
        <v>1</v>
      </c>
      <c r="M251" s="20">
        <f t="shared" si="35"/>
        <v>0</v>
      </c>
      <c r="N251" s="20">
        <f>ABS(G251)</f>
        <v>0</v>
      </c>
      <c r="O251" s="20">
        <f>ABS(I251)</f>
        <v>0</v>
      </c>
      <c r="P251" s="20">
        <f>ABS(K251)</f>
        <v>0</v>
      </c>
      <c r="Q251" s="20">
        <f t="shared" si="31"/>
        <v>0</v>
      </c>
    </row>
    <row r="252" spans="4:17" x14ac:dyDescent="0.35">
      <c r="D252" s="20" t="str">
        <f t="shared" si="37"/>
        <v/>
      </c>
      <c r="E252" s="23" t="str">
        <f t="shared" si="38"/>
        <v/>
      </c>
      <c r="F252" s="23" t="str">
        <f t="shared" si="39"/>
        <v/>
      </c>
      <c r="G252" s="20">
        <f t="shared" si="32"/>
        <v>0</v>
      </c>
      <c r="H252" s="20">
        <f t="shared" si="36"/>
        <v>1</v>
      </c>
      <c r="I252" s="20">
        <f t="shared" si="33"/>
        <v>0</v>
      </c>
      <c r="J252" s="20">
        <f t="shared" si="36"/>
        <v>0</v>
      </c>
      <c r="K252" s="20">
        <f t="shared" si="34"/>
        <v>0</v>
      </c>
      <c r="L252" s="20">
        <f t="shared" si="36"/>
        <v>0</v>
      </c>
      <c r="M252" s="20">
        <f t="shared" si="35"/>
        <v>0</v>
      </c>
      <c r="N252" s="20">
        <f>ABS(G252)</f>
        <v>0</v>
      </c>
      <c r="O252" s="20">
        <f>ABS(I252)</f>
        <v>0</v>
      </c>
      <c r="P252" s="20">
        <f>ABS(K252)</f>
        <v>0</v>
      </c>
      <c r="Q252" s="20">
        <f t="shared" si="31"/>
        <v>0</v>
      </c>
    </row>
    <row r="253" spans="4:17" x14ac:dyDescent="0.35">
      <c r="D253" s="20" t="str">
        <f t="shared" si="37"/>
        <v/>
      </c>
      <c r="E253" s="23" t="str">
        <f t="shared" si="38"/>
        <v/>
      </c>
      <c r="F253" s="23" t="str">
        <f t="shared" si="39"/>
        <v/>
      </c>
      <c r="G253" s="20">
        <f t="shared" si="32"/>
        <v>0</v>
      </c>
      <c r="H253" s="20">
        <f t="shared" si="36"/>
        <v>0</v>
      </c>
      <c r="I253" s="20">
        <f t="shared" si="33"/>
        <v>0</v>
      </c>
      <c r="J253" s="20">
        <f t="shared" si="36"/>
        <v>1</v>
      </c>
      <c r="K253" s="20">
        <f t="shared" si="34"/>
        <v>0</v>
      </c>
      <c r="L253" s="20">
        <f t="shared" si="36"/>
        <v>0</v>
      </c>
      <c r="M253" s="20">
        <f t="shared" si="35"/>
        <v>0</v>
      </c>
      <c r="N253" s="20">
        <f>ABS(G253)</f>
        <v>0</v>
      </c>
      <c r="O253" s="20">
        <f>ABS(I253)</f>
        <v>0</v>
      </c>
      <c r="P253" s="20">
        <f>ABS(K253)</f>
        <v>0</v>
      </c>
      <c r="Q253" s="20">
        <f t="shared" si="31"/>
        <v>0</v>
      </c>
    </row>
    <row r="254" spans="4:17" x14ac:dyDescent="0.35">
      <c r="D254" s="20" t="str">
        <f t="shared" si="37"/>
        <v/>
      </c>
      <c r="E254" s="23" t="str">
        <f t="shared" si="38"/>
        <v/>
      </c>
      <c r="F254" s="23" t="str">
        <f t="shared" si="39"/>
        <v/>
      </c>
      <c r="G254" s="20">
        <f t="shared" si="32"/>
        <v>0</v>
      </c>
      <c r="H254" s="20">
        <f t="shared" si="36"/>
        <v>0</v>
      </c>
      <c r="I254" s="20">
        <f t="shared" si="33"/>
        <v>0</v>
      </c>
      <c r="J254" s="20">
        <f t="shared" si="36"/>
        <v>0</v>
      </c>
      <c r="K254" s="20">
        <f t="shared" si="34"/>
        <v>0</v>
      </c>
      <c r="L254" s="20">
        <f t="shared" si="36"/>
        <v>1</v>
      </c>
      <c r="M254" s="20">
        <f t="shared" si="35"/>
        <v>0</v>
      </c>
      <c r="N254" s="20">
        <f>ABS(G254)</f>
        <v>0</v>
      </c>
      <c r="O254" s="20">
        <f>ABS(I254)</f>
        <v>0</v>
      </c>
      <c r="P254" s="20">
        <f>ABS(K254)</f>
        <v>0</v>
      </c>
      <c r="Q254" s="20">
        <f t="shared" si="31"/>
        <v>0</v>
      </c>
    </row>
    <row r="255" spans="4:17" x14ac:dyDescent="0.35">
      <c r="D255" s="20" t="str">
        <f t="shared" si="37"/>
        <v/>
      </c>
      <c r="E255" s="23" t="str">
        <f t="shared" si="38"/>
        <v/>
      </c>
      <c r="F255" s="23" t="str">
        <f t="shared" si="39"/>
        <v/>
      </c>
      <c r="G255" s="20">
        <f t="shared" si="32"/>
        <v>0</v>
      </c>
      <c r="H255" s="20">
        <f t="shared" si="36"/>
        <v>1</v>
      </c>
      <c r="I255" s="20">
        <f t="shared" si="33"/>
        <v>0</v>
      </c>
      <c r="J255" s="20">
        <f t="shared" si="36"/>
        <v>0</v>
      </c>
      <c r="K255" s="20">
        <f t="shared" si="34"/>
        <v>0</v>
      </c>
      <c r="L255" s="20">
        <f t="shared" si="36"/>
        <v>0</v>
      </c>
      <c r="M255" s="20">
        <f t="shared" si="35"/>
        <v>0</v>
      </c>
      <c r="N255" s="20">
        <f>ABS(G255)</f>
        <v>0</v>
      </c>
      <c r="O255" s="20">
        <f>ABS(I255)</f>
        <v>0</v>
      </c>
      <c r="P255" s="20">
        <f>ABS(K255)</f>
        <v>0</v>
      </c>
      <c r="Q255" s="20">
        <f t="shared" si="31"/>
        <v>0</v>
      </c>
    </row>
    <row r="256" spans="4:17" x14ac:dyDescent="0.35">
      <c r="D256" s="20" t="str">
        <f t="shared" si="37"/>
        <v/>
      </c>
      <c r="E256" s="23" t="str">
        <f t="shared" si="38"/>
        <v/>
      </c>
      <c r="F256" s="23" t="str">
        <f t="shared" si="39"/>
        <v/>
      </c>
      <c r="G256" s="20">
        <f t="shared" si="32"/>
        <v>0</v>
      </c>
      <c r="H256" s="20">
        <f t="shared" si="36"/>
        <v>0</v>
      </c>
      <c r="I256" s="20">
        <f t="shared" si="33"/>
        <v>0</v>
      </c>
      <c r="J256" s="20">
        <f t="shared" si="36"/>
        <v>1</v>
      </c>
      <c r="K256" s="20">
        <f t="shared" si="34"/>
        <v>0</v>
      </c>
      <c r="L256" s="20">
        <f t="shared" si="36"/>
        <v>0</v>
      </c>
      <c r="M256" s="20">
        <f t="shared" si="35"/>
        <v>0</v>
      </c>
      <c r="N256" s="20">
        <f>ABS(G256)</f>
        <v>0</v>
      </c>
      <c r="O256" s="20">
        <f>ABS(I256)</f>
        <v>0</v>
      </c>
      <c r="P256" s="20">
        <f>ABS(K256)</f>
        <v>0</v>
      </c>
      <c r="Q256" s="20">
        <f t="shared" si="31"/>
        <v>0</v>
      </c>
    </row>
    <row r="257" spans="4:17" x14ac:dyDescent="0.35">
      <c r="D257" s="20" t="str">
        <f t="shared" si="37"/>
        <v/>
      </c>
      <c r="E257" s="23" t="str">
        <f t="shared" si="38"/>
        <v/>
      </c>
      <c r="F257" s="23" t="str">
        <f t="shared" si="39"/>
        <v/>
      </c>
      <c r="G257" s="20">
        <f t="shared" si="32"/>
        <v>0</v>
      </c>
      <c r="H257" s="20">
        <f t="shared" si="36"/>
        <v>0</v>
      </c>
      <c r="I257" s="20">
        <f t="shared" si="33"/>
        <v>0</v>
      </c>
      <c r="J257" s="20">
        <f t="shared" si="36"/>
        <v>0</v>
      </c>
      <c r="K257" s="20">
        <f t="shared" si="34"/>
        <v>0</v>
      </c>
      <c r="L257" s="20">
        <f t="shared" si="36"/>
        <v>1</v>
      </c>
      <c r="M257" s="20">
        <f t="shared" si="35"/>
        <v>0</v>
      </c>
      <c r="N257" s="20">
        <f>ABS(G257)</f>
        <v>0</v>
      </c>
      <c r="O257" s="20">
        <f>ABS(I257)</f>
        <v>0</v>
      </c>
      <c r="P257" s="20">
        <f>ABS(K257)</f>
        <v>0</v>
      </c>
      <c r="Q257" s="20">
        <f t="shared" si="31"/>
        <v>0</v>
      </c>
    </row>
    <row r="258" spans="4:17" x14ac:dyDescent="0.35">
      <c r="D258" s="20" t="str">
        <f t="shared" si="37"/>
        <v/>
      </c>
      <c r="E258" s="23" t="str">
        <f t="shared" si="38"/>
        <v/>
      </c>
      <c r="F258" s="23" t="str">
        <f t="shared" si="39"/>
        <v/>
      </c>
      <c r="G258" s="20">
        <f t="shared" si="32"/>
        <v>0</v>
      </c>
      <c r="H258" s="20">
        <f t="shared" si="36"/>
        <v>1</v>
      </c>
      <c r="I258" s="20">
        <f t="shared" si="33"/>
        <v>0</v>
      </c>
      <c r="J258" s="20">
        <f t="shared" si="36"/>
        <v>0</v>
      </c>
      <c r="K258" s="20">
        <f t="shared" si="34"/>
        <v>0</v>
      </c>
      <c r="L258" s="20">
        <f t="shared" si="36"/>
        <v>0</v>
      </c>
      <c r="M258" s="20">
        <f t="shared" si="35"/>
        <v>0</v>
      </c>
      <c r="N258" s="20">
        <f>ABS(G258)</f>
        <v>0</v>
      </c>
      <c r="O258" s="20">
        <f>ABS(I258)</f>
        <v>0</v>
      </c>
      <c r="P258" s="20">
        <f>ABS(K258)</f>
        <v>0</v>
      </c>
      <c r="Q258" s="20">
        <f t="shared" ref="Q258:Q321" si="40">ABS(M258)</f>
        <v>0</v>
      </c>
    </row>
    <row r="259" spans="4:17" x14ac:dyDescent="0.35">
      <c r="D259" s="20" t="str">
        <f t="shared" si="37"/>
        <v/>
      </c>
      <c r="E259" s="23" t="str">
        <f t="shared" si="38"/>
        <v/>
      </c>
      <c r="F259" s="23" t="str">
        <f t="shared" si="39"/>
        <v/>
      </c>
      <c r="G259" s="20">
        <f t="shared" si="32"/>
        <v>0</v>
      </c>
      <c r="H259" s="20">
        <f t="shared" si="36"/>
        <v>0</v>
      </c>
      <c r="I259" s="20">
        <f t="shared" si="33"/>
        <v>0</v>
      </c>
      <c r="J259" s="20">
        <f t="shared" si="36"/>
        <v>1</v>
      </c>
      <c r="K259" s="20">
        <f t="shared" si="34"/>
        <v>0</v>
      </c>
      <c r="L259" s="20">
        <f t="shared" si="36"/>
        <v>0</v>
      </c>
      <c r="M259" s="20">
        <f t="shared" si="35"/>
        <v>0</v>
      </c>
      <c r="N259" s="20">
        <f>ABS(G259)</f>
        <v>0</v>
      </c>
      <c r="O259" s="20">
        <f>ABS(I259)</f>
        <v>0</v>
      </c>
      <c r="P259" s="20">
        <f>ABS(K259)</f>
        <v>0</v>
      </c>
      <c r="Q259" s="20">
        <f t="shared" ref="Q259:Q321" si="41">ABS(M259)</f>
        <v>0</v>
      </c>
    </row>
    <row r="260" spans="4:17" x14ac:dyDescent="0.35">
      <c r="D260" s="20" t="str">
        <f t="shared" si="37"/>
        <v/>
      </c>
      <c r="E260" s="23" t="str">
        <f t="shared" si="38"/>
        <v/>
      </c>
      <c r="F260" s="23" t="str">
        <f t="shared" si="39"/>
        <v/>
      </c>
      <c r="G260" s="20">
        <f t="shared" ref="G260:G323" si="42">IF(D260=$B$5+1,F260,0)</f>
        <v>0</v>
      </c>
      <c r="H260" s="20">
        <f t="shared" si="36"/>
        <v>0</v>
      </c>
      <c r="I260" s="20">
        <f t="shared" ref="I260:I323" si="43">IF(D259&lt;$B$5,F260*H260,0)</f>
        <v>0</v>
      </c>
      <c r="J260" s="20">
        <f t="shared" si="36"/>
        <v>0</v>
      </c>
      <c r="K260" s="20">
        <f t="shared" ref="K260:K323" si="44">IF(D259&lt;$B$5,F260*J260,0)</f>
        <v>0</v>
      </c>
      <c r="L260" s="20">
        <f t="shared" si="36"/>
        <v>1</v>
      </c>
      <c r="M260" s="20">
        <f t="shared" ref="M260:M323" si="45">IF(D259&lt;$B$5,F260*L260,0)</f>
        <v>0</v>
      </c>
      <c r="N260" s="20">
        <f>ABS(G260)</f>
        <v>0</v>
      </c>
      <c r="O260" s="20">
        <f>ABS(I260)</f>
        <v>0</v>
      </c>
      <c r="P260" s="20">
        <f>ABS(K260)</f>
        <v>0</v>
      </c>
      <c r="Q260" s="20">
        <f t="shared" si="41"/>
        <v>0</v>
      </c>
    </row>
    <row r="261" spans="4:17" x14ac:dyDescent="0.35">
      <c r="D261" s="20" t="str">
        <f t="shared" si="37"/>
        <v/>
      </c>
      <c r="E261" s="23" t="str">
        <f t="shared" si="38"/>
        <v/>
      </c>
      <c r="F261" s="23" t="str">
        <f t="shared" si="39"/>
        <v/>
      </c>
      <c r="G261" s="20">
        <f t="shared" si="42"/>
        <v>0</v>
      </c>
      <c r="H261" s="20">
        <f t="shared" si="36"/>
        <v>1</v>
      </c>
      <c r="I261" s="20">
        <f t="shared" si="43"/>
        <v>0</v>
      </c>
      <c r="J261" s="20">
        <f t="shared" si="36"/>
        <v>0</v>
      </c>
      <c r="K261" s="20">
        <f t="shared" si="44"/>
        <v>0</v>
      </c>
      <c r="L261" s="20">
        <f t="shared" si="36"/>
        <v>0</v>
      </c>
      <c r="M261" s="20">
        <f t="shared" si="45"/>
        <v>0</v>
      </c>
      <c r="N261" s="20">
        <f>ABS(G261)</f>
        <v>0</v>
      </c>
      <c r="O261" s="20">
        <f>ABS(I261)</f>
        <v>0</v>
      </c>
      <c r="P261" s="20">
        <f>ABS(K261)</f>
        <v>0</v>
      </c>
      <c r="Q261" s="20">
        <f t="shared" si="41"/>
        <v>0</v>
      </c>
    </row>
    <row r="262" spans="4:17" x14ac:dyDescent="0.35">
      <c r="D262" s="20" t="str">
        <f t="shared" si="37"/>
        <v/>
      </c>
      <c r="E262" s="23" t="str">
        <f t="shared" si="38"/>
        <v/>
      </c>
      <c r="F262" s="23" t="str">
        <f t="shared" si="39"/>
        <v/>
      </c>
      <c r="G262" s="20">
        <f t="shared" si="42"/>
        <v>0</v>
      </c>
      <c r="H262" s="20">
        <f t="shared" si="36"/>
        <v>0</v>
      </c>
      <c r="I262" s="20">
        <f t="shared" si="43"/>
        <v>0</v>
      </c>
      <c r="J262" s="20">
        <f t="shared" si="36"/>
        <v>1</v>
      </c>
      <c r="K262" s="20">
        <f t="shared" si="44"/>
        <v>0</v>
      </c>
      <c r="L262" s="20">
        <f t="shared" si="36"/>
        <v>0</v>
      </c>
      <c r="M262" s="20">
        <f t="shared" si="45"/>
        <v>0</v>
      </c>
      <c r="N262" s="20">
        <f>ABS(G262)</f>
        <v>0</v>
      </c>
      <c r="O262" s="20">
        <f>ABS(I262)</f>
        <v>0</v>
      </c>
      <c r="P262" s="20">
        <f>ABS(K262)</f>
        <v>0</v>
      </c>
      <c r="Q262" s="20">
        <f t="shared" si="41"/>
        <v>0</v>
      </c>
    </row>
    <row r="263" spans="4:17" x14ac:dyDescent="0.35">
      <c r="D263" s="20" t="str">
        <f t="shared" si="37"/>
        <v/>
      </c>
      <c r="E263" s="23" t="str">
        <f t="shared" si="38"/>
        <v/>
      </c>
      <c r="F263" s="23" t="str">
        <f t="shared" si="39"/>
        <v/>
      </c>
      <c r="G263" s="20">
        <f t="shared" si="42"/>
        <v>0</v>
      </c>
      <c r="H263" s="20">
        <f t="shared" ref="H263:L326" si="46">IF(H262+H261=0,1,0)</f>
        <v>0</v>
      </c>
      <c r="I263" s="20">
        <f t="shared" si="43"/>
        <v>0</v>
      </c>
      <c r="J263" s="20">
        <f t="shared" si="46"/>
        <v>0</v>
      </c>
      <c r="K263" s="20">
        <f t="shared" si="44"/>
        <v>0</v>
      </c>
      <c r="L263" s="20">
        <f t="shared" si="46"/>
        <v>1</v>
      </c>
      <c r="M263" s="20">
        <f t="shared" si="45"/>
        <v>0</v>
      </c>
      <c r="N263" s="20">
        <f>ABS(G263)</f>
        <v>0</v>
      </c>
      <c r="O263" s="20">
        <f>ABS(I263)</f>
        <v>0</v>
      </c>
      <c r="P263" s="20">
        <f>ABS(K263)</f>
        <v>0</v>
      </c>
      <c r="Q263" s="20">
        <f t="shared" si="41"/>
        <v>0</v>
      </c>
    </row>
    <row r="264" spans="4:17" x14ac:dyDescent="0.35">
      <c r="D264" s="20" t="str">
        <f t="shared" si="37"/>
        <v/>
      </c>
      <c r="E264" s="23" t="str">
        <f t="shared" si="38"/>
        <v/>
      </c>
      <c r="F264" s="23" t="str">
        <f t="shared" si="39"/>
        <v/>
      </c>
      <c r="G264" s="20">
        <f t="shared" si="42"/>
        <v>0</v>
      </c>
      <c r="H264" s="20">
        <f t="shared" si="46"/>
        <v>1</v>
      </c>
      <c r="I264" s="20">
        <f t="shared" si="43"/>
        <v>0</v>
      </c>
      <c r="J264" s="20">
        <f t="shared" si="46"/>
        <v>0</v>
      </c>
      <c r="K264" s="20">
        <f t="shared" si="44"/>
        <v>0</v>
      </c>
      <c r="L264" s="20">
        <f t="shared" si="46"/>
        <v>0</v>
      </c>
      <c r="M264" s="20">
        <f t="shared" si="45"/>
        <v>0</v>
      </c>
      <c r="N264" s="20">
        <f>ABS(G264)</f>
        <v>0</v>
      </c>
      <c r="O264" s="20">
        <f>ABS(I264)</f>
        <v>0</v>
      </c>
      <c r="P264" s="20">
        <f>ABS(K264)</f>
        <v>0</v>
      </c>
      <c r="Q264" s="20">
        <f t="shared" si="41"/>
        <v>0</v>
      </c>
    </row>
    <row r="265" spans="4:17" x14ac:dyDescent="0.35">
      <c r="D265" s="20" t="str">
        <f t="shared" si="37"/>
        <v/>
      </c>
      <c r="E265" s="23" t="str">
        <f t="shared" si="38"/>
        <v/>
      </c>
      <c r="F265" s="23" t="str">
        <f t="shared" si="39"/>
        <v/>
      </c>
      <c r="G265" s="20">
        <f t="shared" si="42"/>
        <v>0</v>
      </c>
      <c r="H265" s="20">
        <f t="shared" si="46"/>
        <v>0</v>
      </c>
      <c r="I265" s="20">
        <f t="shared" si="43"/>
        <v>0</v>
      </c>
      <c r="J265" s="20">
        <f t="shared" si="46"/>
        <v>1</v>
      </c>
      <c r="K265" s="20">
        <f t="shared" si="44"/>
        <v>0</v>
      </c>
      <c r="L265" s="20">
        <f t="shared" si="46"/>
        <v>0</v>
      </c>
      <c r="M265" s="20">
        <f t="shared" si="45"/>
        <v>0</v>
      </c>
      <c r="N265" s="20">
        <f>ABS(G265)</f>
        <v>0</v>
      </c>
      <c r="O265" s="20">
        <f>ABS(I265)</f>
        <v>0</v>
      </c>
      <c r="P265" s="20">
        <f>ABS(K265)</f>
        <v>0</v>
      </c>
      <c r="Q265" s="20">
        <f t="shared" si="41"/>
        <v>0</v>
      </c>
    </row>
    <row r="266" spans="4:17" x14ac:dyDescent="0.35">
      <c r="D266" s="20" t="str">
        <f t="shared" si="37"/>
        <v/>
      </c>
      <c r="E266" s="23" t="str">
        <f t="shared" si="38"/>
        <v/>
      </c>
      <c r="F266" s="23" t="str">
        <f t="shared" si="39"/>
        <v/>
      </c>
      <c r="G266" s="20">
        <f t="shared" si="42"/>
        <v>0</v>
      </c>
      <c r="H266" s="20">
        <f t="shared" si="46"/>
        <v>0</v>
      </c>
      <c r="I266" s="20">
        <f t="shared" si="43"/>
        <v>0</v>
      </c>
      <c r="J266" s="20">
        <f t="shared" si="46"/>
        <v>0</v>
      </c>
      <c r="K266" s="20">
        <f t="shared" si="44"/>
        <v>0</v>
      </c>
      <c r="L266" s="20">
        <f t="shared" si="46"/>
        <v>1</v>
      </c>
      <c r="M266" s="20">
        <f t="shared" si="45"/>
        <v>0</v>
      </c>
      <c r="N266" s="20">
        <f>ABS(G266)</f>
        <v>0</v>
      </c>
      <c r="O266" s="20">
        <f>ABS(I266)</f>
        <v>0</v>
      </c>
      <c r="P266" s="20">
        <f>ABS(K266)</f>
        <v>0</v>
      </c>
      <c r="Q266" s="20">
        <f t="shared" si="41"/>
        <v>0</v>
      </c>
    </row>
    <row r="267" spans="4:17" x14ac:dyDescent="0.35">
      <c r="D267" s="20" t="str">
        <f t="shared" si="37"/>
        <v/>
      </c>
      <c r="E267" s="23" t="str">
        <f t="shared" si="38"/>
        <v/>
      </c>
      <c r="F267" s="23" t="str">
        <f t="shared" si="39"/>
        <v/>
      </c>
      <c r="G267" s="20">
        <f t="shared" si="42"/>
        <v>0</v>
      </c>
      <c r="H267" s="20">
        <f t="shared" si="46"/>
        <v>1</v>
      </c>
      <c r="I267" s="20">
        <f t="shared" si="43"/>
        <v>0</v>
      </c>
      <c r="J267" s="20">
        <f t="shared" si="46"/>
        <v>0</v>
      </c>
      <c r="K267" s="20">
        <f t="shared" si="44"/>
        <v>0</v>
      </c>
      <c r="L267" s="20">
        <f t="shared" si="46"/>
        <v>0</v>
      </c>
      <c r="M267" s="20">
        <f t="shared" si="45"/>
        <v>0</v>
      </c>
      <c r="N267" s="20">
        <f>ABS(G267)</f>
        <v>0</v>
      </c>
      <c r="O267" s="20">
        <f>ABS(I267)</f>
        <v>0</v>
      </c>
      <c r="P267" s="20">
        <f>ABS(K267)</f>
        <v>0</v>
      </c>
      <c r="Q267" s="20">
        <f t="shared" si="41"/>
        <v>0</v>
      </c>
    </row>
    <row r="268" spans="4:17" x14ac:dyDescent="0.35">
      <c r="D268" s="20" t="str">
        <f t="shared" si="37"/>
        <v/>
      </c>
      <c r="E268" s="23" t="str">
        <f t="shared" si="38"/>
        <v/>
      </c>
      <c r="F268" s="23" t="str">
        <f t="shared" si="39"/>
        <v/>
      </c>
      <c r="G268" s="20">
        <f t="shared" si="42"/>
        <v>0</v>
      </c>
      <c r="H268" s="20">
        <f t="shared" si="46"/>
        <v>0</v>
      </c>
      <c r="I268" s="20">
        <f t="shared" si="43"/>
        <v>0</v>
      </c>
      <c r="J268" s="20">
        <f t="shared" si="46"/>
        <v>1</v>
      </c>
      <c r="K268" s="20">
        <f t="shared" si="44"/>
        <v>0</v>
      </c>
      <c r="L268" s="20">
        <f t="shared" si="46"/>
        <v>0</v>
      </c>
      <c r="M268" s="20">
        <f t="shared" si="45"/>
        <v>0</v>
      </c>
      <c r="N268" s="20">
        <f>ABS(G268)</f>
        <v>0</v>
      </c>
      <c r="O268" s="20">
        <f>ABS(I268)</f>
        <v>0</v>
      </c>
      <c r="P268" s="20">
        <f>ABS(K268)</f>
        <v>0</v>
      </c>
      <c r="Q268" s="20">
        <f t="shared" si="41"/>
        <v>0</v>
      </c>
    </row>
    <row r="269" spans="4:17" x14ac:dyDescent="0.35">
      <c r="D269" s="20" t="str">
        <f t="shared" si="37"/>
        <v/>
      </c>
      <c r="E269" s="23" t="str">
        <f t="shared" si="38"/>
        <v/>
      </c>
      <c r="F269" s="23" t="str">
        <f t="shared" si="39"/>
        <v/>
      </c>
      <c r="G269" s="20">
        <f t="shared" si="42"/>
        <v>0</v>
      </c>
      <c r="H269" s="20">
        <f t="shared" si="46"/>
        <v>0</v>
      </c>
      <c r="I269" s="20">
        <f t="shared" si="43"/>
        <v>0</v>
      </c>
      <c r="J269" s="20">
        <f t="shared" si="46"/>
        <v>0</v>
      </c>
      <c r="K269" s="20">
        <f t="shared" si="44"/>
        <v>0</v>
      </c>
      <c r="L269" s="20">
        <f t="shared" si="46"/>
        <v>1</v>
      </c>
      <c r="M269" s="20">
        <f t="shared" si="45"/>
        <v>0</v>
      </c>
      <c r="N269" s="20">
        <f>ABS(G269)</f>
        <v>0</v>
      </c>
      <c r="O269" s="20">
        <f>ABS(I269)</f>
        <v>0</v>
      </c>
      <c r="P269" s="20">
        <f>ABS(K269)</f>
        <v>0</v>
      </c>
      <c r="Q269" s="20">
        <f t="shared" si="41"/>
        <v>0</v>
      </c>
    </row>
    <row r="270" spans="4:17" x14ac:dyDescent="0.35">
      <c r="D270" s="20" t="str">
        <f t="shared" si="37"/>
        <v/>
      </c>
      <c r="E270" s="23" t="str">
        <f t="shared" si="38"/>
        <v/>
      </c>
      <c r="F270" s="23" t="str">
        <f t="shared" si="39"/>
        <v/>
      </c>
      <c r="G270" s="20">
        <f t="shared" si="42"/>
        <v>0</v>
      </c>
      <c r="H270" s="20">
        <f t="shared" si="46"/>
        <v>1</v>
      </c>
      <c r="I270" s="20">
        <f t="shared" si="43"/>
        <v>0</v>
      </c>
      <c r="J270" s="20">
        <f t="shared" si="46"/>
        <v>0</v>
      </c>
      <c r="K270" s="20">
        <f t="shared" si="44"/>
        <v>0</v>
      </c>
      <c r="L270" s="20">
        <f t="shared" si="46"/>
        <v>0</v>
      </c>
      <c r="M270" s="20">
        <f t="shared" si="45"/>
        <v>0</v>
      </c>
      <c r="N270" s="20">
        <f>ABS(G270)</f>
        <v>0</v>
      </c>
      <c r="O270" s="20">
        <f>ABS(I270)</f>
        <v>0</v>
      </c>
      <c r="P270" s="20">
        <f>ABS(K270)</f>
        <v>0</v>
      </c>
      <c r="Q270" s="20">
        <f t="shared" si="41"/>
        <v>0</v>
      </c>
    </row>
    <row r="271" spans="4:17" x14ac:dyDescent="0.35">
      <c r="D271" s="20" t="str">
        <f t="shared" si="37"/>
        <v/>
      </c>
      <c r="E271" s="23" t="str">
        <f t="shared" si="38"/>
        <v/>
      </c>
      <c r="F271" s="23" t="str">
        <f t="shared" si="39"/>
        <v/>
      </c>
      <c r="G271" s="20">
        <f t="shared" si="42"/>
        <v>0</v>
      </c>
      <c r="H271" s="20">
        <f t="shared" si="46"/>
        <v>0</v>
      </c>
      <c r="I271" s="20">
        <f t="shared" si="43"/>
        <v>0</v>
      </c>
      <c r="J271" s="20">
        <f t="shared" si="46"/>
        <v>1</v>
      </c>
      <c r="K271" s="20">
        <f t="shared" si="44"/>
        <v>0</v>
      </c>
      <c r="L271" s="20">
        <f t="shared" si="46"/>
        <v>0</v>
      </c>
      <c r="M271" s="20">
        <f t="shared" si="45"/>
        <v>0</v>
      </c>
      <c r="N271" s="20">
        <f>ABS(G271)</f>
        <v>0</v>
      </c>
      <c r="O271" s="20">
        <f>ABS(I271)</f>
        <v>0</v>
      </c>
      <c r="P271" s="20">
        <f>ABS(K271)</f>
        <v>0</v>
      </c>
      <c r="Q271" s="20">
        <f t="shared" si="41"/>
        <v>0</v>
      </c>
    </row>
    <row r="272" spans="4:17" x14ac:dyDescent="0.35">
      <c r="D272" s="20" t="str">
        <f t="shared" si="37"/>
        <v/>
      </c>
      <c r="E272" s="23" t="str">
        <f t="shared" si="38"/>
        <v/>
      </c>
      <c r="F272" s="23" t="str">
        <f t="shared" si="39"/>
        <v/>
      </c>
      <c r="G272" s="20">
        <f t="shared" si="42"/>
        <v>0</v>
      </c>
      <c r="H272" s="20">
        <f t="shared" si="46"/>
        <v>0</v>
      </c>
      <c r="I272" s="20">
        <f t="shared" si="43"/>
        <v>0</v>
      </c>
      <c r="J272" s="20">
        <f t="shared" si="46"/>
        <v>0</v>
      </c>
      <c r="K272" s="20">
        <f t="shared" si="44"/>
        <v>0</v>
      </c>
      <c r="L272" s="20">
        <f t="shared" si="46"/>
        <v>1</v>
      </c>
      <c r="M272" s="20">
        <f t="shared" si="45"/>
        <v>0</v>
      </c>
      <c r="N272" s="20">
        <f>ABS(G272)</f>
        <v>0</v>
      </c>
      <c r="O272" s="20">
        <f>ABS(I272)</f>
        <v>0</v>
      </c>
      <c r="P272" s="20">
        <f>ABS(K272)</f>
        <v>0</v>
      </c>
      <c r="Q272" s="20">
        <f t="shared" si="41"/>
        <v>0</v>
      </c>
    </row>
    <row r="273" spans="4:17" x14ac:dyDescent="0.35">
      <c r="D273" s="20" t="str">
        <f t="shared" si="37"/>
        <v/>
      </c>
      <c r="E273" s="23" t="str">
        <f t="shared" si="38"/>
        <v/>
      </c>
      <c r="F273" s="23" t="str">
        <f t="shared" si="39"/>
        <v/>
      </c>
      <c r="G273" s="20">
        <f t="shared" si="42"/>
        <v>0</v>
      </c>
      <c r="H273" s="20">
        <f t="shared" si="46"/>
        <v>1</v>
      </c>
      <c r="I273" s="20">
        <f t="shared" si="43"/>
        <v>0</v>
      </c>
      <c r="J273" s="20">
        <f t="shared" si="46"/>
        <v>0</v>
      </c>
      <c r="K273" s="20">
        <f t="shared" si="44"/>
        <v>0</v>
      </c>
      <c r="L273" s="20">
        <f t="shared" si="46"/>
        <v>0</v>
      </c>
      <c r="M273" s="20">
        <f t="shared" si="45"/>
        <v>0</v>
      </c>
      <c r="N273" s="20">
        <f>ABS(G273)</f>
        <v>0</v>
      </c>
      <c r="O273" s="20">
        <f>ABS(I273)</f>
        <v>0</v>
      </c>
      <c r="P273" s="20">
        <f>ABS(K273)</f>
        <v>0</v>
      </c>
      <c r="Q273" s="20">
        <f t="shared" si="41"/>
        <v>0</v>
      </c>
    </row>
    <row r="274" spans="4:17" x14ac:dyDescent="0.35">
      <c r="D274" s="20" t="str">
        <f t="shared" si="37"/>
        <v/>
      </c>
      <c r="E274" s="23" t="str">
        <f t="shared" si="38"/>
        <v/>
      </c>
      <c r="F274" s="23" t="str">
        <f t="shared" si="39"/>
        <v/>
      </c>
      <c r="G274" s="20">
        <f t="shared" si="42"/>
        <v>0</v>
      </c>
      <c r="H274" s="20">
        <f t="shared" si="46"/>
        <v>0</v>
      </c>
      <c r="I274" s="20">
        <f t="shared" si="43"/>
        <v>0</v>
      </c>
      <c r="J274" s="20">
        <f t="shared" si="46"/>
        <v>1</v>
      </c>
      <c r="K274" s="20">
        <f t="shared" si="44"/>
        <v>0</v>
      </c>
      <c r="L274" s="20">
        <f t="shared" si="46"/>
        <v>0</v>
      </c>
      <c r="M274" s="20">
        <f t="shared" si="45"/>
        <v>0</v>
      </c>
      <c r="N274" s="20">
        <f>ABS(G274)</f>
        <v>0</v>
      </c>
      <c r="O274" s="20">
        <f>ABS(I274)</f>
        <v>0</v>
      </c>
      <c r="P274" s="20">
        <f>ABS(K274)</f>
        <v>0</v>
      </c>
      <c r="Q274" s="20">
        <f t="shared" si="41"/>
        <v>0</v>
      </c>
    </row>
    <row r="275" spans="4:17" x14ac:dyDescent="0.35">
      <c r="D275" s="20" t="str">
        <f t="shared" si="37"/>
        <v/>
      </c>
      <c r="E275" s="23" t="str">
        <f t="shared" si="38"/>
        <v/>
      </c>
      <c r="F275" s="23" t="str">
        <f t="shared" si="39"/>
        <v/>
      </c>
      <c r="G275" s="20">
        <f t="shared" si="42"/>
        <v>0</v>
      </c>
      <c r="H275" s="20">
        <f t="shared" si="46"/>
        <v>0</v>
      </c>
      <c r="I275" s="20">
        <f t="shared" si="43"/>
        <v>0</v>
      </c>
      <c r="J275" s="20">
        <f t="shared" si="46"/>
        <v>0</v>
      </c>
      <c r="K275" s="20">
        <f t="shared" si="44"/>
        <v>0</v>
      </c>
      <c r="L275" s="20">
        <f t="shared" si="46"/>
        <v>1</v>
      </c>
      <c r="M275" s="20">
        <f t="shared" si="45"/>
        <v>0</v>
      </c>
      <c r="N275" s="20">
        <f>ABS(G275)</f>
        <v>0</v>
      </c>
      <c r="O275" s="20">
        <f>ABS(I275)</f>
        <v>0</v>
      </c>
      <c r="P275" s="20">
        <f>ABS(K275)</f>
        <v>0</v>
      </c>
      <c r="Q275" s="20">
        <f t="shared" si="41"/>
        <v>0</v>
      </c>
    </row>
    <row r="276" spans="4:17" x14ac:dyDescent="0.35">
      <c r="D276" s="20" t="str">
        <f t="shared" si="37"/>
        <v/>
      </c>
      <c r="E276" s="23" t="str">
        <f t="shared" si="38"/>
        <v/>
      </c>
      <c r="F276" s="23" t="str">
        <f t="shared" si="39"/>
        <v/>
      </c>
      <c r="G276" s="20">
        <f t="shared" si="42"/>
        <v>0</v>
      </c>
      <c r="H276" s="20">
        <f t="shared" si="46"/>
        <v>1</v>
      </c>
      <c r="I276" s="20">
        <f t="shared" si="43"/>
        <v>0</v>
      </c>
      <c r="J276" s="20">
        <f t="shared" si="46"/>
        <v>0</v>
      </c>
      <c r="K276" s="20">
        <f t="shared" si="44"/>
        <v>0</v>
      </c>
      <c r="L276" s="20">
        <f t="shared" si="46"/>
        <v>0</v>
      </c>
      <c r="M276" s="20">
        <f t="shared" si="45"/>
        <v>0</v>
      </c>
      <c r="N276" s="20">
        <f>ABS(G276)</f>
        <v>0</v>
      </c>
      <c r="O276" s="20">
        <f>ABS(I276)</f>
        <v>0</v>
      </c>
      <c r="P276" s="20">
        <f>ABS(K276)</f>
        <v>0</v>
      </c>
      <c r="Q276" s="20">
        <f t="shared" si="41"/>
        <v>0</v>
      </c>
    </row>
    <row r="277" spans="4:17" x14ac:dyDescent="0.35">
      <c r="D277" s="20" t="str">
        <f t="shared" si="37"/>
        <v/>
      </c>
      <c r="E277" s="23" t="str">
        <f t="shared" si="38"/>
        <v/>
      </c>
      <c r="F277" s="23" t="str">
        <f t="shared" si="39"/>
        <v/>
      </c>
      <c r="G277" s="20">
        <f t="shared" si="42"/>
        <v>0</v>
      </c>
      <c r="H277" s="20">
        <f t="shared" si="46"/>
        <v>0</v>
      </c>
      <c r="I277" s="20">
        <f t="shared" si="43"/>
        <v>0</v>
      </c>
      <c r="J277" s="20">
        <f t="shared" si="46"/>
        <v>1</v>
      </c>
      <c r="K277" s="20">
        <f t="shared" si="44"/>
        <v>0</v>
      </c>
      <c r="L277" s="20">
        <f t="shared" si="46"/>
        <v>0</v>
      </c>
      <c r="M277" s="20">
        <f t="shared" si="45"/>
        <v>0</v>
      </c>
      <c r="N277" s="20">
        <f>ABS(G277)</f>
        <v>0</v>
      </c>
      <c r="O277" s="20">
        <f>ABS(I277)</f>
        <v>0</v>
      </c>
      <c r="P277" s="20">
        <f>ABS(K277)</f>
        <v>0</v>
      </c>
      <c r="Q277" s="20">
        <f t="shared" si="41"/>
        <v>0</v>
      </c>
    </row>
    <row r="278" spans="4:17" x14ac:dyDescent="0.35">
      <c r="D278" s="20" t="str">
        <f t="shared" si="37"/>
        <v/>
      </c>
      <c r="E278" s="23" t="str">
        <f t="shared" si="38"/>
        <v/>
      </c>
      <c r="F278" s="23" t="str">
        <f t="shared" si="39"/>
        <v/>
      </c>
      <c r="G278" s="20">
        <f t="shared" si="42"/>
        <v>0</v>
      </c>
      <c r="H278" s="20">
        <f t="shared" si="46"/>
        <v>0</v>
      </c>
      <c r="I278" s="20">
        <f t="shared" si="43"/>
        <v>0</v>
      </c>
      <c r="J278" s="20">
        <f t="shared" si="46"/>
        <v>0</v>
      </c>
      <c r="K278" s="20">
        <f t="shared" si="44"/>
        <v>0</v>
      </c>
      <c r="L278" s="20">
        <f t="shared" si="46"/>
        <v>1</v>
      </c>
      <c r="M278" s="20">
        <f t="shared" si="45"/>
        <v>0</v>
      </c>
      <c r="N278" s="20">
        <f>ABS(G278)</f>
        <v>0</v>
      </c>
      <c r="O278" s="20">
        <f>ABS(I278)</f>
        <v>0</v>
      </c>
      <c r="P278" s="20">
        <f>ABS(K278)</f>
        <v>0</v>
      </c>
      <c r="Q278" s="20">
        <f t="shared" si="41"/>
        <v>0</v>
      </c>
    </row>
    <row r="279" spans="4:17" x14ac:dyDescent="0.35">
      <c r="D279" s="20" t="str">
        <f t="shared" ref="D279:D342" si="47">IF(D278&lt;=$B$5,D278+1,"")</f>
        <v/>
      </c>
      <c r="E279" s="23" t="str">
        <f t="shared" ref="E279:E342" si="48">IF(D278&lt;=$B$5,E278+$B$6,"")</f>
        <v/>
      </c>
      <c r="F279" s="23" t="str">
        <f t="shared" ref="F279:F342" si="49">IF(D278&lt;=$B$5,(20*COS((5/2)*E279^2+1))/(E279^2+2),"")</f>
        <v/>
      </c>
      <c r="G279" s="20">
        <f t="shared" si="42"/>
        <v>0</v>
      </c>
      <c r="H279" s="20">
        <f t="shared" si="46"/>
        <v>1</v>
      </c>
      <c r="I279" s="20">
        <f t="shared" si="43"/>
        <v>0</v>
      </c>
      <c r="J279" s="20">
        <f t="shared" si="46"/>
        <v>0</v>
      </c>
      <c r="K279" s="20">
        <f t="shared" si="44"/>
        <v>0</v>
      </c>
      <c r="L279" s="20">
        <f t="shared" si="46"/>
        <v>0</v>
      </c>
      <c r="M279" s="20">
        <f t="shared" si="45"/>
        <v>0</v>
      </c>
      <c r="N279" s="20">
        <f>ABS(G279)</f>
        <v>0</v>
      </c>
      <c r="O279" s="20">
        <f>ABS(I279)</f>
        <v>0</v>
      </c>
      <c r="P279" s="20">
        <f>ABS(K279)</f>
        <v>0</v>
      </c>
      <c r="Q279" s="20">
        <f t="shared" si="41"/>
        <v>0</v>
      </c>
    </row>
    <row r="280" spans="4:17" x14ac:dyDescent="0.35">
      <c r="D280" s="20" t="str">
        <f t="shared" si="47"/>
        <v/>
      </c>
      <c r="E280" s="23" t="str">
        <f t="shared" si="48"/>
        <v/>
      </c>
      <c r="F280" s="23" t="str">
        <f t="shared" si="49"/>
        <v/>
      </c>
      <c r="G280" s="20">
        <f t="shared" si="42"/>
        <v>0</v>
      </c>
      <c r="H280" s="20">
        <f t="shared" si="46"/>
        <v>0</v>
      </c>
      <c r="I280" s="20">
        <f t="shared" si="43"/>
        <v>0</v>
      </c>
      <c r="J280" s="20">
        <f t="shared" si="46"/>
        <v>1</v>
      </c>
      <c r="K280" s="20">
        <f t="shared" si="44"/>
        <v>0</v>
      </c>
      <c r="L280" s="20">
        <f t="shared" si="46"/>
        <v>0</v>
      </c>
      <c r="M280" s="20">
        <f t="shared" si="45"/>
        <v>0</v>
      </c>
      <c r="N280" s="20">
        <f>ABS(G280)</f>
        <v>0</v>
      </c>
      <c r="O280" s="20">
        <f>ABS(I280)</f>
        <v>0</v>
      </c>
      <c r="P280" s="20">
        <f>ABS(K280)</f>
        <v>0</v>
      </c>
      <c r="Q280" s="20">
        <f t="shared" si="41"/>
        <v>0</v>
      </c>
    </row>
    <row r="281" spans="4:17" x14ac:dyDescent="0.35">
      <c r="D281" s="20" t="str">
        <f t="shared" si="47"/>
        <v/>
      </c>
      <c r="E281" s="23" t="str">
        <f t="shared" si="48"/>
        <v/>
      </c>
      <c r="F281" s="23" t="str">
        <f t="shared" si="49"/>
        <v/>
      </c>
      <c r="G281" s="20">
        <f t="shared" si="42"/>
        <v>0</v>
      </c>
      <c r="H281" s="20">
        <f t="shared" si="46"/>
        <v>0</v>
      </c>
      <c r="I281" s="20">
        <f t="shared" si="43"/>
        <v>0</v>
      </c>
      <c r="J281" s="20">
        <f t="shared" si="46"/>
        <v>0</v>
      </c>
      <c r="K281" s="20">
        <f t="shared" si="44"/>
        <v>0</v>
      </c>
      <c r="L281" s="20">
        <f t="shared" si="46"/>
        <v>1</v>
      </c>
      <c r="M281" s="20">
        <f t="shared" si="45"/>
        <v>0</v>
      </c>
      <c r="N281" s="20">
        <f>ABS(G281)</f>
        <v>0</v>
      </c>
      <c r="O281" s="20">
        <f>ABS(I281)</f>
        <v>0</v>
      </c>
      <c r="P281" s="20">
        <f>ABS(K281)</f>
        <v>0</v>
      </c>
      <c r="Q281" s="20">
        <f t="shared" si="41"/>
        <v>0</v>
      </c>
    </row>
    <row r="282" spans="4:17" x14ac:dyDescent="0.35">
      <c r="D282" s="20" t="str">
        <f t="shared" si="47"/>
        <v/>
      </c>
      <c r="E282" s="23" t="str">
        <f t="shared" si="48"/>
        <v/>
      </c>
      <c r="F282" s="23" t="str">
        <f t="shared" si="49"/>
        <v/>
      </c>
      <c r="G282" s="20">
        <f t="shared" si="42"/>
        <v>0</v>
      </c>
      <c r="H282" s="20">
        <f t="shared" si="46"/>
        <v>1</v>
      </c>
      <c r="I282" s="20">
        <f t="shared" si="43"/>
        <v>0</v>
      </c>
      <c r="J282" s="20">
        <f t="shared" si="46"/>
        <v>0</v>
      </c>
      <c r="K282" s="20">
        <f t="shared" si="44"/>
        <v>0</v>
      </c>
      <c r="L282" s="20">
        <f t="shared" si="46"/>
        <v>0</v>
      </c>
      <c r="M282" s="20">
        <f t="shared" si="45"/>
        <v>0</v>
      </c>
      <c r="N282" s="20">
        <f>ABS(G282)</f>
        <v>0</v>
      </c>
      <c r="O282" s="20">
        <f>ABS(I282)</f>
        <v>0</v>
      </c>
      <c r="P282" s="20">
        <f>ABS(K282)</f>
        <v>0</v>
      </c>
      <c r="Q282" s="20">
        <f t="shared" si="41"/>
        <v>0</v>
      </c>
    </row>
    <row r="283" spans="4:17" x14ac:dyDescent="0.35">
      <c r="D283" s="20" t="str">
        <f t="shared" si="47"/>
        <v/>
      </c>
      <c r="E283" s="23" t="str">
        <f t="shared" si="48"/>
        <v/>
      </c>
      <c r="F283" s="23" t="str">
        <f t="shared" si="49"/>
        <v/>
      </c>
      <c r="G283" s="20">
        <f t="shared" si="42"/>
        <v>0</v>
      </c>
      <c r="H283" s="20">
        <f t="shared" si="46"/>
        <v>0</v>
      </c>
      <c r="I283" s="20">
        <f t="shared" si="43"/>
        <v>0</v>
      </c>
      <c r="J283" s="20">
        <f t="shared" si="46"/>
        <v>1</v>
      </c>
      <c r="K283" s="20">
        <f t="shared" si="44"/>
        <v>0</v>
      </c>
      <c r="L283" s="20">
        <f t="shared" si="46"/>
        <v>0</v>
      </c>
      <c r="M283" s="20">
        <f t="shared" si="45"/>
        <v>0</v>
      </c>
      <c r="N283" s="20">
        <f>ABS(G283)</f>
        <v>0</v>
      </c>
      <c r="O283" s="20">
        <f>ABS(I283)</f>
        <v>0</v>
      </c>
      <c r="P283" s="20">
        <f>ABS(K283)</f>
        <v>0</v>
      </c>
      <c r="Q283" s="20">
        <f t="shared" si="41"/>
        <v>0</v>
      </c>
    </row>
    <row r="284" spans="4:17" x14ac:dyDescent="0.35">
      <c r="D284" s="20" t="str">
        <f t="shared" si="47"/>
        <v/>
      </c>
      <c r="E284" s="23" t="str">
        <f t="shared" si="48"/>
        <v/>
      </c>
      <c r="F284" s="23" t="str">
        <f t="shared" si="49"/>
        <v/>
      </c>
      <c r="G284" s="20">
        <f t="shared" si="42"/>
        <v>0</v>
      </c>
      <c r="H284" s="20">
        <f t="shared" si="46"/>
        <v>0</v>
      </c>
      <c r="I284" s="20">
        <f t="shared" si="43"/>
        <v>0</v>
      </c>
      <c r="J284" s="20">
        <f t="shared" si="46"/>
        <v>0</v>
      </c>
      <c r="K284" s="20">
        <f t="shared" si="44"/>
        <v>0</v>
      </c>
      <c r="L284" s="20">
        <f t="shared" si="46"/>
        <v>1</v>
      </c>
      <c r="M284" s="20">
        <f t="shared" si="45"/>
        <v>0</v>
      </c>
      <c r="N284" s="20">
        <f>ABS(G284)</f>
        <v>0</v>
      </c>
      <c r="O284" s="20">
        <f>ABS(I284)</f>
        <v>0</v>
      </c>
      <c r="P284" s="20">
        <f>ABS(K284)</f>
        <v>0</v>
      </c>
      <c r="Q284" s="20">
        <f t="shared" si="41"/>
        <v>0</v>
      </c>
    </row>
    <row r="285" spans="4:17" x14ac:dyDescent="0.35">
      <c r="D285" s="20" t="str">
        <f t="shared" si="47"/>
        <v/>
      </c>
      <c r="E285" s="23" t="str">
        <f t="shared" si="48"/>
        <v/>
      </c>
      <c r="F285" s="23" t="str">
        <f t="shared" si="49"/>
        <v/>
      </c>
      <c r="G285" s="20">
        <f t="shared" si="42"/>
        <v>0</v>
      </c>
      <c r="H285" s="20">
        <f t="shared" si="46"/>
        <v>1</v>
      </c>
      <c r="I285" s="20">
        <f t="shared" si="43"/>
        <v>0</v>
      </c>
      <c r="J285" s="20">
        <f t="shared" si="46"/>
        <v>0</v>
      </c>
      <c r="K285" s="20">
        <f t="shared" si="44"/>
        <v>0</v>
      </c>
      <c r="L285" s="20">
        <f t="shared" si="46"/>
        <v>0</v>
      </c>
      <c r="M285" s="20">
        <f t="shared" si="45"/>
        <v>0</v>
      </c>
      <c r="N285" s="20">
        <f>ABS(G285)</f>
        <v>0</v>
      </c>
      <c r="O285" s="20">
        <f>ABS(I285)</f>
        <v>0</v>
      </c>
      <c r="P285" s="20">
        <f>ABS(K285)</f>
        <v>0</v>
      </c>
      <c r="Q285" s="20">
        <f t="shared" si="41"/>
        <v>0</v>
      </c>
    </row>
    <row r="286" spans="4:17" x14ac:dyDescent="0.35">
      <c r="D286" s="20" t="str">
        <f t="shared" si="47"/>
        <v/>
      </c>
      <c r="E286" s="23" t="str">
        <f t="shared" si="48"/>
        <v/>
      </c>
      <c r="F286" s="23" t="str">
        <f t="shared" si="49"/>
        <v/>
      </c>
      <c r="G286" s="20">
        <f t="shared" si="42"/>
        <v>0</v>
      </c>
      <c r="H286" s="20">
        <f t="shared" si="46"/>
        <v>0</v>
      </c>
      <c r="I286" s="20">
        <f t="shared" si="43"/>
        <v>0</v>
      </c>
      <c r="J286" s="20">
        <f t="shared" si="46"/>
        <v>1</v>
      </c>
      <c r="K286" s="20">
        <f t="shared" si="44"/>
        <v>0</v>
      </c>
      <c r="L286" s="20">
        <f t="shared" si="46"/>
        <v>0</v>
      </c>
      <c r="M286" s="20">
        <f t="shared" si="45"/>
        <v>0</v>
      </c>
      <c r="N286" s="20">
        <f>ABS(G286)</f>
        <v>0</v>
      </c>
      <c r="O286" s="20">
        <f>ABS(I286)</f>
        <v>0</v>
      </c>
      <c r="P286" s="20">
        <f>ABS(K286)</f>
        <v>0</v>
      </c>
      <c r="Q286" s="20">
        <f t="shared" si="41"/>
        <v>0</v>
      </c>
    </row>
    <row r="287" spans="4:17" x14ac:dyDescent="0.35">
      <c r="D287" s="20" t="str">
        <f t="shared" si="47"/>
        <v/>
      </c>
      <c r="E287" s="23" t="str">
        <f t="shared" si="48"/>
        <v/>
      </c>
      <c r="F287" s="23" t="str">
        <f t="shared" si="49"/>
        <v/>
      </c>
      <c r="G287" s="20">
        <f t="shared" si="42"/>
        <v>0</v>
      </c>
      <c r="H287" s="20">
        <f t="shared" si="46"/>
        <v>0</v>
      </c>
      <c r="I287" s="20">
        <f t="shared" si="43"/>
        <v>0</v>
      </c>
      <c r="J287" s="20">
        <f t="shared" si="46"/>
        <v>0</v>
      </c>
      <c r="K287" s="20">
        <f t="shared" si="44"/>
        <v>0</v>
      </c>
      <c r="L287" s="20">
        <f t="shared" si="46"/>
        <v>1</v>
      </c>
      <c r="M287" s="20">
        <f t="shared" si="45"/>
        <v>0</v>
      </c>
      <c r="N287" s="20">
        <f>ABS(G287)</f>
        <v>0</v>
      </c>
      <c r="O287" s="20">
        <f>ABS(I287)</f>
        <v>0</v>
      </c>
      <c r="P287" s="20">
        <f>ABS(K287)</f>
        <v>0</v>
      </c>
      <c r="Q287" s="20">
        <f t="shared" si="41"/>
        <v>0</v>
      </c>
    </row>
    <row r="288" spans="4:17" x14ac:dyDescent="0.35">
      <c r="D288" s="20" t="str">
        <f t="shared" si="47"/>
        <v/>
      </c>
      <c r="E288" s="23" t="str">
        <f t="shared" si="48"/>
        <v/>
      </c>
      <c r="F288" s="23" t="str">
        <f t="shared" si="49"/>
        <v/>
      </c>
      <c r="G288" s="20">
        <f t="shared" si="42"/>
        <v>0</v>
      </c>
      <c r="H288" s="20">
        <f t="shared" si="46"/>
        <v>1</v>
      </c>
      <c r="I288" s="20">
        <f t="shared" si="43"/>
        <v>0</v>
      </c>
      <c r="J288" s="20">
        <f t="shared" si="46"/>
        <v>0</v>
      </c>
      <c r="K288" s="20">
        <f t="shared" si="44"/>
        <v>0</v>
      </c>
      <c r="L288" s="20">
        <f t="shared" si="46"/>
        <v>0</v>
      </c>
      <c r="M288" s="20">
        <f t="shared" si="45"/>
        <v>0</v>
      </c>
      <c r="N288" s="20">
        <f>ABS(G288)</f>
        <v>0</v>
      </c>
      <c r="O288" s="20">
        <f>ABS(I288)</f>
        <v>0</v>
      </c>
      <c r="P288" s="20">
        <f>ABS(K288)</f>
        <v>0</v>
      </c>
      <c r="Q288" s="20">
        <f t="shared" si="41"/>
        <v>0</v>
      </c>
    </row>
    <row r="289" spans="4:17" x14ac:dyDescent="0.35">
      <c r="D289" s="20" t="str">
        <f t="shared" si="47"/>
        <v/>
      </c>
      <c r="E289" s="23" t="str">
        <f t="shared" si="48"/>
        <v/>
      </c>
      <c r="F289" s="23" t="str">
        <f t="shared" si="49"/>
        <v/>
      </c>
      <c r="G289" s="20">
        <f t="shared" si="42"/>
        <v>0</v>
      </c>
      <c r="H289" s="20">
        <f t="shared" si="46"/>
        <v>0</v>
      </c>
      <c r="I289" s="20">
        <f t="shared" si="43"/>
        <v>0</v>
      </c>
      <c r="J289" s="20">
        <f t="shared" si="46"/>
        <v>1</v>
      </c>
      <c r="K289" s="20">
        <f t="shared" si="44"/>
        <v>0</v>
      </c>
      <c r="L289" s="20">
        <f t="shared" si="46"/>
        <v>0</v>
      </c>
      <c r="M289" s="20">
        <f t="shared" si="45"/>
        <v>0</v>
      </c>
      <c r="N289" s="20">
        <f>ABS(G289)</f>
        <v>0</v>
      </c>
      <c r="O289" s="20">
        <f>ABS(I289)</f>
        <v>0</v>
      </c>
      <c r="P289" s="20">
        <f>ABS(K289)</f>
        <v>0</v>
      </c>
      <c r="Q289" s="20">
        <f t="shared" si="41"/>
        <v>0</v>
      </c>
    </row>
    <row r="290" spans="4:17" x14ac:dyDescent="0.35">
      <c r="D290" s="20" t="str">
        <f t="shared" si="47"/>
        <v/>
      </c>
      <c r="E290" s="23" t="str">
        <f t="shared" si="48"/>
        <v/>
      </c>
      <c r="F290" s="23" t="str">
        <f t="shared" si="49"/>
        <v/>
      </c>
      <c r="G290" s="20">
        <f t="shared" si="42"/>
        <v>0</v>
      </c>
      <c r="H290" s="20">
        <f t="shared" si="46"/>
        <v>0</v>
      </c>
      <c r="I290" s="20">
        <f t="shared" si="43"/>
        <v>0</v>
      </c>
      <c r="J290" s="20">
        <f t="shared" si="46"/>
        <v>0</v>
      </c>
      <c r="K290" s="20">
        <f t="shared" si="44"/>
        <v>0</v>
      </c>
      <c r="L290" s="20">
        <f t="shared" si="46"/>
        <v>1</v>
      </c>
      <c r="M290" s="20">
        <f t="shared" si="45"/>
        <v>0</v>
      </c>
      <c r="N290" s="20">
        <f>ABS(G290)</f>
        <v>0</v>
      </c>
      <c r="O290" s="20">
        <f>ABS(I290)</f>
        <v>0</v>
      </c>
      <c r="P290" s="20">
        <f>ABS(K290)</f>
        <v>0</v>
      </c>
      <c r="Q290" s="20">
        <f t="shared" si="41"/>
        <v>0</v>
      </c>
    </row>
    <row r="291" spans="4:17" x14ac:dyDescent="0.35">
      <c r="D291" s="20" t="str">
        <f t="shared" si="47"/>
        <v/>
      </c>
      <c r="E291" s="23" t="str">
        <f t="shared" si="48"/>
        <v/>
      </c>
      <c r="F291" s="23" t="str">
        <f t="shared" si="49"/>
        <v/>
      </c>
      <c r="G291" s="20">
        <f t="shared" si="42"/>
        <v>0</v>
      </c>
      <c r="H291" s="20">
        <f t="shared" si="46"/>
        <v>1</v>
      </c>
      <c r="I291" s="20">
        <f t="shared" si="43"/>
        <v>0</v>
      </c>
      <c r="J291" s="20">
        <f t="shared" si="46"/>
        <v>0</v>
      </c>
      <c r="K291" s="20">
        <f t="shared" si="44"/>
        <v>0</v>
      </c>
      <c r="L291" s="20">
        <f t="shared" si="46"/>
        <v>0</v>
      </c>
      <c r="M291" s="20">
        <f t="shared" si="45"/>
        <v>0</v>
      </c>
      <c r="N291" s="20">
        <f>ABS(G291)</f>
        <v>0</v>
      </c>
      <c r="O291" s="20">
        <f>ABS(I291)</f>
        <v>0</v>
      </c>
      <c r="P291" s="20">
        <f>ABS(K291)</f>
        <v>0</v>
      </c>
      <c r="Q291" s="20">
        <f t="shared" si="41"/>
        <v>0</v>
      </c>
    </row>
    <row r="292" spans="4:17" x14ac:dyDescent="0.35">
      <c r="D292" s="20" t="str">
        <f t="shared" si="47"/>
        <v/>
      </c>
      <c r="E292" s="23" t="str">
        <f t="shared" si="48"/>
        <v/>
      </c>
      <c r="F292" s="23" t="str">
        <f t="shared" si="49"/>
        <v/>
      </c>
      <c r="G292" s="20">
        <f t="shared" si="42"/>
        <v>0</v>
      </c>
      <c r="H292" s="20">
        <f t="shared" si="46"/>
        <v>0</v>
      </c>
      <c r="I292" s="20">
        <f t="shared" si="43"/>
        <v>0</v>
      </c>
      <c r="J292" s="20">
        <f t="shared" si="46"/>
        <v>1</v>
      </c>
      <c r="K292" s="20">
        <f t="shared" si="44"/>
        <v>0</v>
      </c>
      <c r="L292" s="20">
        <f t="shared" si="46"/>
        <v>0</v>
      </c>
      <c r="M292" s="20">
        <f t="shared" si="45"/>
        <v>0</v>
      </c>
      <c r="N292" s="20">
        <f>ABS(G292)</f>
        <v>0</v>
      </c>
      <c r="O292" s="20">
        <f>ABS(I292)</f>
        <v>0</v>
      </c>
      <c r="P292" s="20">
        <f>ABS(K292)</f>
        <v>0</v>
      </c>
      <c r="Q292" s="20">
        <f t="shared" si="41"/>
        <v>0</v>
      </c>
    </row>
    <row r="293" spans="4:17" x14ac:dyDescent="0.35">
      <c r="D293" s="20" t="str">
        <f t="shared" si="47"/>
        <v/>
      </c>
      <c r="E293" s="23" t="str">
        <f t="shared" si="48"/>
        <v/>
      </c>
      <c r="F293" s="23" t="str">
        <f t="shared" si="49"/>
        <v/>
      </c>
      <c r="G293" s="20">
        <f t="shared" si="42"/>
        <v>0</v>
      </c>
      <c r="H293" s="20">
        <f t="shared" si="46"/>
        <v>0</v>
      </c>
      <c r="I293" s="20">
        <f t="shared" si="43"/>
        <v>0</v>
      </c>
      <c r="J293" s="20">
        <f t="shared" si="46"/>
        <v>0</v>
      </c>
      <c r="K293" s="20">
        <f t="shared" si="44"/>
        <v>0</v>
      </c>
      <c r="L293" s="20">
        <f t="shared" si="46"/>
        <v>1</v>
      </c>
      <c r="M293" s="20">
        <f t="shared" si="45"/>
        <v>0</v>
      </c>
      <c r="N293" s="20">
        <f>ABS(G293)</f>
        <v>0</v>
      </c>
      <c r="O293" s="20">
        <f>ABS(I293)</f>
        <v>0</v>
      </c>
      <c r="P293" s="20">
        <f>ABS(K293)</f>
        <v>0</v>
      </c>
      <c r="Q293" s="20">
        <f t="shared" si="41"/>
        <v>0</v>
      </c>
    </row>
    <row r="294" spans="4:17" x14ac:dyDescent="0.35">
      <c r="D294" s="20" t="str">
        <f t="shared" si="47"/>
        <v/>
      </c>
      <c r="E294" s="23" t="str">
        <f t="shared" si="48"/>
        <v/>
      </c>
      <c r="F294" s="23" t="str">
        <f t="shared" si="49"/>
        <v/>
      </c>
      <c r="G294" s="20">
        <f t="shared" si="42"/>
        <v>0</v>
      </c>
      <c r="H294" s="20">
        <f t="shared" si="46"/>
        <v>1</v>
      </c>
      <c r="I294" s="20">
        <f t="shared" si="43"/>
        <v>0</v>
      </c>
      <c r="J294" s="20">
        <f t="shared" si="46"/>
        <v>0</v>
      </c>
      <c r="K294" s="20">
        <f t="shared" si="44"/>
        <v>0</v>
      </c>
      <c r="L294" s="20">
        <f t="shared" si="46"/>
        <v>0</v>
      </c>
      <c r="M294" s="20">
        <f t="shared" si="45"/>
        <v>0</v>
      </c>
      <c r="N294" s="20">
        <f>ABS(G294)</f>
        <v>0</v>
      </c>
      <c r="O294" s="20">
        <f>ABS(I294)</f>
        <v>0</v>
      </c>
      <c r="P294" s="20">
        <f>ABS(K294)</f>
        <v>0</v>
      </c>
      <c r="Q294" s="20">
        <f t="shared" si="41"/>
        <v>0</v>
      </c>
    </row>
    <row r="295" spans="4:17" x14ac:dyDescent="0.35">
      <c r="D295" s="20" t="str">
        <f t="shared" si="47"/>
        <v/>
      </c>
      <c r="E295" s="23" t="str">
        <f t="shared" si="48"/>
        <v/>
      </c>
      <c r="F295" s="23" t="str">
        <f t="shared" si="49"/>
        <v/>
      </c>
      <c r="G295" s="20">
        <f t="shared" si="42"/>
        <v>0</v>
      </c>
      <c r="H295" s="20">
        <f t="shared" si="46"/>
        <v>0</v>
      </c>
      <c r="I295" s="20">
        <f t="shared" si="43"/>
        <v>0</v>
      </c>
      <c r="J295" s="20">
        <f t="shared" si="46"/>
        <v>1</v>
      </c>
      <c r="K295" s="20">
        <f t="shared" si="44"/>
        <v>0</v>
      </c>
      <c r="L295" s="20">
        <f t="shared" si="46"/>
        <v>0</v>
      </c>
      <c r="M295" s="20">
        <f t="shared" si="45"/>
        <v>0</v>
      </c>
      <c r="N295" s="20">
        <f>ABS(G295)</f>
        <v>0</v>
      </c>
      <c r="O295" s="20">
        <f>ABS(I295)</f>
        <v>0</v>
      </c>
      <c r="P295" s="20">
        <f>ABS(K295)</f>
        <v>0</v>
      </c>
      <c r="Q295" s="20">
        <f t="shared" si="41"/>
        <v>0</v>
      </c>
    </row>
    <row r="296" spans="4:17" x14ac:dyDescent="0.35">
      <c r="D296" s="20" t="str">
        <f t="shared" si="47"/>
        <v/>
      </c>
      <c r="E296" s="23" t="str">
        <f t="shared" si="48"/>
        <v/>
      </c>
      <c r="F296" s="23" t="str">
        <f t="shared" si="49"/>
        <v/>
      </c>
      <c r="G296" s="20">
        <f t="shared" si="42"/>
        <v>0</v>
      </c>
      <c r="H296" s="20">
        <f t="shared" si="46"/>
        <v>0</v>
      </c>
      <c r="I296" s="20">
        <f t="shared" si="43"/>
        <v>0</v>
      </c>
      <c r="J296" s="20">
        <f t="shared" si="46"/>
        <v>0</v>
      </c>
      <c r="K296" s="20">
        <f t="shared" si="44"/>
        <v>0</v>
      </c>
      <c r="L296" s="20">
        <f t="shared" si="46"/>
        <v>1</v>
      </c>
      <c r="M296" s="20">
        <f t="shared" si="45"/>
        <v>0</v>
      </c>
      <c r="N296" s="20">
        <f>ABS(G296)</f>
        <v>0</v>
      </c>
      <c r="O296" s="20">
        <f>ABS(I296)</f>
        <v>0</v>
      </c>
      <c r="P296" s="20">
        <f>ABS(K296)</f>
        <v>0</v>
      </c>
      <c r="Q296" s="20">
        <f t="shared" si="41"/>
        <v>0</v>
      </c>
    </row>
    <row r="297" spans="4:17" x14ac:dyDescent="0.35">
      <c r="D297" s="20" t="str">
        <f t="shared" si="47"/>
        <v/>
      </c>
      <c r="E297" s="23" t="str">
        <f t="shared" si="48"/>
        <v/>
      </c>
      <c r="F297" s="23" t="str">
        <f t="shared" si="49"/>
        <v/>
      </c>
      <c r="G297" s="20">
        <f t="shared" si="42"/>
        <v>0</v>
      </c>
      <c r="H297" s="20">
        <f t="shared" si="46"/>
        <v>1</v>
      </c>
      <c r="I297" s="20">
        <f t="shared" si="43"/>
        <v>0</v>
      </c>
      <c r="J297" s="20">
        <f t="shared" si="46"/>
        <v>0</v>
      </c>
      <c r="K297" s="20">
        <f t="shared" si="44"/>
        <v>0</v>
      </c>
      <c r="L297" s="20">
        <f t="shared" si="46"/>
        <v>0</v>
      </c>
      <c r="M297" s="20">
        <f t="shared" si="45"/>
        <v>0</v>
      </c>
      <c r="N297" s="20">
        <f>ABS(G297)</f>
        <v>0</v>
      </c>
      <c r="O297" s="20">
        <f>ABS(I297)</f>
        <v>0</v>
      </c>
      <c r="P297" s="20">
        <f>ABS(K297)</f>
        <v>0</v>
      </c>
      <c r="Q297" s="20">
        <f t="shared" si="41"/>
        <v>0</v>
      </c>
    </row>
    <row r="298" spans="4:17" x14ac:dyDescent="0.35">
      <c r="D298" s="20" t="str">
        <f t="shared" si="47"/>
        <v/>
      </c>
      <c r="E298" s="23" t="str">
        <f t="shared" si="48"/>
        <v/>
      </c>
      <c r="F298" s="23" t="str">
        <f t="shared" si="49"/>
        <v/>
      </c>
      <c r="G298" s="20">
        <f t="shared" si="42"/>
        <v>0</v>
      </c>
      <c r="H298" s="20">
        <f t="shared" si="46"/>
        <v>0</v>
      </c>
      <c r="I298" s="20">
        <f t="shared" si="43"/>
        <v>0</v>
      </c>
      <c r="J298" s="20">
        <f t="shared" si="46"/>
        <v>1</v>
      </c>
      <c r="K298" s="20">
        <f t="shared" si="44"/>
        <v>0</v>
      </c>
      <c r="L298" s="20">
        <f t="shared" si="46"/>
        <v>0</v>
      </c>
      <c r="M298" s="20">
        <f t="shared" si="45"/>
        <v>0</v>
      </c>
      <c r="N298" s="20">
        <f>ABS(G298)</f>
        <v>0</v>
      </c>
      <c r="O298" s="20">
        <f>ABS(I298)</f>
        <v>0</v>
      </c>
      <c r="P298" s="20">
        <f>ABS(K298)</f>
        <v>0</v>
      </c>
      <c r="Q298" s="20">
        <f t="shared" si="41"/>
        <v>0</v>
      </c>
    </row>
    <row r="299" spans="4:17" x14ac:dyDescent="0.35">
      <c r="D299" s="20" t="str">
        <f t="shared" si="47"/>
        <v/>
      </c>
      <c r="E299" s="23" t="str">
        <f t="shared" si="48"/>
        <v/>
      </c>
      <c r="F299" s="23" t="str">
        <f t="shared" si="49"/>
        <v/>
      </c>
      <c r="G299" s="20">
        <f t="shared" si="42"/>
        <v>0</v>
      </c>
      <c r="H299" s="20">
        <f t="shared" si="46"/>
        <v>0</v>
      </c>
      <c r="I299" s="20">
        <f t="shared" si="43"/>
        <v>0</v>
      </c>
      <c r="J299" s="20">
        <f t="shared" si="46"/>
        <v>0</v>
      </c>
      <c r="K299" s="20">
        <f t="shared" si="44"/>
        <v>0</v>
      </c>
      <c r="L299" s="20">
        <f t="shared" si="46"/>
        <v>1</v>
      </c>
      <c r="M299" s="20">
        <f t="shared" si="45"/>
        <v>0</v>
      </c>
      <c r="N299" s="20">
        <f>ABS(G299)</f>
        <v>0</v>
      </c>
      <c r="O299" s="20">
        <f>ABS(I299)</f>
        <v>0</v>
      </c>
      <c r="P299" s="20">
        <f>ABS(K299)</f>
        <v>0</v>
      </c>
      <c r="Q299" s="20">
        <f t="shared" si="41"/>
        <v>0</v>
      </c>
    </row>
    <row r="300" spans="4:17" x14ac:dyDescent="0.35">
      <c r="D300" s="20" t="str">
        <f t="shared" si="47"/>
        <v/>
      </c>
      <c r="E300" s="23" t="str">
        <f t="shared" si="48"/>
        <v/>
      </c>
      <c r="F300" s="23" t="str">
        <f t="shared" si="49"/>
        <v/>
      </c>
      <c r="G300" s="20">
        <f t="shared" si="42"/>
        <v>0</v>
      </c>
      <c r="H300" s="20">
        <f t="shared" si="46"/>
        <v>1</v>
      </c>
      <c r="I300" s="20">
        <f t="shared" si="43"/>
        <v>0</v>
      </c>
      <c r="J300" s="20">
        <f t="shared" si="46"/>
        <v>0</v>
      </c>
      <c r="K300" s="20">
        <f t="shared" si="44"/>
        <v>0</v>
      </c>
      <c r="L300" s="20">
        <f t="shared" si="46"/>
        <v>0</v>
      </c>
      <c r="M300" s="20">
        <f t="shared" si="45"/>
        <v>0</v>
      </c>
      <c r="N300" s="20">
        <f>ABS(G300)</f>
        <v>0</v>
      </c>
      <c r="O300" s="20">
        <f>ABS(I300)</f>
        <v>0</v>
      </c>
      <c r="P300" s="20">
        <f>ABS(K300)</f>
        <v>0</v>
      </c>
      <c r="Q300" s="20">
        <f t="shared" si="41"/>
        <v>0</v>
      </c>
    </row>
    <row r="301" spans="4:17" x14ac:dyDescent="0.35">
      <c r="D301" s="20" t="str">
        <f t="shared" si="47"/>
        <v/>
      </c>
      <c r="E301" s="23" t="str">
        <f t="shared" si="48"/>
        <v/>
      </c>
      <c r="F301" s="23" t="str">
        <f t="shared" si="49"/>
        <v/>
      </c>
      <c r="G301" s="20">
        <f t="shared" si="42"/>
        <v>0</v>
      </c>
      <c r="H301" s="20">
        <f t="shared" si="46"/>
        <v>0</v>
      </c>
      <c r="I301" s="20">
        <f t="shared" si="43"/>
        <v>0</v>
      </c>
      <c r="J301" s="20">
        <f t="shared" si="46"/>
        <v>1</v>
      </c>
      <c r="K301" s="20">
        <f t="shared" si="44"/>
        <v>0</v>
      </c>
      <c r="L301" s="20">
        <f t="shared" si="46"/>
        <v>0</v>
      </c>
      <c r="M301" s="20">
        <f t="shared" si="45"/>
        <v>0</v>
      </c>
      <c r="N301" s="20">
        <f>ABS(G301)</f>
        <v>0</v>
      </c>
      <c r="O301" s="20">
        <f>ABS(I301)</f>
        <v>0</v>
      </c>
      <c r="P301" s="20">
        <f>ABS(K301)</f>
        <v>0</v>
      </c>
      <c r="Q301" s="20">
        <f t="shared" si="41"/>
        <v>0</v>
      </c>
    </row>
    <row r="302" spans="4:17" x14ac:dyDescent="0.35">
      <c r="D302" s="20" t="str">
        <f t="shared" si="47"/>
        <v/>
      </c>
      <c r="E302" s="23" t="str">
        <f t="shared" si="48"/>
        <v/>
      </c>
      <c r="F302" s="23" t="str">
        <f t="shared" si="49"/>
        <v/>
      </c>
      <c r="G302" s="20">
        <f t="shared" si="42"/>
        <v>0</v>
      </c>
      <c r="H302" s="20">
        <f t="shared" si="46"/>
        <v>0</v>
      </c>
      <c r="I302" s="20">
        <f t="shared" si="43"/>
        <v>0</v>
      </c>
      <c r="J302" s="20">
        <f t="shared" si="46"/>
        <v>0</v>
      </c>
      <c r="K302" s="20">
        <f t="shared" si="44"/>
        <v>0</v>
      </c>
      <c r="L302" s="20">
        <f t="shared" si="46"/>
        <v>1</v>
      </c>
      <c r="M302" s="20">
        <f t="shared" si="45"/>
        <v>0</v>
      </c>
      <c r="N302" s="20">
        <f>ABS(G302)</f>
        <v>0</v>
      </c>
      <c r="O302" s="20">
        <f>ABS(I302)</f>
        <v>0</v>
      </c>
      <c r="P302" s="20">
        <f>ABS(K302)</f>
        <v>0</v>
      </c>
      <c r="Q302" s="20">
        <f t="shared" si="41"/>
        <v>0</v>
      </c>
    </row>
    <row r="303" spans="4:17" x14ac:dyDescent="0.35">
      <c r="D303" s="20" t="str">
        <f t="shared" si="47"/>
        <v/>
      </c>
      <c r="E303" s="23" t="str">
        <f t="shared" si="48"/>
        <v/>
      </c>
      <c r="F303" s="23" t="str">
        <f t="shared" si="49"/>
        <v/>
      </c>
      <c r="G303" s="20">
        <f t="shared" si="42"/>
        <v>0</v>
      </c>
      <c r="H303" s="20">
        <f t="shared" si="46"/>
        <v>1</v>
      </c>
      <c r="I303" s="20">
        <f t="shared" si="43"/>
        <v>0</v>
      </c>
      <c r="J303" s="20">
        <f t="shared" si="46"/>
        <v>0</v>
      </c>
      <c r="K303" s="20">
        <f t="shared" si="44"/>
        <v>0</v>
      </c>
      <c r="L303" s="20">
        <f t="shared" si="46"/>
        <v>0</v>
      </c>
      <c r="M303" s="20">
        <f t="shared" si="45"/>
        <v>0</v>
      </c>
      <c r="N303" s="20">
        <f>ABS(G303)</f>
        <v>0</v>
      </c>
      <c r="O303" s="20">
        <f>ABS(I303)</f>
        <v>0</v>
      </c>
      <c r="P303" s="20">
        <f>ABS(K303)</f>
        <v>0</v>
      </c>
      <c r="Q303" s="20">
        <f t="shared" si="41"/>
        <v>0</v>
      </c>
    </row>
    <row r="304" spans="4:17" x14ac:dyDescent="0.35">
      <c r="D304" s="20" t="str">
        <f t="shared" si="47"/>
        <v/>
      </c>
      <c r="E304" s="23" t="str">
        <f t="shared" si="48"/>
        <v/>
      </c>
      <c r="F304" s="23" t="str">
        <f t="shared" si="49"/>
        <v/>
      </c>
      <c r="G304" s="20">
        <f t="shared" si="42"/>
        <v>0</v>
      </c>
      <c r="H304" s="20">
        <f t="shared" si="46"/>
        <v>0</v>
      </c>
      <c r="I304" s="20">
        <f t="shared" si="43"/>
        <v>0</v>
      </c>
      <c r="J304" s="20">
        <f t="shared" si="46"/>
        <v>1</v>
      </c>
      <c r="K304" s="20">
        <f t="shared" si="44"/>
        <v>0</v>
      </c>
      <c r="L304" s="20">
        <f t="shared" si="46"/>
        <v>0</v>
      </c>
      <c r="M304" s="20">
        <f t="shared" si="45"/>
        <v>0</v>
      </c>
      <c r="N304" s="20">
        <f>ABS(G304)</f>
        <v>0</v>
      </c>
      <c r="O304" s="20">
        <f>ABS(I304)</f>
        <v>0</v>
      </c>
      <c r="P304" s="20">
        <f>ABS(K304)</f>
        <v>0</v>
      </c>
      <c r="Q304" s="20">
        <f t="shared" si="41"/>
        <v>0</v>
      </c>
    </row>
    <row r="305" spans="4:17" x14ac:dyDescent="0.35">
      <c r="D305" s="20" t="str">
        <f t="shared" si="47"/>
        <v/>
      </c>
      <c r="E305" s="23" t="str">
        <f t="shared" si="48"/>
        <v/>
      </c>
      <c r="F305" s="23" t="str">
        <f t="shared" si="49"/>
        <v/>
      </c>
      <c r="G305" s="20">
        <f t="shared" si="42"/>
        <v>0</v>
      </c>
      <c r="H305" s="20">
        <f t="shared" si="46"/>
        <v>0</v>
      </c>
      <c r="I305" s="20">
        <f t="shared" si="43"/>
        <v>0</v>
      </c>
      <c r="J305" s="20">
        <f t="shared" si="46"/>
        <v>0</v>
      </c>
      <c r="K305" s="20">
        <f t="shared" si="44"/>
        <v>0</v>
      </c>
      <c r="L305" s="20">
        <f t="shared" si="46"/>
        <v>1</v>
      </c>
      <c r="M305" s="20">
        <f t="shared" si="45"/>
        <v>0</v>
      </c>
      <c r="N305" s="20">
        <f>ABS(G305)</f>
        <v>0</v>
      </c>
      <c r="O305" s="20">
        <f>ABS(I305)</f>
        <v>0</v>
      </c>
      <c r="P305" s="20">
        <f>ABS(K305)</f>
        <v>0</v>
      </c>
      <c r="Q305" s="20">
        <f t="shared" si="41"/>
        <v>0</v>
      </c>
    </row>
    <row r="306" spans="4:17" x14ac:dyDescent="0.35">
      <c r="D306" s="20" t="str">
        <f t="shared" si="47"/>
        <v/>
      </c>
      <c r="E306" s="23" t="str">
        <f t="shared" si="48"/>
        <v/>
      </c>
      <c r="F306" s="23" t="str">
        <f t="shared" si="49"/>
        <v/>
      </c>
      <c r="G306" s="20">
        <f t="shared" si="42"/>
        <v>0</v>
      </c>
      <c r="H306" s="20">
        <f t="shared" si="46"/>
        <v>1</v>
      </c>
      <c r="I306" s="20">
        <f t="shared" si="43"/>
        <v>0</v>
      </c>
      <c r="J306" s="20">
        <f t="shared" si="46"/>
        <v>0</v>
      </c>
      <c r="K306" s="20">
        <f t="shared" si="44"/>
        <v>0</v>
      </c>
      <c r="L306" s="20">
        <f t="shared" si="46"/>
        <v>0</v>
      </c>
      <c r="M306" s="20">
        <f t="shared" si="45"/>
        <v>0</v>
      </c>
      <c r="N306" s="20">
        <f>ABS(G306)</f>
        <v>0</v>
      </c>
      <c r="O306" s="20">
        <f>ABS(I306)</f>
        <v>0</v>
      </c>
      <c r="P306" s="20">
        <f>ABS(K306)</f>
        <v>0</v>
      </c>
      <c r="Q306" s="20">
        <f t="shared" si="41"/>
        <v>0</v>
      </c>
    </row>
    <row r="307" spans="4:17" x14ac:dyDescent="0.35">
      <c r="D307" s="20" t="str">
        <f t="shared" si="47"/>
        <v/>
      </c>
      <c r="E307" s="23" t="str">
        <f t="shared" si="48"/>
        <v/>
      </c>
      <c r="F307" s="23" t="str">
        <f t="shared" si="49"/>
        <v/>
      </c>
      <c r="G307" s="20">
        <f t="shared" si="42"/>
        <v>0</v>
      </c>
      <c r="H307" s="20">
        <f t="shared" si="46"/>
        <v>0</v>
      </c>
      <c r="I307" s="20">
        <f t="shared" si="43"/>
        <v>0</v>
      </c>
      <c r="J307" s="20">
        <f t="shared" si="46"/>
        <v>1</v>
      </c>
      <c r="K307" s="20">
        <f t="shared" si="44"/>
        <v>0</v>
      </c>
      <c r="L307" s="20">
        <f t="shared" si="46"/>
        <v>0</v>
      </c>
      <c r="M307" s="20">
        <f t="shared" si="45"/>
        <v>0</v>
      </c>
      <c r="N307" s="20">
        <f>ABS(G307)</f>
        <v>0</v>
      </c>
      <c r="O307" s="20">
        <f>ABS(I307)</f>
        <v>0</v>
      </c>
      <c r="P307" s="20">
        <f>ABS(K307)</f>
        <v>0</v>
      </c>
      <c r="Q307" s="20">
        <f t="shared" si="41"/>
        <v>0</v>
      </c>
    </row>
    <row r="308" spans="4:17" x14ac:dyDescent="0.35">
      <c r="D308" s="20" t="str">
        <f t="shared" si="47"/>
        <v/>
      </c>
      <c r="E308" s="23" t="str">
        <f t="shared" si="48"/>
        <v/>
      </c>
      <c r="F308" s="23" t="str">
        <f t="shared" si="49"/>
        <v/>
      </c>
      <c r="G308" s="20">
        <f t="shared" si="42"/>
        <v>0</v>
      </c>
      <c r="H308" s="20">
        <f t="shared" si="46"/>
        <v>0</v>
      </c>
      <c r="I308" s="20">
        <f t="shared" si="43"/>
        <v>0</v>
      </c>
      <c r="J308" s="20">
        <f t="shared" si="46"/>
        <v>0</v>
      </c>
      <c r="K308" s="20">
        <f t="shared" si="44"/>
        <v>0</v>
      </c>
      <c r="L308" s="20">
        <f t="shared" si="46"/>
        <v>1</v>
      </c>
      <c r="M308" s="20">
        <f t="shared" si="45"/>
        <v>0</v>
      </c>
      <c r="N308" s="20">
        <f>ABS(G308)</f>
        <v>0</v>
      </c>
      <c r="O308" s="20">
        <f>ABS(I308)</f>
        <v>0</v>
      </c>
      <c r="P308" s="20">
        <f>ABS(K308)</f>
        <v>0</v>
      </c>
      <c r="Q308" s="20">
        <f t="shared" si="41"/>
        <v>0</v>
      </c>
    </row>
    <row r="309" spans="4:17" x14ac:dyDescent="0.35">
      <c r="D309" s="20" t="str">
        <f t="shared" si="47"/>
        <v/>
      </c>
      <c r="E309" s="23" t="str">
        <f t="shared" si="48"/>
        <v/>
      </c>
      <c r="F309" s="23" t="str">
        <f t="shared" si="49"/>
        <v/>
      </c>
      <c r="G309" s="20">
        <f t="shared" si="42"/>
        <v>0</v>
      </c>
      <c r="H309" s="20">
        <f t="shared" si="46"/>
        <v>1</v>
      </c>
      <c r="I309" s="20">
        <f t="shared" si="43"/>
        <v>0</v>
      </c>
      <c r="J309" s="20">
        <f t="shared" si="46"/>
        <v>0</v>
      </c>
      <c r="K309" s="20">
        <f t="shared" si="44"/>
        <v>0</v>
      </c>
      <c r="L309" s="20">
        <f t="shared" si="46"/>
        <v>0</v>
      </c>
      <c r="M309" s="20">
        <f t="shared" si="45"/>
        <v>0</v>
      </c>
      <c r="N309" s="20">
        <f>ABS(G309)</f>
        <v>0</v>
      </c>
      <c r="O309" s="20">
        <f>ABS(I309)</f>
        <v>0</v>
      </c>
      <c r="P309" s="20">
        <f>ABS(K309)</f>
        <v>0</v>
      </c>
      <c r="Q309" s="20">
        <f t="shared" si="41"/>
        <v>0</v>
      </c>
    </row>
    <row r="310" spans="4:17" x14ac:dyDescent="0.35">
      <c r="D310" s="20" t="str">
        <f t="shared" si="47"/>
        <v/>
      </c>
      <c r="E310" s="23" t="str">
        <f t="shared" si="48"/>
        <v/>
      </c>
      <c r="F310" s="23" t="str">
        <f t="shared" si="49"/>
        <v/>
      </c>
      <c r="G310" s="20">
        <f t="shared" si="42"/>
        <v>0</v>
      </c>
      <c r="H310" s="20">
        <f t="shared" si="46"/>
        <v>0</v>
      </c>
      <c r="I310" s="20">
        <f t="shared" si="43"/>
        <v>0</v>
      </c>
      <c r="J310" s="20">
        <f t="shared" si="46"/>
        <v>1</v>
      </c>
      <c r="K310" s="20">
        <f t="shared" si="44"/>
        <v>0</v>
      </c>
      <c r="L310" s="20">
        <f t="shared" si="46"/>
        <v>0</v>
      </c>
      <c r="M310" s="20">
        <f t="shared" si="45"/>
        <v>0</v>
      </c>
      <c r="N310" s="20">
        <f>ABS(G310)</f>
        <v>0</v>
      </c>
      <c r="O310" s="20">
        <f>ABS(I310)</f>
        <v>0</v>
      </c>
      <c r="P310" s="20">
        <f>ABS(K310)</f>
        <v>0</v>
      </c>
      <c r="Q310" s="20">
        <f t="shared" si="41"/>
        <v>0</v>
      </c>
    </row>
    <row r="311" spans="4:17" x14ac:dyDescent="0.35">
      <c r="D311" s="20" t="str">
        <f t="shared" si="47"/>
        <v/>
      </c>
      <c r="E311" s="23" t="str">
        <f t="shared" si="48"/>
        <v/>
      </c>
      <c r="F311" s="23" t="str">
        <f t="shared" si="49"/>
        <v/>
      </c>
      <c r="G311" s="20">
        <f t="shared" si="42"/>
        <v>0</v>
      </c>
      <c r="H311" s="20">
        <f t="shared" si="46"/>
        <v>0</v>
      </c>
      <c r="I311" s="20">
        <f t="shared" si="43"/>
        <v>0</v>
      </c>
      <c r="J311" s="20">
        <f t="shared" si="46"/>
        <v>0</v>
      </c>
      <c r="K311" s="20">
        <f t="shared" si="44"/>
        <v>0</v>
      </c>
      <c r="L311" s="20">
        <f t="shared" si="46"/>
        <v>1</v>
      </c>
      <c r="M311" s="20">
        <f t="shared" si="45"/>
        <v>0</v>
      </c>
      <c r="N311" s="20">
        <f>ABS(G311)</f>
        <v>0</v>
      </c>
      <c r="O311" s="20">
        <f>ABS(I311)</f>
        <v>0</v>
      </c>
      <c r="P311" s="20">
        <f>ABS(K311)</f>
        <v>0</v>
      </c>
      <c r="Q311" s="20">
        <f t="shared" si="41"/>
        <v>0</v>
      </c>
    </row>
    <row r="312" spans="4:17" x14ac:dyDescent="0.35">
      <c r="D312" s="20" t="str">
        <f t="shared" si="47"/>
        <v/>
      </c>
      <c r="E312" s="23" t="str">
        <f t="shared" si="48"/>
        <v/>
      </c>
      <c r="F312" s="23" t="str">
        <f t="shared" si="49"/>
        <v/>
      </c>
      <c r="G312" s="20">
        <f t="shared" si="42"/>
        <v>0</v>
      </c>
      <c r="H312" s="20">
        <f t="shared" si="46"/>
        <v>1</v>
      </c>
      <c r="I312" s="20">
        <f t="shared" si="43"/>
        <v>0</v>
      </c>
      <c r="J312" s="20">
        <f t="shared" si="46"/>
        <v>0</v>
      </c>
      <c r="K312" s="20">
        <f t="shared" si="44"/>
        <v>0</v>
      </c>
      <c r="L312" s="20">
        <f t="shared" si="46"/>
        <v>0</v>
      </c>
      <c r="M312" s="20">
        <f t="shared" si="45"/>
        <v>0</v>
      </c>
      <c r="N312" s="20">
        <f>ABS(G312)</f>
        <v>0</v>
      </c>
      <c r="O312" s="20">
        <f>ABS(I312)</f>
        <v>0</v>
      </c>
      <c r="P312" s="20">
        <f>ABS(K312)</f>
        <v>0</v>
      </c>
      <c r="Q312" s="20">
        <f t="shared" si="41"/>
        <v>0</v>
      </c>
    </row>
    <row r="313" spans="4:17" x14ac:dyDescent="0.35">
      <c r="D313" s="20" t="str">
        <f t="shared" si="47"/>
        <v/>
      </c>
      <c r="E313" s="23" t="str">
        <f t="shared" si="48"/>
        <v/>
      </c>
      <c r="F313" s="23" t="str">
        <f t="shared" si="49"/>
        <v/>
      </c>
      <c r="G313" s="20">
        <f t="shared" si="42"/>
        <v>0</v>
      </c>
      <c r="H313" s="20">
        <f t="shared" si="46"/>
        <v>0</v>
      </c>
      <c r="I313" s="20">
        <f t="shared" si="43"/>
        <v>0</v>
      </c>
      <c r="J313" s="20">
        <f t="shared" si="46"/>
        <v>1</v>
      </c>
      <c r="K313" s="20">
        <f t="shared" si="44"/>
        <v>0</v>
      </c>
      <c r="L313" s="20">
        <f t="shared" si="46"/>
        <v>0</v>
      </c>
      <c r="M313" s="20">
        <f t="shared" si="45"/>
        <v>0</v>
      </c>
      <c r="N313" s="20">
        <f>ABS(G313)</f>
        <v>0</v>
      </c>
      <c r="O313" s="20">
        <f>ABS(I313)</f>
        <v>0</v>
      </c>
      <c r="P313" s="20">
        <f>ABS(K313)</f>
        <v>0</v>
      </c>
      <c r="Q313" s="20">
        <f t="shared" si="41"/>
        <v>0</v>
      </c>
    </row>
    <row r="314" spans="4:17" x14ac:dyDescent="0.35">
      <c r="D314" s="20" t="str">
        <f t="shared" si="47"/>
        <v/>
      </c>
      <c r="E314" s="23" t="str">
        <f t="shared" si="48"/>
        <v/>
      </c>
      <c r="F314" s="23" t="str">
        <f t="shared" si="49"/>
        <v/>
      </c>
      <c r="G314" s="20">
        <f t="shared" si="42"/>
        <v>0</v>
      </c>
      <c r="H314" s="20">
        <f t="shared" si="46"/>
        <v>0</v>
      </c>
      <c r="I314" s="20">
        <f t="shared" si="43"/>
        <v>0</v>
      </c>
      <c r="J314" s="20">
        <f t="shared" si="46"/>
        <v>0</v>
      </c>
      <c r="K314" s="20">
        <f t="shared" si="44"/>
        <v>0</v>
      </c>
      <c r="L314" s="20">
        <f t="shared" si="46"/>
        <v>1</v>
      </c>
      <c r="M314" s="20">
        <f t="shared" si="45"/>
        <v>0</v>
      </c>
      <c r="N314" s="20">
        <f>ABS(G314)</f>
        <v>0</v>
      </c>
      <c r="O314" s="20">
        <f>ABS(I314)</f>
        <v>0</v>
      </c>
      <c r="P314" s="20">
        <f>ABS(K314)</f>
        <v>0</v>
      </c>
      <c r="Q314" s="20">
        <f t="shared" si="41"/>
        <v>0</v>
      </c>
    </row>
    <row r="315" spans="4:17" x14ac:dyDescent="0.35">
      <c r="D315" s="20" t="str">
        <f t="shared" si="47"/>
        <v/>
      </c>
      <c r="E315" s="23" t="str">
        <f t="shared" si="48"/>
        <v/>
      </c>
      <c r="F315" s="23" t="str">
        <f t="shared" si="49"/>
        <v/>
      </c>
      <c r="G315" s="20">
        <f t="shared" si="42"/>
        <v>0</v>
      </c>
      <c r="H315" s="20">
        <f t="shared" si="46"/>
        <v>1</v>
      </c>
      <c r="I315" s="20">
        <f t="shared" si="43"/>
        <v>0</v>
      </c>
      <c r="J315" s="20">
        <f t="shared" si="46"/>
        <v>0</v>
      </c>
      <c r="K315" s="20">
        <f t="shared" si="44"/>
        <v>0</v>
      </c>
      <c r="L315" s="20">
        <f t="shared" si="46"/>
        <v>0</v>
      </c>
      <c r="M315" s="20">
        <f t="shared" si="45"/>
        <v>0</v>
      </c>
      <c r="N315" s="20">
        <f>ABS(G315)</f>
        <v>0</v>
      </c>
      <c r="O315" s="20">
        <f>ABS(I315)</f>
        <v>0</v>
      </c>
      <c r="P315" s="20">
        <f>ABS(K315)</f>
        <v>0</v>
      </c>
      <c r="Q315" s="20">
        <f t="shared" si="41"/>
        <v>0</v>
      </c>
    </row>
    <row r="316" spans="4:17" x14ac:dyDescent="0.35">
      <c r="D316" s="20" t="str">
        <f t="shared" si="47"/>
        <v/>
      </c>
      <c r="E316" s="23" t="str">
        <f t="shared" si="48"/>
        <v/>
      </c>
      <c r="F316" s="23" t="str">
        <f t="shared" si="49"/>
        <v/>
      </c>
      <c r="G316" s="20">
        <f t="shared" si="42"/>
        <v>0</v>
      </c>
      <c r="H316" s="20">
        <f t="shared" si="46"/>
        <v>0</v>
      </c>
      <c r="I316" s="20">
        <f t="shared" si="43"/>
        <v>0</v>
      </c>
      <c r="J316" s="20">
        <f t="shared" si="46"/>
        <v>1</v>
      </c>
      <c r="K316" s="20">
        <f t="shared" si="44"/>
        <v>0</v>
      </c>
      <c r="L316" s="20">
        <f t="shared" si="46"/>
        <v>0</v>
      </c>
      <c r="M316" s="20">
        <f t="shared" si="45"/>
        <v>0</v>
      </c>
      <c r="N316" s="20">
        <f>ABS(G316)</f>
        <v>0</v>
      </c>
      <c r="O316" s="20">
        <f>ABS(I316)</f>
        <v>0</v>
      </c>
      <c r="P316" s="20">
        <f>ABS(K316)</f>
        <v>0</v>
      </c>
      <c r="Q316" s="20">
        <f t="shared" si="41"/>
        <v>0</v>
      </c>
    </row>
    <row r="317" spans="4:17" x14ac:dyDescent="0.35">
      <c r="D317" s="20" t="str">
        <f t="shared" si="47"/>
        <v/>
      </c>
      <c r="E317" s="23" t="str">
        <f t="shared" si="48"/>
        <v/>
      </c>
      <c r="F317" s="23" t="str">
        <f t="shared" si="49"/>
        <v/>
      </c>
      <c r="G317" s="20">
        <f t="shared" si="42"/>
        <v>0</v>
      </c>
      <c r="H317" s="20">
        <f t="shared" si="46"/>
        <v>0</v>
      </c>
      <c r="I317" s="20">
        <f t="shared" si="43"/>
        <v>0</v>
      </c>
      <c r="J317" s="20">
        <f t="shared" si="46"/>
        <v>0</v>
      </c>
      <c r="K317" s="20">
        <f t="shared" si="44"/>
        <v>0</v>
      </c>
      <c r="L317" s="20">
        <f t="shared" si="46"/>
        <v>1</v>
      </c>
      <c r="M317" s="20">
        <f t="shared" si="45"/>
        <v>0</v>
      </c>
      <c r="N317" s="20">
        <f>ABS(G317)</f>
        <v>0</v>
      </c>
      <c r="O317" s="20">
        <f>ABS(I317)</f>
        <v>0</v>
      </c>
      <c r="P317" s="20">
        <f>ABS(K317)</f>
        <v>0</v>
      </c>
      <c r="Q317" s="20">
        <f t="shared" si="41"/>
        <v>0</v>
      </c>
    </row>
    <row r="318" spans="4:17" x14ac:dyDescent="0.35">
      <c r="D318" s="20" t="str">
        <f t="shared" si="47"/>
        <v/>
      </c>
      <c r="E318" s="23" t="str">
        <f t="shared" si="48"/>
        <v/>
      </c>
      <c r="F318" s="23" t="str">
        <f t="shared" si="49"/>
        <v/>
      </c>
      <c r="G318" s="20">
        <f t="shared" si="42"/>
        <v>0</v>
      </c>
      <c r="H318" s="20">
        <f t="shared" si="46"/>
        <v>1</v>
      </c>
      <c r="I318" s="20">
        <f t="shared" si="43"/>
        <v>0</v>
      </c>
      <c r="J318" s="20">
        <f t="shared" si="46"/>
        <v>0</v>
      </c>
      <c r="K318" s="20">
        <f t="shared" si="44"/>
        <v>0</v>
      </c>
      <c r="L318" s="20">
        <f t="shared" si="46"/>
        <v>0</v>
      </c>
      <c r="M318" s="20">
        <f t="shared" si="45"/>
        <v>0</v>
      </c>
      <c r="N318" s="20">
        <f>ABS(G318)</f>
        <v>0</v>
      </c>
      <c r="O318" s="20">
        <f>ABS(I318)</f>
        <v>0</v>
      </c>
      <c r="P318" s="20">
        <f>ABS(K318)</f>
        <v>0</v>
      </c>
      <c r="Q318" s="20">
        <f t="shared" si="41"/>
        <v>0</v>
      </c>
    </row>
    <row r="319" spans="4:17" x14ac:dyDescent="0.35">
      <c r="D319" s="20" t="str">
        <f t="shared" si="47"/>
        <v/>
      </c>
      <c r="E319" s="23" t="str">
        <f t="shared" si="48"/>
        <v/>
      </c>
      <c r="F319" s="23" t="str">
        <f t="shared" si="49"/>
        <v/>
      </c>
      <c r="G319" s="20">
        <f t="shared" si="42"/>
        <v>0</v>
      </c>
      <c r="H319" s="20">
        <f t="shared" si="46"/>
        <v>0</v>
      </c>
      <c r="I319" s="20">
        <f t="shared" si="43"/>
        <v>0</v>
      </c>
      <c r="J319" s="20">
        <f t="shared" si="46"/>
        <v>1</v>
      </c>
      <c r="K319" s="20">
        <f t="shared" si="44"/>
        <v>0</v>
      </c>
      <c r="L319" s="20">
        <f t="shared" si="46"/>
        <v>0</v>
      </c>
      <c r="M319" s="20">
        <f t="shared" si="45"/>
        <v>0</v>
      </c>
      <c r="N319" s="20">
        <f>ABS(G319)</f>
        <v>0</v>
      </c>
      <c r="O319" s="20">
        <f>ABS(I319)</f>
        <v>0</v>
      </c>
      <c r="P319" s="20">
        <f>ABS(K319)</f>
        <v>0</v>
      </c>
      <c r="Q319" s="20">
        <f t="shared" si="41"/>
        <v>0</v>
      </c>
    </row>
    <row r="320" spans="4:17" x14ac:dyDescent="0.35">
      <c r="D320" s="20" t="str">
        <f t="shared" si="47"/>
        <v/>
      </c>
      <c r="E320" s="23" t="str">
        <f t="shared" si="48"/>
        <v/>
      </c>
      <c r="F320" s="23" t="str">
        <f t="shared" si="49"/>
        <v/>
      </c>
      <c r="G320" s="20">
        <f t="shared" si="42"/>
        <v>0</v>
      </c>
      <c r="H320" s="20">
        <f t="shared" si="46"/>
        <v>0</v>
      </c>
      <c r="I320" s="20">
        <f t="shared" si="43"/>
        <v>0</v>
      </c>
      <c r="J320" s="20">
        <f t="shared" si="46"/>
        <v>0</v>
      </c>
      <c r="K320" s="20">
        <f t="shared" si="44"/>
        <v>0</v>
      </c>
      <c r="L320" s="20">
        <f t="shared" si="46"/>
        <v>1</v>
      </c>
      <c r="M320" s="20">
        <f t="shared" si="45"/>
        <v>0</v>
      </c>
      <c r="N320" s="20">
        <f>ABS(G320)</f>
        <v>0</v>
      </c>
      <c r="O320" s="20">
        <f>ABS(I320)</f>
        <v>0</v>
      </c>
      <c r="P320" s="20">
        <f>ABS(K320)</f>
        <v>0</v>
      </c>
      <c r="Q320" s="20">
        <f t="shared" si="41"/>
        <v>0</v>
      </c>
    </row>
    <row r="321" spans="4:17" x14ac:dyDescent="0.35">
      <c r="D321" s="20" t="str">
        <f t="shared" si="47"/>
        <v/>
      </c>
      <c r="E321" s="23" t="str">
        <f t="shared" si="48"/>
        <v/>
      </c>
      <c r="F321" s="23" t="str">
        <f t="shared" si="49"/>
        <v/>
      </c>
      <c r="G321" s="20">
        <f t="shared" si="42"/>
        <v>0</v>
      </c>
      <c r="H321" s="20">
        <f t="shared" si="46"/>
        <v>1</v>
      </c>
      <c r="I321" s="20">
        <f t="shared" si="43"/>
        <v>0</v>
      </c>
      <c r="J321" s="20">
        <f t="shared" si="46"/>
        <v>0</v>
      </c>
      <c r="K321" s="20">
        <f t="shared" si="44"/>
        <v>0</v>
      </c>
      <c r="L321" s="20">
        <f t="shared" si="46"/>
        <v>0</v>
      </c>
      <c r="M321" s="20">
        <f t="shared" si="45"/>
        <v>0</v>
      </c>
      <c r="N321" s="20">
        <f>ABS(G321)</f>
        <v>0</v>
      </c>
      <c r="O321" s="20">
        <f>ABS(I321)</f>
        <v>0</v>
      </c>
      <c r="P321" s="20">
        <f>ABS(K321)</f>
        <v>0</v>
      </c>
      <c r="Q321" s="20">
        <f t="shared" si="41"/>
        <v>0</v>
      </c>
    </row>
    <row r="322" spans="4:17" x14ac:dyDescent="0.35">
      <c r="D322" s="20" t="str">
        <f t="shared" si="47"/>
        <v/>
      </c>
      <c r="E322" s="23" t="str">
        <f t="shared" si="48"/>
        <v/>
      </c>
      <c r="F322" s="23" t="str">
        <f t="shared" si="49"/>
        <v/>
      </c>
      <c r="G322" s="20">
        <f t="shared" si="42"/>
        <v>0</v>
      </c>
      <c r="H322" s="20">
        <f t="shared" si="46"/>
        <v>0</v>
      </c>
      <c r="I322" s="20">
        <f t="shared" si="43"/>
        <v>0</v>
      </c>
      <c r="J322" s="20">
        <f t="shared" si="46"/>
        <v>1</v>
      </c>
      <c r="K322" s="20">
        <f t="shared" si="44"/>
        <v>0</v>
      </c>
      <c r="L322" s="20">
        <f t="shared" si="46"/>
        <v>0</v>
      </c>
      <c r="M322" s="20">
        <f t="shared" si="45"/>
        <v>0</v>
      </c>
      <c r="N322" s="20">
        <f>ABS(G322)</f>
        <v>0</v>
      </c>
      <c r="O322" s="20">
        <f>ABS(I322)</f>
        <v>0</v>
      </c>
      <c r="P322" s="20">
        <f>ABS(K322)</f>
        <v>0</v>
      </c>
      <c r="Q322" s="20">
        <f t="shared" ref="Q322:Q385" si="50">ABS(M322)</f>
        <v>0</v>
      </c>
    </row>
    <row r="323" spans="4:17" x14ac:dyDescent="0.35">
      <c r="D323" s="20" t="str">
        <f t="shared" si="47"/>
        <v/>
      </c>
      <c r="E323" s="23" t="str">
        <f t="shared" si="48"/>
        <v/>
      </c>
      <c r="F323" s="23" t="str">
        <f t="shared" si="49"/>
        <v/>
      </c>
      <c r="G323" s="20">
        <f t="shared" si="42"/>
        <v>0</v>
      </c>
      <c r="H323" s="20">
        <f t="shared" si="46"/>
        <v>0</v>
      </c>
      <c r="I323" s="20">
        <f t="shared" si="43"/>
        <v>0</v>
      </c>
      <c r="J323" s="20">
        <f t="shared" si="46"/>
        <v>0</v>
      </c>
      <c r="K323" s="20">
        <f t="shared" si="44"/>
        <v>0</v>
      </c>
      <c r="L323" s="20">
        <f t="shared" si="46"/>
        <v>1</v>
      </c>
      <c r="M323" s="20">
        <f t="shared" si="45"/>
        <v>0</v>
      </c>
      <c r="N323" s="20">
        <f>ABS(G323)</f>
        <v>0</v>
      </c>
      <c r="O323" s="20">
        <f>ABS(I323)</f>
        <v>0</v>
      </c>
      <c r="P323" s="20">
        <f>ABS(K323)</f>
        <v>0</v>
      </c>
      <c r="Q323" s="20">
        <f t="shared" ref="Q323:Q385" si="51">ABS(M323)</f>
        <v>0</v>
      </c>
    </row>
    <row r="324" spans="4:17" x14ac:dyDescent="0.35">
      <c r="D324" s="20" t="str">
        <f t="shared" si="47"/>
        <v/>
      </c>
      <c r="E324" s="23" t="str">
        <f t="shared" si="48"/>
        <v/>
      </c>
      <c r="F324" s="23" t="str">
        <f t="shared" si="49"/>
        <v/>
      </c>
      <c r="G324" s="20">
        <f t="shared" ref="G324:G387" si="52">IF(D324=$B$5+1,F324,0)</f>
        <v>0</v>
      </c>
      <c r="H324" s="20">
        <f t="shared" si="46"/>
        <v>1</v>
      </c>
      <c r="I324" s="20">
        <f t="shared" ref="I324:I387" si="53">IF(D323&lt;$B$5,F324*H324,0)</f>
        <v>0</v>
      </c>
      <c r="J324" s="20">
        <f t="shared" si="46"/>
        <v>0</v>
      </c>
      <c r="K324" s="20">
        <f t="shared" ref="K324:K387" si="54">IF(D323&lt;$B$5,F324*J324,0)</f>
        <v>0</v>
      </c>
      <c r="L324" s="20">
        <f t="shared" si="46"/>
        <v>0</v>
      </c>
      <c r="M324" s="20">
        <f t="shared" ref="M324:M387" si="55">IF(D323&lt;$B$5,F324*L324,0)</f>
        <v>0</v>
      </c>
      <c r="N324" s="20">
        <f>ABS(G324)</f>
        <v>0</v>
      </c>
      <c r="O324" s="20">
        <f>ABS(I324)</f>
        <v>0</v>
      </c>
      <c r="P324" s="20">
        <f>ABS(K324)</f>
        <v>0</v>
      </c>
      <c r="Q324" s="20">
        <f t="shared" si="51"/>
        <v>0</v>
      </c>
    </row>
    <row r="325" spans="4:17" x14ac:dyDescent="0.35">
      <c r="D325" s="20" t="str">
        <f t="shared" si="47"/>
        <v/>
      </c>
      <c r="E325" s="23" t="str">
        <f t="shared" si="48"/>
        <v/>
      </c>
      <c r="F325" s="23" t="str">
        <f t="shared" si="49"/>
        <v/>
      </c>
      <c r="G325" s="20">
        <f t="shared" si="52"/>
        <v>0</v>
      </c>
      <c r="H325" s="20">
        <f t="shared" si="46"/>
        <v>0</v>
      </c>
      <c r="I325" s="20">
        <f t="shared" si="53"/>
        <v>0</v>
      </c>
      <c r="J325" s="20">
        <f t="shared" si="46"/>
        <v>1</v>
      </c>
      <c r="K325" s="20">
        <f t="shared" si="54"/>
        <v>0</v>
      </c>
      <c r="L325" s="20">
        <f t="shared" si="46"/>
        <v>0</v>
      </c>
      <c r="M325" s="20">
        <f t="shared" si="55"/>
        <v>0</v>
      </c>
      <c r="N325" s="20">
        <f>ABS(G325)</f>
        <v>0</v>
      </c>
      <c r="O325" s="20">
        <f>ABS(I325)</f>
        <v>0</v>
      </c>
      <c r="P325" s="20">
        <f>ABS(K325)</f>
        <v>0</v>
      </c>
      <c r="Q325" s="20">
        <f t="shared" si="51"/>
        <v>0</v>
      </c>
    </row>
    <row r="326" spans="4:17" x14ac:dyDescent="0.35">
      <c r="D326" s="20" t="str">
        <f t="shared" si="47"/>
        <v/>
      </c>
      <c r="E326" s="23" t="str">
        <f t="shared" si="48"/>
        <v/>
      </c>
      <c r="F326" s="23" t="str">
        <f t="shared" si="49"/>
        <v/>
      </c>
      <c r="G326" s="20">
        <f t="shared" si="52"/>
        <v>0</v>
      </c>
      <c r="H326" s="20">
        <f t="shared" si="46"/>
        <v>0</v>
      </c>
      <c r="I326" s="20">
        <f t="shared" si="53"/>
        <v>0</v>
      </c>
      <c r="J326" s="20">
        <f t="shared" si="46"/>
        <v>0</v>
      </c>
      <c r="K326" s="20">
        <f t="shared" si="54"/>
        <v>0</v>
      </c>
      <c r="L326" s="20">
        <f t="shared" si="46"/>
        <v>1</v>
      </c>
      <c r="M326" s="20">
        <f t="shared" si="55"/>
        <v>0</v>
      </c>
      <c r="N326" s="20">
        <f>ABS(G326)</f>
        <v>0</v>
      </c>
      <c r="O326" s="20">
        <f>ABS(I326)</f>
        <v>0</v>
      </c>
      <c r="P326" s="20">
        <f>ABS(K326)</f>
        <v>0</v>
      </c>
      <c r="Q326" s="20">
        <f t="shared" si="51"/>
        <v>0</v>
      </c>
    </row>
    <row r="327" spans="4:17" x14ac:dyDescent="0.35">
      <c r="D327" s="20" t="str">
        <f t="shared" si="47"/>
        <v/>
      </c>
      <c r="E327" s="23" t="str">
        <f t="shared" si="48"/>
        <v/>
      </c>
      <c r="F327" s="23" t="str">
        <f t="shared" si="49"/>
        <v/>
      </c>
      <c r="G327" s="20">
        <f t="shared" si="52"/>
        <v>0</v>
      </c>
      <c r="H327" s="20">
        <f t="shared" ref="H327:L390" si="56">IF(H326+H325=0,1,0)</f>
        <v>1</v>
      </c>
      <c r="I327" s="20">
        <f t="shared" si="53"/>
        <v>0</v>
      </c>
      <c r="J327" s="20">
        <f t="shared" si="56"/>
        <v>0</v>
      </c>
      <c r="K327" s="20">
        <f t="shared" si="54"/>
        <v>0</v>
      </c>
      <c r="L327" s="20">
        <f t="shared" si="56"/>
        <v>0</v>
      </c>
      <c r="M327" s="20">
        <f t="shared" si="55"/>
        <v>0</v>
      </c>
      <c r="N327" s="20">
        <f>ABS(G327)</f>
        <v>0</v>
      </c>
      <c r="O327" s="20">
        <f>ABS(I327)</f>
        <v>0</v>
      </c>
      <c r="P327" s="20">
        <f>ABS(K327)</f>
        <v>0</v>
      </c>
      <c r="Q327" s="20">
        <f t="shared" si="51"/>
        <v>0</v>
      </c>
    </row>
    <row r="328" spans="4:17" x14ac:dyDescent="0.35">
      <c r="D328" s="20" t="str">
        <f t="shared" si="47"/>
        <v/>
      </c>
      <c r="E328" s="23" t="str">
        <f t="shared" si="48"/>
        <v/>
      </c>
      <c r="F328" s="23" t="str">
        <f t="shared" si="49"/>
        <v/>
      </c>
      <c r="G328" s="20">
        <f t="shared" si="52"/>
        <v>0</v>
      </c>
      <c r="H328" s="20">
        <f t="shared" si="56"/>
        <v>0</v>
      </c>
      <c r="I328" s="20">
        <f t="shared" si="53"/>
        <v>0</v>
      </c>
      <c r="J328" s="20">
        <f t="shared" si="56"/>
        <v>1</v>
      </c>
      <c r="K328" s="20">
        <f t="shared" si="54"/>
        <v>0</v>
      </c>
      <c r="L328" s="20">
        <f t="shared" si="56"/>
        <v>0</v>
      </c>
      <c r="M328" s="20">
        <f t="shared" si="55"/>
        <v>0</v>
      </c>
      <c r="N328" s="20">
        <f>ABS(G328)</f>
        <v>0</v>
      </c>
      <c r="O328" s="20">
        <f>ABS(I328)</f>
        <v>0</v>
      </c>
      <c r="P328" s="20">
        <f>ABS(K328)</f>
        <v>0</v>
      </c>
      <c r="Q328" s="20">
        <f t="shared" si="51"/>
        <v>0</v>
      </c>
    </row>
    <row r="329" spans="4:17" x14ac:dyDescent="0.35">
      <c r="D329" s="20" t="str">
        <f t="shared" si="47"/>
        <v/>
      </c>
      <c r="E329" s="23" t="str">
        <f t="shared" si="48"/>
        <v/>
      </c>
      <c r="F329" s="23" t="str">
        <f t="shared" si="49"/>
        <v/>
      </c>
      <c r="G329" s="20">
        <f t="shared" si="52"/>
        <v>0</v>
      </c>
      <c r="H329" s="20">
        <f t="shared" si="56"/>
        <v>0</v>
      </c>
      <c r="I329" s="20">
        <f t="shared" si="53"/>
        <v>0</v>
      </c>
      <c r="J329" s="20">
        <f t="shared" si="56"/>
        <v>0</v>
      </c>
      <c r="K329" s="20">
        <f t="shared" si="54"/>
        <v>0</v>
      </c>
      <c r="L329" s="20">
        <f t="shared" si="56"/>
        <v>1</v>
      </c>
      <c r="M329" s="20">
        <f t="shared" si="55"/>
        <v>0</v>
      </c>
      <c r="N329" s="20">
        <f>ABS(G329)</f>
        <v>0</v>
      </c>
      <c r="O329" s="20">
        <f>ABS(I329)</f>
        <v>0</v>
      </c>
      <c r="P329" s="20">
        <f>ABS(K329)</f>
        <v>0</v>
      </c>
      <c r="Q329" s="20">
        <f t="shared" si="51"/>
        <v>0</v>
      </c>
    </row>
    <row r="330" spans="4:17" x14ac:dyDescent="0.35">
      <c r="D330" s="20" t="str">
        <f t="shared" si="47"/>
        <v/>
      </c>
      <c r="E330" s="23" t="str">
        <f t="shared" si="48"/>
        <v/>
      </c>
      <c r="F330" s="23" t="str">
        <f t="shared" si="49"/>
        <v/>
      </c>
      <c r="G330" s="20">
        <f t="shared" si="52"/>
        <v>0</v>
      </c>
      <c r="H330" s="20">
        <f t="shared" si="56"/>
        <v>1</v>
      </c>
      <c r="I330" s="20">
        <f t="shared" si="53"/>
        <v>0</v>
      </c>
      <c r="J330" s="20">
        <f t="shared" si="56"/>
        <v>0</v>
      </c>
      <c r="K330" s="20">
        <f t="shared" si="54"/>
        <v>0</v>
      </c>
      <c r="L330" s="20">
        <f t="shared" si="56"/>
        <v>0</v>
      </c>
      <c r="M330" s="20">
        <f t="shared" si="55"/>
        <v>0</v>
      </c>
      <c r="N330" s="20">
        <f>ABS(G330)</f>
        <v>0</v>
      </c>
      <c r="O330" s="20">
        <f>ABS(I330)</f>
        <v>0</v>
      </c>
      <c r="P330" s="20">
        <f>ABS(K330)</f>
        <v>0</v>
      </c>
      <c r="Q330" s="20">
        <f t="shared" si="51"/>
        <v>0</v>
      </c>
    </row>
    <row r="331" spans="4:17" x14ac:dyDescent="0.35">
      <c r="D331" s="20" t="str">
        <f t="shared" si="47"/>
        <v/>
      </c>
      <c r="E331" s="23" t="str">
        <f t="shared" si="48"/>
        <v/>
      </c>
      <c r="F331" s="23" t="str">
        <f t="shared" si="49"/>
        <v/>
      </c>
      <c r="G331" s="20">
        <f t="shared" si="52"/>
        <v>0</v>
      </c>
      <c r="H331" s="20">
        <f t="shared" si="56"/>
        <v>0</v>
      </c>
      <c r="I331" s="20">
        <f t="shared" si="53"/>
        <v>0</v>
      </c>
      <c r="J331" s="20">
        <f t="shared" si="56"/>
        <v>1</v>
      </c>
      <c r="K331" s="20">
        <f t="shared" si="54"/>
        <v>0</v>
      </c>
      <c r="L331" s="20">
        <f t="shared" si="56"/>
        <v>0</v>
      </c>
      <c r="M331" s="20">
        <f t="shared" si="55"/>
        <v>0</v>
      </c>
      <c r="N331" s="20">
        <f>ABS(G331)</f>
        <v>0</v>
      </c>
      <c r="O331" s="20">
        <f>ABS(I331)</f>
        <v>0</v>
      </c>
      <c r="P331" s="20">
        <f>ABS(K331)</f>
        <v>0</v>
      </c>
      <c r="Q331" s="20">
        <f t="shared" si="51"/>
        <v>0</v>
      </c>
    </row>
    <row r="332" spans="4:17" x14ac:dyDescent="0.35">
      <c r="D332" s="20" t="str">
        <f t="shared" si="47"/>
        <v/>
      </c>
      <c r="E332" s="23" t="str">
        <f t="shared" si="48"/>
        <v/>
      </c>
      <c r="F332" s="23" t="str">
        <f t="shared" si="49"/>
        <v/>
      </c>
      <c r="G332" s="20">
        <f t="shared" si="52"/>
        <v>0</v>
      </c>
      <c r="H332" s="20">
        <f t="shared" si="56"/>
        <v>0</v>
      </c>
      <c r="I332" s="20">
        <f t="shared" si="53"/>
        <v>0</v>
      </c>
      <c r="J332" s="20">
        <f t="shared" si="56"/>
        <v>0</v>
      </c>
      <c r="K332" s="20">
        <f t="shared" si="54"/>
        <v>0</v>
      </c>
      <c r="L332" s="20">
        <f t="shared" si="56"/>
        <v>1</v>
      </c>
      <c r="M332" s="20">
        <f t="shared" si="55"/>
        <v>0</v>
      </c>
      <c r="N332" s="20">
        <f>ABS(G332)</f>
        <v>0</v>
      </c>
      <c r="O332" s="20">
        <f>ABS(I332)</f>
        <v>0</v>
      </c>
      <c r="P332" s="20">
        <f>ABS(K332)</f>
        <v>0</v>
      </c>
      <c r="Q332" s="20">
        <f t="shared" si="51"/>
        <v>0</v>
      </c>
    </row>
    <row r="333" spans="4:17" x14ac:dyDescent="0.35">
      <c r="D333" s="20" t="str">
        <f t="shared" si="47"/>
        <v/>
      </c>
      <c r="E333" s="23" t="str">
        <f t="shared" si="48"/>
        <v/>
      </c>
      <c r="F333" s="23" t="str">
        <f t="shared" si="49"/>
        <v/>
      </c>
      <c r="G333" s="20">
        <f t="shared" si="52"/>
        <v>0</v>
      </c>
      <c r="H333" s="20">
        <f t="shared" si="56"/>
        <v>1</v>
      </c>
      <c r="I333" s="20">
        <f t="shared" si="53"/>
        <v>0</v>
      </c>
      <c r="J333" s="20">
        <f t="shared" si="56"/>
        <v>0</v>
      </c>
      <c r="K333" s="20">
        <f t="shared" si="54"/>
        <v>0</v>
      </c>
      <c r="L333" s="20">
        <f t="shared" si="56"/>
        <v>0</v>
      </c>
      <c r="M333" s="20">
        <f t="shared" si="55"/>
        <v>0</v>
      </c>
      <c r="N333" s="20">
        <f>ABS(G333)</f>
        <v>0</v>
      </c>
      <c r="O333" s="20">
        <f>ABS(I333)</f>
        <v>0</v>
      </c>
      <c r="P333" s="20">
        <f>ABS(K333)</f>
        <v>0</v>
      </c>
      <c r="Q333" s="20">
        <f t="shared" si="51"/>
        <v>0</v>
      </c>
    </row>
    <row r="334" spans="4:17" x14ac:dyDescent="0.35">
      <c r="D334" s="20" t="str">
        <f t="shared" si="47"/>
        <v/>
      </c>
      <c r="E334" s="23" t="str">
        <f t="shared" si="48"/>
        <v/>
      </c>
      <c r="F334" s="23" t="str">
        <f t="shared" si="49"/>
        <v/>
      </c>
      <c r="G334" s="20">
        <f t="shared" si="52"/>
        <v>0</v>
      </c>
      <c r="H334" s="20">
        <f t="shared" si="56"/>
        <v>0</v>
      </c>
      <c r="I334" s="20">
        <f t="shared" si="53"/>
        <v>0</v>
      </c>
      <c r="J334" s="20">
        <f t="shared" si="56"/>
        <v>1</v>
      </c>
      <c r="K334" s="20">
        <f t="shared" si="54"/>
        <v>0</v>
      </c>
      <c r="L334" s="20">
        <f t="shared" si="56"/>
        <v>0</v>
      </c>
      <c r="M334" s="20">
        <f t="shared" si="55"/>
        <v>0</v>
      </c>
      <c r="N334" s="20">
        <f>ABS(G334)</f>
        <v>0</v>
      </c>
      <c r="O334" s="20">
        <f>ABS(I334)</f>
        <v>0</v>
      </c>
      <c r="P334" s="20">
        <f>ABS(K334)</f>
        <v>0</v>
      </c>
      <c r="Q334" s="20">
        <f t="shared" si="51"/>
        <v>0</v>
      </c>
    </row>
    <row r="335" spans="4:17" x14ac:dyDescent="0.35">
      <c r="D335" s="20" t="str">
        <f t="shared" si="47"/>
        <v/>
      </c>
      <c r="E335" s="23" t="str">
        <f t="shared" si="48"/>
        <v/>
      </c>
      <c r="F335" s="23" t="str">
        <f t="shared" si="49"/>
        <v/>
      </c>
      <c r="G335" s="20">
        <f t="shared" si="52"/>
        <v>0</v>
      </c>
      <c r="H335" s="20">
        <f t="shared" si="56"/>
        <v>0</v>
      </c>
      <c r="I335" s="20">
        <f t="shared" si="53"/>
        <v>0</v>
      </c>
      <c r="J335" s="20">
        <f t="shared" si="56"/>
        <v>0</v>
      </c>
      <c r="K335" s="20">
        <f t="shared" si="54"/>
        <v>0</v>
      </c>
      <c r="L335" s="20">
        <f t="shared" si="56"/>
        <v>1</v>
      </c>
      <c r="M335" s="20">
        <f t="shared" si="55"/>
        <v>0</v>
      </c>
      <c r="N335" s="20">
        <f>ABS(G335)</f>
        <v>0</v>
      </c>
      <c r="O335" s="20">
        <f>ABS(I335)</f>
        <v>0</v>
      </c>
      <c r="P335" s="20">
        <f>ABS(K335)</f>
        <v>0</v>
      </c>
      <c r="Q335" s="20">
        <f t="shared" si="51"/>
        <v>0</v>
      </c>
    </row>
    <row r="336" spans="4:17" x14ac:dyDescent="0.35">
      <c r="D336" s="20" t="str">
        <f t="shared" si="47"/>
        <v/>
      </c>
      <c r="E336" s="23" t="str">
        <f t="shared" si="48"/>
        <v/>
      </c>
      <c r="F336" s="23" t="str">
        <f t="shared" si="49"/>
        <v/>
      </c>
      <c r="G336" s="20">
        <f t="shared" si="52"/>
        <v>0</v>
      </c>
      <c r="H336" s="20">
        <f t="shared" si="56"/>
        <v>1</v>
      </c>
      <c r="I336" s="20">
        <f t="shared" si="53"/>
        <v>0</v>
      </c>
      <c r="J336" s="20">
        <f t="shared" si="56"/>
        <v>0</v>
      </c>
      <c r="K336" s="20">
        <f t="shared" si="54"/>
        <v>0</v>
      </c>
      <c r="L336" s="20">
        <f t="shared" si="56"/>
        <v>0</v>
      </c>
      <c r="M336" s="20">
        <f t="shared" si="55"/>
        <v>0</v>
      </c>
      <c r="N336" s="20">
        <f>ABS(G336)</f>
        <v>0</v>
      </c>
      <c r="O336" s="20">
        <f>ABS(I336)</f>
        <v>0</v>
      </c>
      <c r="P336" s="20">
        <f>ABS(K336)</f>
        <v>0</v>
      </c>
      <c r="Q336" s="20">
        <f t="shared" si="51"/>
        <v>0</v>
      </c>
    </row>
    <row r="337" spans="4:17" x14ac:dyDescent="0.35">
      <c r="D337" s="20" t="str">
        <f t="shared" si="47"/>
        <v/>
      </c>
      <c r="E337" s="23" t="str">
        <f t="shared" si="48"/>
        <v/>
      </c>
      <c r="F337" s="23" t="str">
        <f t="shared" si="49"/>
        <v/>
      </c>
      <c r="G337" s="20">
        <f t="shared" si="52"/>
        <v>0</v>
      </c>
      <c r="H337" s="20">
        <f t="shared" si="56"/>
        <v>0</v>
      </c>
      <c r="I337" s="20">
        <f t="shared" si="53"/>
        <v>0</v>
      </c>
      <c r="J337" s="20">
        <f t="shared" si="56"/>
        <v>1</v>
      </c>
      <c r="K337" s="20">
        <f t="shared" si="54"/>
        <v>0</v>
      </c>
      <c r="L337" s="20">
        <f t="shared" si="56"/>
        <v>0</v>
      </c>
      <c r="M337" s="20">
        <f t="shared" si="55"/>
        <v>0</v>
      </c>
      <c r="N337" s="20">
        <f>ABS(G337)</f>
        <v>0</v>
      </c>
      <c r="O337" s="20">
        <f>ABS(I337)</f>
        <v>0</v>
      </c>
      <c r="P337" s="20">
        <f>ABS(K337)</f>
        <v>0</v>
      </c>
      <c r="Q337" s="20">
        <f t="shared" si="51"/>
        <v>0</v>
      </c>
    </row>
    <row r="338" spans="4:17" x14ac:dyDescent="0.35">
      <c r="D338" s="20" t="str">
        <f t="shared" si="47"/>
        <v/>
      </c>
      <c r="E338" s="23" t="str">
        <f t="shared" si="48"/>
        <v/>
      </c>
      <c r="F338" s="23" t="str">
        <f t="shared" si="49"/>
        <v/>
      </c>
      <c r="G338" s="20">
        <f t="shared" si="52"/>
        <v>0</v>
      </c>
      <c r="H338" s="20">
        <f t="shared" si="56"/>
        <v>0</v>
      </c>
      <c r="I338" s="20">
        <f t="shared" si="53"/>
        <v>0</v>
      </c>
      <c r="J338" s="20">
        <f t="shared" si="56"/>
        <v>0</v>
      </c>
      <c r="K338" s="20">
        <f t="shared" si="54"/>
        <v>0</v>
      </c>
      <c r="L338" s="20">
        <f t="shared" si="56"/>
        <v>1</v>
      </c>
      <c r="M338" s="20">
        <f t="shared" si="55"/>
        <v>0</v>
      </c>
      <c r="N338" s="20">
        <f>ABS(G338)</f>
        <v>0</v>
      </c>
      <c r="O338" s="20">
        <f>ABS(I338)</f>
        <v>0</v>
      </c>
      <c r="P338" s="20">
        <f>ABS(K338)</f>
        <v>0</v>
      </c>
      <c r="Q338" s="20">
        <f t="shared" si="51"/>
        <v>0</v>
      </c>
    </row>
    <row r="339" spans="4:17" x14ac:dyDescent="0.35">
      <c r="D339" s="20" t="str">
        <f t="shared" si="47"/>
        <v/>
      </c>
      <c r="E339" s="23" t="str">
        <f t="shared" si="48"/>
        <v/>
      </c>
      <c r="F339" s="23" t="str">
        <f t="shared" si="49"/>
        <v/>
      </c>
      <c r="G339" s="20">
        <f t="shared" si="52"/>
        <v>0</v>
      </c>
      <c r="H339" s="20">
        <f t="shared" si="56"/>
        <v>1</v>
      </c>
      <c r="I339" s="20">
        <f t="shared" si="53"/>
        <v>0</v>
      </c>
      <c r="J339" s="20">
        <f t="shared" si="56"/>
        <v>0</v>
      </c>
      <c r="K339" s="20">
        <f t="shared" si="54"/>
        <v>0</v>
      </c>
      <c r="L339" s="20">
        <f t="shared" si="56"/>
        <v>0</v>
      </c>
      <c r="M339" s="20">
        <f t="shared" si="55"/>
        <v>0</v>
      </c>
      <c r="N339" s="20">
        <f>ABS(G339)</f>
        <v>0</v>
      </c>
      <c r="O339" s="20">
        <f>ABS(I339)</f>
        <v>0</v>
      </c>
      <c r="P339" s="20">
        <f>ABS(K339)</f>
        <v>0</v>
      </c>
      <c r="Q339" s="20">
        <f t="shared" si="51"/>
        <v>0</v>
      </c>
    </row>
    <row r="340" spans="4:17" x14ac:dyDescent="0.35">
      <c r="D340" s="20" t="str">
        <f t="shared" si="47"/>
        <v/>
      </c>
      <c r="E340" s="23" t="str">
        <f t="shared" si="48"/>
        <v/>
      </c>
      <c r="F340" s="23" t="str">
        <f t="shared" si="49"/>
        <v/>
      </c>
      <c r="G340" s="20">
        <f t="shared" si="52"/>
        <v>0</v>
      </c>
      <c r="H340" s="20">
        <f t="shared" si="56"/>
        <v>0</v>
      </c>
      <c r="I340" s="20">
        <f t="shared" si="53"/>
        <v>0</v>
      </c>
      <c r="J340" s="20">
        <f t="shared" si="56"/>
        <v>1</v>
      </c>
      <c r="K340" s="20">
        <f t="shared" si="54"/>
        <v>0</v>
      </c>
      <c r="L340" s="20">
        <f t="shared" si="56"/>
        <v>0</v>
      </c>
      <c r="M340" s="20">
        <f t="shared" si="55"/>
        <v>0</v>
      </c>
      <c r="N340" s="20">
        <f>ABS(G340)</f>
        <v>0</v>
      </c>
      <c r="O340" s="20">
        <f>ABS(I340)</f>
        <v>0</v>
      </c>
      <c r="P340" s="20">
        <f>ABS(K340)</f>
        <v>0</v>
      </c>
      <c r="Q340" s="20">
        <f t="shared" si="51"/>
        <v>0</v>
      </c>
    </row>
    <row r="341" spans="4:17" x14ac:dyDescent="0.35">
      <c r="D341" s="20" t="str">
        <f t="shared" si="47"/>
        <v/>
      </c>
      <c r="E341" s="23" t="str">
        <f t="shared" si="48"/>
        <v/>
      </c>
      <c r="F341" s="23" t="str">
        <f t="shared" si="49"/>
        <v/>
      </c>
      <c r="G341" s="20">
        <f t="shared" si="52"/>
        <v>0</v>
      </c>
      <c r="H341" s="20">
        <f t="shared" si="56"/>
        <v>0</v>
      </c>
      <c r="I341" s="20">
        <f t="shared" si="53"/>
        <v>0</v>
      </c>
      <c r="J341" s="20">
        <f t="shared" si="56"/>
        <v>0</v>
      </c>
      <c r="K341" s="20">
        <f t="shared" si="54"/>
        <v>0</v>
      </c>
      <c r="L341" s="20">
        <f t="shared" si="56"/>
        <v>1</v>
      </c>
      <c r="M341" s="20">
        <f t="shared" si="55"/>
        <v>0</v>
      </c>
      <c r="N341" s="20">
        <f>ABS(G341)</f>
        <v>0</v>
      </c>
      <c r="O341" s="20">
        <f>ABS(I341)</f>
        <v>0</v>
      </c>
      <c r="P341" s="20">
        <f>ABS(K341)</f>
        <v>0</v>
      </c>
      <c r="Q341" s="20">
        <f t="shared" si="51"/>
        <v>0</v>
      </c>
    </row>
    <row r="342" spans="4:17" x14ac:dyDescent="0.35">
      <c r="D342" s="20" t="str">
        <f t="shared" si="47"/>
        <v/>
      </c>
      <c r="E342" s="23" t="str">
        <f t="shared" si="48"/>
        <v/>
      </c>
      <c r="F342" s="23" t="str">
        <f t="shared" si="49"/>
        <v/>
      </c>
      <c r="G342" s="20">
        <f t="shared" si="52"/>
        <v>0</v>
      </c>
      <c r="H342" s="20">
        <f t="shared" si="56"/>
        <v>1</v>
      </c>
      <c r="I342" s="20">
        <f t="shared" si="53"/>
        <v>0</v>
      </c>
      <c r="J342" s="20">
        <f t="shared" si="56"/>
        <v>0</v>
      </c>
      <c r="K342" s="20">
        <f t="shared" si="54"/>
        <v>0</v>
      </c>
      <c r="L342" s="20">
        <f t="shared" si="56"/>
        <v>0</v>
      </c>
      <c r="M342" s="20">
        <f t="shared" si="55"/>
        <v>0</v>
      </c>
      <c r="N342" s="20">
        <f>ABS(G342)</f>
        <v>0</v>
      </c>
      <c r="O342" s="20">
        <f>ABS(I342)</f>
        <v>0</v>
      </c>
      <c r="P342" s="20">
        <f>ABS(K342)</f>
        <v>0</v>
      </c>
      <c r="Q342" s="20">
        <f t="shared" si="51"/>
        <v>0</v>
      </c>
    </row>
    <row r="343" spans="4:17" x14ac:dyDescent="0.35">
      <c r="D343" s="20" t="str">
        <f t="shared" ref="D343:D406" si="57">IF(D342&lt;=$B$5,D342+1,"")</f>
        <v/>
      </c>
      <c r="E343" s="23" t="str">
        <f t="shared" ref="E343:E406" si="58">IF(D342&lt;=$B$5,E342+$B$6,"")</f>
        <v/>
      </c>
      <c r="F343" s="23" t="str">
        <f t="shared" ref="F343:F406" si="59">IF(D342&lt;=$B$5,(20*COS((5/2)*E343^2+1))/(E343^2+2),"")</f>
        <v/>
      </c>
      <c r="G343" s="20">
        <f t="shared" si="52"/>
        <v>0</v>
      </c>
      <c r="H343" s="20">
        <f t="shared" si="56"/>
        <v>0</v>
      </c>
      <c r="I343" s="20">
        <f t="shared" si="53"/>
        <v>0</v>
      </c>
      <c r="J343" s="20">
        <f t="shared" si="56"/>
        <v>1</v>
      </c>
      <c r="K343" s="20">
        <f t="shared" si="54"/>
        <v>0</v>
      </c>
      <c r="L343" s="20">
        <f t="shared" si="56"/>
        <v>0</v>
      </c>
      <c r="M343" s="20">
        <f t="shared" si="55"/>
        <v>0</v>
      </c>
      <c r="N343" s="20">
        <f>ABS(G343)</f>
        <v>0</v>
      </c>
      <c r="O343" s="20">
        <f>ABS(I343)</f>
        <v>0</v>
      </c>
      <c r="P343" s="20">
        <f>ABS(K343)</f>
        <v>0</v>
      </c>
      <c r="Q343" s="20">
        <f t="shared" si="51"/>
        <v>0</v>
      </c>
    </row>
    <row r="344" spans="4:17" x14ac:dyDescent="0.35">
      <c r="D344" s="20" t="str">
        <f t="shared" si="57"/>
        <v/>
      </c>
      <c r="E344" s="23" t="str">
        <f t="shared" si="58"/>
        <v/>
      </c>
      <c r="F344" s="23" t="str">
        <f t="shared" si="59"/>
        <v/>
      </c>
      <c r="G344" s="20">
        <f t="shared" si="52"/>
        <v>0</v>
      </c>
      <c r="H344" s="20">
        <f t="shared" si="56"/>
        <v>0</v>
      </c>
      <c r="I344" s="20">
        <f t="shared" si="53"/>
        <v>0</v>
      </c>
      <c r="J344" s="20">
        <f t="shared" si="56"/>
        <v>0</v>
      </c>
      <c r="K344" s="20">
        <f t="shared" si="54"/>
        <v>0</v>
      </c>
      <c r="L344" s="20">
        <f t="shared" si="56"/>
        <v>1</v>
      </c>
      <c r="M344" s="20">
        <f t="shared" si="55"/>
        <v>0</v>
      </c>
      <c r="N344" s="20">
        <f>ABS(G344)</f>
        <v>0</v>
      </c>
      <c r="O344" s="20">
        <f>ABS(I344)</f>
        <v>0</v>
      </c>
      <c r="P344" s="20">
        <f>ABS(K344)</f>
        <v>0</v>
      </c>
      <c r="Q344" s="20">
        <f t="shared" si="51"/>
        <v>0</v>
      </c>
    </row>
    <row r="345" spans="4:17" x14ac:dyDescent="0.35">
      <c r="D345" s="20" t="str">
        <f t="shared" si="57"/>
        <v/>
      </c>
      <c r="E345" s="23" t="str">
        <f t="shared" si="58"/>
        <v/>
      </c>
      <c r="F345" s="23" t="str">
        <f t="shared" si="59"/>
        <v/>
      </c>
      <c r="G345" s="20">
        <f t="shared" si="52"/>
        <v>0</v>
      </c>
      <c r="H345" s="20">
        <f t="shared" si="56"/>
        <v>1</v>
      </c>
      <c r="I345" s="20">
        <f t="shared" si="53"/>
        <v>0</v>
      </c>
      <c r="J345" s="20">
        <f t="shared" si="56"/>
        <v>0</v>
      </c>
      <c r="K345" s="20">
        <f t="shared" si="54"/>
        <v>0</v>
      </c>
      <c r="L345" s="20">
        <f t="shared" si="56"/>
        <v>0</v>
      </c>
      <c r="M345" s="20">
        <f t="shared" si="55"/>
        <v>0</v>
      </c>
      <c r="N345" s="20">
        <f>ABS(G345)</f>
        <v>0</v>
      </c>
      <c r="O345" s="20">
        <f>ABS(I345)</f>
        <v>0</v>
      </c>
      <c r="P345" s="20">
        <f>ABS(K345)</f>
        <v>0</v>
      </c>
      <c r="Q345" s="20">
        <f t="shared" si="51"/>
        <v>0</v>
      </c>
    </row>
    <row r="346" spans="4:17" x14ac:dyDescent="0.35">
      <c r="D346" s="20" t="str">
        <f t="shared" si="57"/>
        <v/>
      </c>
      <c r="E346" s="23" t="str">
        <f t="shared" si="58"/>
        <v/>
      </c>
      <c r="F346" s="23" t="str">
        <f t="shared" si="59"/>
        <v/>
      </c>
      <c r="G346" s="20">
        <f t="shared" si="52"/>
        <v>0</v>
      </c>
      <c r="H346" s="20">
        <f t="shared" si="56"/>
        <v>0</v>
      </c>
      <c r="I346" s="20">
        <f t="shared" si="53"/>
        <v>0</v>
      </c>
      <c r="J346" s="20">
        <f t="shared" si="56"/>
        <v>1</v>
      </c>
      <c r="K346" s="20">
        <f t="shared" si="54"/>
        <v>0</v>
      </c>
      <c r="L346" s="20">
        <f t="shared" si="56"/>
        <v>0</v>
      </c>
      <c r="M346" s="20">
        <f t="shared" si="55"/>
        <v>0</v>
      </c>
      <c r="N346" s="20">
        <f>ABS(G346)</f>
        <v>0</v>
      </c>
      <c r="O346" s="20">
        <f>ABS(I346)</f>
        <v>0</v>
      </c>
      <c r="P346" s="20">
        <f>ABS(K346)</f>
        <v>0</v>
      </c>
      <c r="Q346" s="20">
        <f t="shared" si="51"/>
        <v>0</v>
      </c>
    </row>
    <row r="347" spans="4:17" x14ac:dyDescent="0.35">
      <c r="D347" s="20" t="str">
        <f t="shared" si="57"/>
        <v/>
      </c>
      <c r="E347" s="23" t="str">
        <f t="shared" si="58"/>
        <v/>
      </c>
      <c r="F347" s="23" t="str">
        <f t="shared" si="59"/>
        <v/>
      </c>
      <c r="G347" s="20">
        <f t="shared" si="52"/>
        <v>0</v>
      </c>
      <c r="H347" s="20">
        <f t="shared" si="56"/>
        <v>0</v>
      </c>
      <c r="I347" s="20">
        <f t="shared" si="53"/>
        <v>0</v>
      </c>
      <c r="J347" s="20">
        <f t="shared" si="56"/>
        <v>0</v>
      </c>
      <c r="K347" s="20">
        <f t="shared" si="54"/>
        <v>0</v>
      </c>
      <c r="L347" s="20">
        <f t="shared" si="56"/>
        <v>1</v>
      </c>
      <c r="M347" s="20">
        <f t="shared" si="55"/>
        <v>0</v>
      </c>
      <c r="N347" s="20">
        <f>ABS(G347)</f>
        <v>0</v>
      </c>
      <c r="O347" s="20">
        <f>ABS(I347)</f>
        <v>0</v>
      </c>
      <c r="P347" s="20">
        <f>ABS(K347)</f>
        <v>0</v>
      </c>
      <c r="Q347" s="20">
        <f t="shared" si="51"/>
        <v>0</v>
      </c>
    </row>
    <row r="348" spans="4:17" x14ac:dyDescent="0.35">
      <c r="D348" s="20" t="str">
        <f t="shared" si="57"/>
        <v/>
      </c>
      <c r="E348" s="23" t="str">
        <f t="shared" si="58"/>
        <v/>
      </c>
      <c r="F348" s="23" t="str">
        <f t="shared" si="59"/>
        <v/>
      </c>
      <c r="G348" s="20">
        <f t="shared" si="52"/>
        <v>0</v>
      </c>
      <c r="H348" s="20">
        <f t="shared" si="56"/>
        <v>1</v>
      </c>
      <c r="I348" s="20">
        <f t="shared" si="53"/>
        <v>0</v>
      </c>
      <c r="J348" s="20">
        <f t="shared" si="56"/>
        <v>0</v>
      </c>
      <c r="K348" s="20">
        <f t="shared" si="54"/>
        <v>0</v>
      </c>
      <c r="L348" s="20">
        <f t="shared" si="56"/>
        <v>0</v>
      </c>
      <c r="M348" s="20">
        <f t="shared" si="55"/>
        <v>0</v>
      </c>
      <c r="N348" s="20">
        <f>ABS(G348)</f>
        <v>0</v>
      </c>
      <c r="O348" s="20">
        <f>ABS(I348)</f>
        <v>0</v>
      </c>
      <c r="P348" s="20">
        <f>ABS(K348)</f>
        <v>0</v>
      </c>
      <c r="Q348" s="20">
        <f t="shared" si="51"/>
        <v>0</v>
      </c>
    </row>
    <row r="349" spans="4:17" x14ac:dyDescent="0.35">
      <c r="D349" s="20" t="str">
        <f t="shared" si="57"/>
        <v/>
      </c>
      <c r="E349" s="23" t="str">
        <f t="shared" si="58"/>
        <v/>
      </c>
      <c r="F349" s="23" t="str">
        <f t="shared" si="59"/>
        <v/>
      </c>
      <c r="G349" s="20">
        <f t="shared" si="52"/>
        <v>0</v>
      </c>
      <c r="H349" s="20">
        <f t="shared" si="56"/>
        <v>0</v>
      </c>
      <c r="I349" s="20">
        <f t="shared" si="53"/>
        <v>0</v>
      </c>
      <c r="J349" s="20">
        <f t="shared" si="56"/>
        <v>1</v>
      </c>
      <c r="K349" s="20">
        <f t="shared" si="54"/>
        <v>0</v>
      </c>
      <c r="L349" s="20">
        <f t="shared" si="56"/>
        <v>0</v>
      </c>
      <c r="M349" s="20">
        <f t="shared" si="55"/>
        <v>0</v>
      </c>
      <c r="N349" s="20">
        <f>ABS(G349)</f>
        <v>0</v>
      </c>
      <c r="O349" s="20">
        <f>ABS(I349)</f>
        <v>0</v>
      </c>
      <c r="P349" s="20">
        <f>ABS(K349)</f>
        <v>0</v>
      </c>
      <c r="Q349" s="20">
        <f t="shared" si="51"/>
        <v>0</v>
      </c>
    </row>
    <row r="350" spans="4:17" x14ac:dyDescent="0.35">
      <c r="D350" s="20" t="str">
        <f t="shared" si="57"/>
        <v/>
      </c>
      <c r="E350" s="23" t="str">
        <f t="shared" si="58"/>
        <v/>
      </c>
      <c r="F350" s="23" t="str">
        <f t="shared" si="59"/>
        <v/>
      </c>
      <c r="G350" s="20">
        <f t="shared" si="52"/>
        <v>0</v>
      </c>
      <c r="H350" s="20">
        <f t="shared" si="56"/>
        <v>0</v>
      </c>
      <c r="I350" s="20">
        <f t="shared" si="53"/>
        <v>0</v>
      </c>
      <c r="J350" s="20">
        <f t="shared" si="56"/>
        <v>0</v>
      </c>
      <c r="K350" s="20">
        <f t="shared" si="54"/>
        <v>0</v>
      </c>
      <c r="L350" s="20">
        <f t="shared" si="56"/>
        <v>1</v>
      </c>
      <c r="M350" s="20">
        <f t="shared" si="55"/>
        <v>0</v>
      </c>
      <c r="N350" s="20">
        <f>ABS(G350)</f>
        <v>0</v>
      </c>
      <c r="O350" s="20">
        <f>ABS(I350)</f>
        <v>0</v>
      </c>
      <c r="P350" s="20">
        <f>ABS(K350)</f>
        <v>0</v>
      </c>
      <c r="Q350" s="20">
        <f t="shared" si="51"/>
        <v>0</v>
      </c>
    </row>
    <row r="351" spans="4:17" x14ac:dyDescent="0.35">
      <c r="D351" s="20" t="str">
        <f t="shared" si="57"/>
        <v/>
      </c>
      <c r="E351" s="23" t="str">
        <f t="shared" si="58"/>
        <v/>
      </c>
      <c r="F351" s="23" t="str">
        <f t="shared" si="59"/>
        <v/>
      </c>
      <c r="G351" s="20">
        <f t="shared" si="52"/>
        <v>0</v>
      </c>
      <c r="H351" s="20">
        <f t="shared" si="56"/>
        <v>1</v>
      </c>
      <c r="I351" s="20">
        <f t="shared" si="53"/>
        <v>0</v>
      </c>
      <c r="J351" s="20">
        <f t="shared" si="56"/>
        <v>0</v>
      </c>
      <c r="K351" s="20">
        <f t="shared" si="54"/>
        <v>0</v>
      </c>
      <c r="L351" s="20">
        <f t="shared" si="56"/>
        <v>0</v>
      </c>
      <c r="M351" s="20">
        <f t="shared" si="55"/>
        <v>0</v>
      </c>
      <c r="N351" s="20">
        <f>ABS(G351)</f>
        <v>0</v>
      </c>
      <c r="O351" s="20">
        <f>ABS(I351)</f>
        <v>0</v>
      </c>
      <c r="P351" s="20">
        <f>ABS(K351)</f>
        <v>0</v>
      </c>
      <c r="Q351" s="20">
        <f t="shared" si="51"/>
        <v>0</v>
      </c>
    </row>
    <row r="352" spans="4:17" x14ac:dyDescent="0.35">
      <c r="D352" s="20" t="str">
        <f t="shared" si="57"/>
        <v/>
      </c>
      <c r="E352" s="23" t="str">
        <f t="shared" si="58"/>
        <v/>
      </c>
      <c r="F352" s="23" t="str">
        <f t="shared" si="59"/>
        <v/>
      </c>
      <c r="G352" s="20">
        <f t="shared" si="52"/>
        <v>0</v>
      </c>
      <c r="H352" s="20">
        <f t="shared" si="56"/>
        <v>0</v>
      </c>
      <c r="I352" s="20">
        <f t="shared" si="53"/>
        <v>0</v>
      </c>
      <c r="J352" s="20">
        <f t="shared" si="56"/>
        <v>1</v>
      </c>
      <c r="K352" s="20">
        <f t="shared" si="54"/>
        <v>0</v>
      </c>
      <c r="L352" s="20">
        <f t="shared" si="56"/>
        <v>0</v>
      </c>
      <c r="M352" s="20">
        <f t="shared" si="55"/>
        <v>0</v>
      </c>
      <c r="N352" s="20">
        <f>ABS(G352)</f>
        <v>0</v>
      </c>
      <c r="O352" s="20">
        <f>ABS(I352)</f>
        <v>0</v>
      </c>
      <c r="P352" s="20">
        <f>ABS(K352)</f>
        <v>0</v>
      </c>
      <c r="Q352" s="20">
        <f t="shared" si="51"/>
        <v>0</v>
      </c>
    </row>
    <row r="353" spans="4:17" x14ac:dyDescent="0.35">
      <c r="D353" s="20" t="str">
        <f t="shared" si="57"/>
        <v/>
      </c>
      <c r="E353" s="23" t="str">
        <f t="shared" si="58"/>
        <v/>
      </c>
      <c r="F353" s="23" t="str">
        <f t="shared" si="59"/>
        <v/>
      </c>
      <c r="G353" s="20">
        <f t="shared" si="52"/>
        <v>0</v>
      </c>
      <c r="H353" s="20">
        <f t="shared" si="56"/>
        <v>0</v>
      </c>
      <c r="I353" s="20">
        <f t="shared" si="53"/>
        <v>0</v>
      </c>
      <c r="J353" s="20">
        <f t="shared" si="56"/>
        <v>0</v>
      </c>
      <c r="K353" s="20">
        <f t="shared" si="54"/>
        <v>0</v>
      </c>
      <c r="L353" s="20">
        <f t="shared" si="56"/>
        <v>1</v>
      </c>
      <c r="M353" s="20">
        <f t="shared" si="55"/>
        <v>0</v>
      </c>
      <c r="N353" s="20">
        <f>ABS(G353)</f>
        <v>0</v>
      </c>
      <c r="O353" s="20">
        <f>ABS(I353)</f>
        <v>0</v>
      </c>
      <c r="P353" s="20">
        <f>ABS(K353)</f>
        <v>0</v>
      </c>
      <c r="Q353" s="20">
        <f t="shared" si="51"/>
        <v>0</v>
      </c>
    </row>
    <row r="354" spans="4:17" x14ac:dyDescent="0.35">
      <c r="D354" s="20" t="str">
        <f t="shared" si="57"/>
        <v/>
      </c>
      <c r="E354" s="23" t="str">
        <f t="shared" si="58"/>
        <v/>
      </c>
      <c r="F354" s="23" t="str">
        <f t="shared" si="59"/>
        <v/>
      </c>
      <c r="G354" s="20">
        <f t="shared" si="52"/>
        <v>0</v>
      </c>
      <c r="H354" s="20">
        <f t="shared" si="56"/>
        <v>1</v>
      </c>
      <c r="I354" s="20">
        <f t="shared" si="53"/>
        <v>0</v>
      </c>
      <c r="J354" s="20">
        <f t="shared" si="56"/>
        <v>0</v>
      </c>
      <c r="K354" s="20">
        <f t="shared" si="54"/>
        <v>0</v>
      </c>
      <c r="L354" s="20">
        <f t="shared" si="56"/>
        <v>0</v>
      </c>
      <c r="M354" s="20">
        <f t="shared" si="55"/>
        <v>0</v>
      </c>
      <c r="N354" s="20">
        <f>ABS(G354)</f>
        <v>0</v>
      </c>
      <c r="O354" s="20">
        <f>ABS(I354)</f>
        <v>0</v>
      </c>
      <c r="P354" s="20">
        <f>ABS(K354)</f>
        <v>0</v>
      </c>
      <c r="Q354" s="20">
        <f t="shared" si="51"/>
        <v>0</v>
      </c>
    </row>
    <row r="355" spans="4:17" x14ac:dyDescent="0.35">
      <c r="D355" s="20" t="str">
        <f t="shared" si="57"/>
        <v/>
      </c>
      <c r="E355" s="23" t="str">
        <f t="shared" si="58"/>
        <v/>
      </c>
      <c r="F355" s="23" t="str">
        <f t="shared" si="59"/>
        <v/>
      </c>
      <c r="G355" s="20">
        <f t="shared" si="52"/>
        <v>0</v>
      </c>
      <c r="H355" s="20">
        <f t="shared" si="56"/>
        <v>0</v>
      </c>
      <c r="I355" s="20">
        <f t="shared" si="53"/>
        <v>0</v>
      </c>
      <c r="J355" s="20">
        <f t="shared" si="56"/>
        <v>1</v>
      </c>
      <c r="K355" s="20">
        <f t="shared" si="54"/>
        <v>0</v>
      </c>
      <c r="L355" s="20">
        <f t="shared" si="56"/>
        <v>0</v>
      </c>
      <c r="M355" s="20">
        <f t="shared" si="55"/>
        <v>0</v>
      </c>
      <c r="N355" s="20">
        <f>ABS(G355)</f>
        <v>0</v>
      </c>
      <c r="O355" s="20">
        <f>ABS(I355)</f>
        <v>0</v>
      </c>
      <c r="P355" s="20">
        <f>ABS(K355)</f>
        <v>0</v>
      </c>
      <c r="Q355" s="20">
        <f t="shared" si="51"/>
        <v>0</v>
      </c>
    </row>
    <row r="356" spans="4:17" x14ac:dyDescent="0.35">
      <c r="D356" s="20" t="str">
        <f t="shared" si="57"/>
        <v/>
      </c>
      <c r="E356" s="23" t="str">
        <f t="shared" si="58"/>
        <v/>
      </c>
      <c r="F356" s="23" t="str">
        <f t="shared" si="59"/>
        <v/>
      </c>
      <c r="G356" s="20">
        <f t="shared" si="52"/>
        <v>0</v>
      </c>
      <c r="H356" s="20">
        <f t="shared" si="56"/>
        <v>0</v>
      </c>
      <c r="I356" s="20">
        <f t="shared" si="53"/>
        <v>0</v>
      </c>
      <c r="J356" s="20">
        <f t="shared" si="56"/>
        <v>0</v>
      </c>
      <c r="K356" s="20">
        <f t="shared" si="54"/>
        <v>0</v>
      </c>
      <c r="L356" s="20">
        <f t="shared" si="56"/>
        <v>1</v>
      </c>
      <c r="M356" s="20">
        <f t="shared" si="55"/>
        <v>0</v>
      </c>
      <c r="N356" s="20">
        <f>ABS(G356)</f>
        <v>0</v>
      </c>
      <c r="O356" s="20">
        <f>ABS(I356)</f>
        <v>0</v>
      </c>
      <c r="P356" s="20">
        <f>ABS(K356)</f>
        <v>0</v>
      </c>
      <c r="Q356" s="20">
        <f t="shared" si="51"/>
        <v>0</v>
      </c>
    </row>
    <row r="357" spans="4:17" x14ac:dyDescent="0.35">
      <c r="D357" s="20" t="str">
        <f t="shared" si="57"/>
        <v/>
      </c>
      <c r="E357" s="23" t="str">
        <f t="shared" si="58"/>
        <v/>
      </c>
      <c r="F357" s="23" t="str">
        <f t="shared" si="59"/>
        <v/>
      </c>
      <c r="G357" s="20">
        <f t="shared" si="52"/>
        <v>0</v>
      </c>
      <c r="H357" s="20">
        <f t="shared" si="56"/>
        <v>1</v>
      </c>
      <c r="I357" s="20">
        <f t="shared" si="53"/>
        <v>0</v>
      </c>
      <c r="J357" s="20">
        <f t="shared" si="56"/>
        <v>0</v>
      </c>
      <c r="K357" s="20">
        <f t="shared" si="54"/>
        <v>0</v>
      </c>
      <c r="L357" s="20">
        <f t="shared" si="56"/>
        <v>0</v>
      </c>
      <c r="M357" s="20">
        <f t="shared" si="55"/>
        <v>0</v>
      </c>
      <c r="N357" s="20">
        <f>ABS(G357)</f>
        <v>0</v>
      </c>
      <c r="O357" s="20">
        <f>ABS(I357)</f>
        <v>0</v>
      </c>
      <c r="P357" s="20">
        <f>ABS(K357)</f>
        <v>0</v>
      </c>
      <c r="Q357" s="20">
        <f t="shared" si="51"/>
        <v>0</v>
      </c>
    </row>
    <row r="358" spans="4:17" x14ac:dyDescent="0.35">
      <c r="D358" s="20" t="str">
        <f t="shared" si="57"/>
        <v/>
      </c>
      <c r="E358" s="23" t="str">
        <f t="shared" si="58"/>
        <v/>
      </c>
      <c r="F358" s="23" t="str">
        <f t="shared" si="59"/>
        <v/>
      </c>
      <c r="G358" s="20">
        <f t="shared" si="52"/>
        <v>0</v>
      </c>
      <c r="H358" s="20">
        <f t="shared" si="56"/>
        <v>0</v>
      </c>
      <c r="I358" s="20">
        <f t="shared" si="53"/>
        <v>0</v>
      </c>
      <c r="J358" s="20">
        <f t="shared" si="56"/>
        <v>1</v>
      </c>
      <c r="K358" s="20">
        <f t="shared" si="54"/>
        <v>0</v>
      </c>
      <c r="L358" s="20">
        <f t="shared" si="56"/>
        <v>0</v>
      </c>
      <c r="M358" s="20">
        <f t="shared" si="55"/>
        <v>0</v>
      </c>
      <c r="N358" s="20">
        <f>ABS(G358)</f>
        <v>0</v>
      </c>
      <c r="O358" s="20">
        <f>ABS(I358)</f>
        <v>0</v>
      </c>
      <c r="P358" s="20">
        <f>ABS(K358)</f>
        <v>0</v>
      </c>
      <c r="Q358" s="20">
        <f t="shared" si="51"/>
        <v>0</v>
      </c>
    </row>
    <row r="359" spans="4:17" x14ac:dyDescent="0.35">
      <c r="D359" s="20" t="str">
        <f t="shared" si="57"/>
        <v/>
      </c>
      <c r="E359" s="23" t="str">
        <f t="shared" si="58"/>
        <v/>
      </c>
      <c r="F359" s="23" t="str">
        <f t="shared" si="59"/>
        <v/>
      </c>
      <c r="G359" s="20">
        <f t="shared" si="52"/>
        <v>0</v>
      </c>
      <c r="H359" s="20">
        <f t="shared" si="56"/>
        <v>0</v>
      </c>
      <c r="I359" s="20">
        <f t="shared" si="53"/>
        <v>0</v>
      </c>
      <c r="J359" s="20">
        <f t="shared" si="56"/>
        <v>0</v>
      </c>
      <c r="K359" s="20">
        <f t="shared" si="54"/>
        <v>0</v>
      </c>
      <c r="L359" s="20">
        <f t="shared" si="56"/>
        <v>1</v>
      </c>
      <c r="M359" s="20">
        <f t="shared" si="55"/>
        <v>0</v>
      </c>
      <c r="N359" s="20">
        <f>ABS(G359)</f>
        <v>0</v>
      </c>
      <c r="O359" s="20">
        <f>ABS(I359)</f>
        <v>0</v>
      </c>
      <c r="P359" s="20">
        <f>ABS(K359)</f>
        <v>0</v>
      </c>
      <c r="Q359" s="20">
        <f t="shared" si="51"/>
        <v>0</v>
      </c>
    </row>
    <row r="360" spans="4:17" x14ac:dyDescent="0.35">
      <c r="D360" s="20" t="str">
        <f t="shared" si="57"/>
        <v/>
      </c>
      <c r="E360" s="23" t="str">
        <f t="shared" si="58"/>
        <v/>
      </c>
      <c r="F360" s="23" t="str">
        <f t="shared" si="59"/>
        <v/>
      </c>
      <c r="G360" s="20">
        <f t="shared" si="52"/>
        <v>0</v>
      </c>
      <c r="H360" s="20">
        <f t="shared" si="56"/>
        <v>1</v>
      </c>
      <c r="I360" s="20">
        <f t="shared" si="53"/>
        <v>0</v>
      </c>
      <c r="J360" s="20">
        <f t="shared" si="56"/>
        <v>0</v>
      </c>
      <c r="K360" s="20">
        <f t="shared" si="54"/>
        <v>0</v>
      </c>
      <c r="L360" s="20">
        <f t="shared" si="56"/>
        <v>0</v>
      </c>
      <c r="M360" s="20">
        <f t="shared" si="55"/>
        <v>0</v>
      </c>
      <c r="N360" s="20">
        <f>ABS(G360)</f>
        <v>0</v>
      </c>
      <c r="O360" s="20">
        <f>ABS(I360)</f>
        <v>0</v>
      </c>
      <c r="P360" s="20">
        <f>ABS(K360)</f>
        <v>0</v>
      </c>
      <c r="Q360" s="20">
        <f t="shared" si="51"/>
        <v>0</v>
      </c>
    </row>
    <row r="361" spans="4:17" x14ac:dyDescent="0.35">
      <c r="D361" s="20" t="str">
        <f t="shared" si="57"/>
        <v/>
      </c>
      <c r="E361" s="23" t="str">
        <f t="shared" si="58"/>
        <v/>
      </c>
      <c r="F361" s="23" t="str">
        <f t="shared" si="59"/>
        <v/>
      </c>
      <c r="G361" s="20">
        <f t="shared" si="52"/>
        <v>0</v>
      </c>
      <c r="H361" s="20">
        <f t="shared" si="56"/>
        <v>0</v>
      </c>
      <c r="I361" s="20">
        <f t="shared" si="53"/>
        <v>0</v>
      </c>
      <c r="J361" s="20">
        <f t="shared" si="56"/>
        <v>1</v>
      </c>
      <c r="K361" s="20">
        <f t="shared" si="54"/>
        <v>0</v>
      </c>
      <c r="L361" s="20">
        <f t="shared" si="56"/>
        <v>0</v>
      </c>
      <c r="M361" s="20">
        <f t="shared" si="55"/>
        <v>0</v>
      </c>
      <c r="N361" s="20">
        <f>ABS(G361)</f>
        <v>0</v>
      </c>
      <c r="O361" s="20">
        <f>ABS(I361)</f>
        <v>0</v>
      </c>
      <c r="P361" s="20">
        <f>ABS(K361)</f>
        <v>0</v>
      </c>
      <c r="Q361" s="20">
        <f t="shared" si="51"/>
        <v>0</v>
      </c>
    </row>
    <row r="362" spans="4:17" x14ac:dyDescent="0.35">
      <c r="D362" s="20" t="str">
        <f t="shared" si="57"/>
        <v/>
      </c>
      <c r="E362" s="23" t="str">
        <f t="shared" si="58"/>
        <v/>
      </c>
      <c r="F362" s="23" t="str">
        <f t="shared" si="59"/>
        <v/>
      </c>
      <c r="G362" s="20">
        <f t="shared" si="52"/>
        <v>0</v>
      </c>
      <c r="H362" s="20">
        <f t="shared" si="56"/>
        <v>0</v>
      </c>
      <c r="I362" s="20">
        <f t="shared" si="53"/>
        <v>0</v>
      </c>
      <c r="J362" s="20">
        <f t="shared" si="56"/>
        <v>0</v>
      </c>
      <c r="K362" s="20">
        <f t="shared" si="54"/>
        <v>0</v>
      </c>
      <c r="L362" s="20">
        <f t="shared" si="56"/>
        <v>1</v>
      </c>
      <c r="M362" s="20">
        <f t="shared" si="55"/>
        <v>0</v>
      </c>
      <c r="N362" s="20">
        <f>ABS(G362)</f>
        <v>0</v>
      </c>
      <c r="O362" s="20">
        <f>ABS(I362)</f>
        <v>0</v>
      </c>
      <c r="P362" s="20">
        <f>ABS(K362)</f>
        <v>0</v>
      </c>
      <c r="Q362" s="20">
        <f t="shared" si="51"/>
        <v>0</v>
      </c>
    </row>
    <row r="363" spans="4:17" x14ac:dyDescent="0.35">
      <c r="D363" s="20" t="str">
        <f t="shared" si="57"/>
        <v/>
      </c>
      <c r="E363" s="23" t="str">
        <f t="shared" si="58"/>
        <v/>
      </c>
      <c r="F363" s="23" t="str">
        <f t="shared" si="59"/>
        <v/>
      </c>
      <c r="G363" s="20">
        <f t="shared" si="52"/>
        <v>0</v>
      </c>
      <c r="H363" s="20">
        <f t="shared" si="56"/>
        <v>1</v>
      </c>
      <c r="I363" s="20">
        <f t="shared" si="53"/>
        <v>0</v>
      </c>
      <c r="J363" s="20">
        <f t="shared" si="56"/>
        <v>0</v>
      </c>
      <c r="K363" s="20">
        <f t="shared" si="54"/>
        <v>0</v>
      </c>
      <c r="L363" s="20">
        <f t="shared" si="56"/>
        <v>0</v>
      </c>
      <c r="M363" s="20">
        <f t="shared" si="55"/>
        <v>0</v>
      </c>
      <c r="N363" s="20">
        <f>ABS(G363)</f>
        <v>0</v>
      </c>
      <c r="O363" s="20">
        <f>ABS(I363)</f>
        <v>0</v>
      </c>
      <c r="P363" s="20">
        <f>ABS(K363)</f>
        <v>0</v>
      </c>
      <c r="Q363" s="20">
        <f t="shared" si="51"/>
        <v>0</v>
      </c>
    </row>
    <row r="364" spans="4:17" x14ac:dyDescent="0.35">
      <c r="D364" s="20" t="str">
        <f t="shared" si="57"/>
        <v/>
      </c>
      <c r="E364" s="23" t="str">
        <f t="shared" si="58"/>
        <v/>
      </c>
      <c r="F364" s="23" t="str">
        <f t="shared" si="59"/>
        <v/>
      </c>
      <c r="G364" s="20">
        <f t="shared" si="52"/>
        <v>0</v>
      </c>
      <c r="H364" s="20">
        <f t="shared" si="56"/>
        <v>0</v>
      </c>
      <c r="I364" s="20">
        <f t="shared" si="53"/>
        <v>0</v>
      </c>
      <c r="J364" s="20">
        <f t="shared" si="56"/>
        <v>1</v>
      </c>
      <c r="K364" s="20">
        <f t="shared" si="54"/>
        <v>0</v>
      </c>
      <c r="L364" s="20">
        <f t="shared" si="56"/>
        <v>0</v>
      </c>
      <c r="M364" s="20">
        <f t="shared" si="55"/>
        <v>0</v>
      </c>
      <c r="N364" s="20">
        <f>ABS(G364)</f>
        <v>0</v>
      </c>
      <c r="O364" s="20">
        <f>ABS(I364)</f>
        <v>0</v>
      </c>
      <c r="P364" s="20">
        <f>ABS(K364)</f>
        <v>0</v>
      </c>
      <c r="Q364" s="20">
        <f t="shared" si="51"/>
        <v>0</v>
      </c>
    </row>
    <row r="365" spans="4:17" x14ac:dyDescent="0.35">
      <c r="D365" s="20" t="str">
        <f t="shared" si="57"/>
        <v/>
      </c>
      <c r="E365" s="23" t="str">
        <f t="shared" si="58"/>
        <v/>
      </c>
      <c r="F365" s="23" t="str">
        <f t="shared" si="59"/>
        <v/>
      </c>
      <c r="G365" s="20">
        <f t="shared" si="52"/>
        <v>0</v>
      </c>
      <c r="H365" s="20">
        <f t="shared" si="56"/>
        <v>0</v>
      </c>
      <c r="I365" s="20">
        <f t="shared" si="53"/>
        <v>0</v>
      </c>
      <c r="J365" s="20">
        <f t="shared" si="56"/>
        <v>0</v>
      </c>
      <c r="K365" s="20">
        <f t="shared" si="54"/>
        <v>0</v>
      </c>
      <c r="L365" s="20">
        <f t="shared" si="56"/>
        <v>1</v>
      </c>
      <c r="M365" s="20">
        <f t="shared" si="55"/>
        <v>0</v>
      </c>
      <c r="N365" s="20">
        <f>ABS(G365)</f>
        <v>0</v>
      </c>
      <c r="O365" s="20">
        <f>ABS(I365)</f>
        <v>0</v>
      </c>
      <c r="P365" s="20">
        <f>ABS(K365)</f>
        <v>0</v>
      </c>
      <c r="Q365" s="20">
        <f t="shared" si="51"/>
        <v>0</v>
      </c>
    </row>
    <row r="366" spans="4:17" x14ac:dyDescent="0.35">
      <c r="D366" s="20" t="str">
        <f t="shared" si="57"/>
        <v/>
      </c>
      <c r="E366" s="23" t="str">
        <f t="shared" si="58"/>
        <v/>
      </c>
      <c r="F366" s="23" t="str">
        <f t="shared" si="59"/>
        <v/>
      </c>
      <c r="G366" s="20">
        <f t="shared" si="52"/>
        <v>0</v>
      </c>
      <c r="H366" s="20">
        <f t="shared" si="56"/>
        <v>1</v>
      </c>
      <c r="I366" s="20">
        <f t="shared" si="53"/>
        <v>0</v>
      </c>
      <c r="J366" s="20">
        <f t="shared" si="56"/>
        <v>0</v>
      </c>
      <c r="K366" s="20">
        <f t="shared" si="54"/>
        <v>0</v>
      </c>
      <c r="L366" s="20">
        <f t="shared" si="56"/>
        <v>0</v>
      </c>
      <c r="M366" s="20">
        <f t="shared" si="55"/>
        <v>0</v>
      </c>
      <c r="N366" s="20">
        <f>ABS(G366)</f>
        <v>0</v>
      </c>
      <c r="O366" s="20">
        <f>ABS(I366)</f>
        <v>0</v>
      </c>
      <c r="P366" s="20">
        <f>ABS(K366)</f>
        <v>0</v>
      </c>
      <c r="Q366" s="20">
        <f t="shared" si="51"/>
        <v>0</v>
      </c>
    </row>
    <row r="367" spans="4:17" x14ac:dyDescent="0.35">
      <c r="D367" s="20" t="str">
        <f t="shared" si="57"/>
        <v/>
      </c>
      <c r="E367" s="23" t="str">
        <f t="shared" si="58"/>
        <v/>
      </c>
      <c r="F367" s="23" t="str">
        <f t="shared" si="59"/>
        <v/>
      </c>
      <c r="G367" s="20">
        <f t="shared" si="52"/>
        <v>0</v>
      </c>
      <c r="H367" s="20">
        <f t="shared" si="56"/>
        <v>0</v>
      </c>
      <c r="I367" s="20">
        <f t="shared" si="53"/>
        <v>0</v>
      </c>
      <c r="J367" s="20">
        <f t="shared" si="56"/>
        <v>1</v>
      </c>
      <c r="K367" s="20">
        <f t="shared" si="54"/>
        <v>0</v>
      </c>
      <c r="L367" s="20">
        <f t="shared" si="56"/>
        <v>0</v>
      </c>
      <c r="M367" s="20">
        <f t="shared" si="55"/>
        <v>0</v>
      </c>
      <c r="N367" s="20">
        <f>ABS(G367)</f>
        <v>0</v>
      </c>
      <c r="O367" s="20">
        <f>ABS(I367)</f>
        <v>0</v>
      </c>
      <c r="P367" s="20">
        <f>ABS(K367)</f>
        <v>0</v>
      </c>
      <c r="Q367" s="20">
        <f t="shared" si="51"/>
        <v>0</v>
      </c>
    </row>
    <row r="368" spans="4:17" x14ac:dyDescent="0.35">
      <c r="D368" s="20" t="str">
        <f t="shared" si="57"/>
        <v/>
      </c>
      <c r="E368" s="23" t="str">
        <f t="shared" si="58"/>
        <v/>
      </c>
      <c r="F368" s="23" t="str">
        <f t="shared" si="59"/>
        <v/>
      </c>
      <c r="G368" s="20">
        <f t="shared" si="52"/>
        <v>0</v>
      </c>
      <c r="H368" s="20">
        <f t="shared" si="56"/>
        <v>0</v>
      </c>
      <c r="I368" s="20">
        <f t="shared" si="53"/>
        <v>0</v>
      </c>
      <c r="J368" s="20">
        <f t="shared" si="56"/>
        <v>0</v>
      </c>
      <c r="K368" s="20">
        <f t="shared" si="54"/>
        <v>0</v>
      </c>
      <c r="L368" s="20">
        <f t="shared" si="56"/>
        <v>1</v>
      </c>
      <c r="M368" s="20">
        <f t="shared" si="55"/>
        <v>0</v>
      </c>
      <c r="N368" s="20">
        <f>ABS(G368)</f>
        <v>0</v>
      </c>
      <c r="O368" s="20">
        <f>ABS(I368)</f>
        <v>0</v>
      </c>
      <c r="P368" s="20">
        <f>ABS(K368)</f>
        <v>0</v>
      </c>
      <c r="Q368" s="20">
        <f t="shared" si="51"/>
        <v>0</v>
      </c>
    </row>
    <row r="369" spans="4:17" x14ac:dyDescent="0.35">
      <c r="D369" s="20" t="str">
        <f t="shared" si="57"/>
        <v/>
      </c>
      <c r="E369" s="23" t="str">
        <f t="shared" si="58"/>
        <v/>
      </c>
      <c r="F369" s="23" t="str">
        <f t="shared" si="59"/>
        <v/>
      </c>
      <c r="G369" s="20">
        <f t="shared" si="52"/>
        <v>0</v>
      </c>
      <c r="H369" s="20">
        <f t="shared" si="56"/>
        <v>1</v>
      </c>
      <c r="I369" s="20">
        <f t="shared" si="53"/>
        <v>0</v>
      </c>
      <c r="J369" s="20">
        <f t="shared" si="56"/>
        <v>0</v>
      </c>
      <c r="K369" s="20">
        <f t="shared" si="54"/>
        <v>0</v>
      </c>
      <c r="L369" s="20">
        <f t="shared" si="56"/>
        <v>0</v>
      </c>
      <c r="M369" s="20">
        <f t="shared" si="55"/>
        <v>0</v>
      </c>
      <c r="N369" s="20">
        <f>ABS(G369)</f>
        <v>0</v>
      </c>
      <c r="O369" s="20">
        <f>ABS(I369)</f>
        <v>0</v>
      </c>
      <c r="P369" s="20">
        <f>ABS(K369)</f>
        <v>0</v>
      </c>
      <c r="Q369" s="20">
        <f t="shared" si="51"/>
        <v>0</v>
      </c>
    </row>
    <row r="370" spans="4:17" x14ac:dyDescent="0.35">
      <c r="D370" s="20" t="str">
        <f t="shared" si="57"/>
        <v/>
      </c>
      <c r="E370" s="23" t="str">
        <f t="shared" si="58"/>
        <v/>
      </c>
      <c r="F370" s="23" t="str">
        <f t="shared" si="59"/>
        <v/>
      </c>
      <c r="G370" s="20">
        <f t="shared" si="52"/>
        <v>0</v>
      </c>
      <c r="H370" s="20">
        <f t="shared" si="56"/>
        <v>0</v>
      </c>
      <c r="I370" s="20">
        <f t="shared" si="53"/>
        <v>0</v>
      </c>
      <c r="J370" s="20">
        <f t="shared" si="56"/>
        <v>1</v>
      </c>
      <c r="K370" s="20">
        <f t="shared" si="54"/>
        <v>0</v>
      </c>
      <c r="L370" s="20">
        <f t="shared" si="56"/>
        <v>0</v>
      </c>
      <c r="M370" s="20">
        <f t="shared" si="55"/>
        <v>0</v>
      </c>
      <c r="N370" s="20">
        <f>ABS(G370)</f>
        <v>0</v>
      </c>
      <c r="O370" s="20">
        <f>ABS(I370)</f>
        <v>0</v>
      </c>
      <c r="P370" s="20">
        <f>ABS(K370)</f>
        <v>0</v>
      </c>
      <c r="Q370" s="20">
        <f t="shared" si="51"/>
        <v>0</v>
      </c>
    </row>
    <row r="371" spans="4:17" x14ac:dyDescent="0.35">
      <c r="D371" s="20" t="str">
        <f t="shared" si="57"/>
        <v/>
      </c>
      <c r="E371" s="23" t="str">
        <f t="shared" si="58"/>
        <v/>
      </c>
      <c r="F371" s="23" t="str">
        <f t="shared" si="59"/>
        <v/>
      </c>
      <c r="G371" s="20">
        <f t="shared" si="52"/>
        <v>0</v>
      </c>
      <c r="H371" s="20">
        <f t="shared" si="56"/>
        <v>0</v>
      </c>
      <c r="I371" s="20">
        <f t="shared" si="53"/>
        <v>0</v>
      </c>
      <c r="J371" s="20">
        <f t="shared" si="56"/>
        <v>0</v>
      </c>
      <c r="K371" s="20">
        <f t="shared" si="54"/>
        <v>0</v>
      </c>
      <c r="L371" s="20">
        <f t="shared" si="56"/>
        <v>1</v>
      </c>
      <c r="M371" s="20">
        <f t="shared" si="55"/>
        <v>0</v>
      </c>
      <c r="N371" s="20">
        <f>ABS(G371)</f>
        <v>0</v>
      </c>
      <c r="O371" s="20">
        <f>ABS(I371)</f>
        <v>0</v>
      </c>
      <c r="P371" s="20">
        <f>ABS(K371)</f>
        <v>0</v>
      </c>
      <c r="Q371" s="20">
        <f t="shared" si="51"/>
        <v>0</v>
      </c>
    </row>
    <row r="372" spans="4:17" x14ac:dyDescent="0.35">
      <c r="D372" s="20" t="str">
        <f t="shared" si="57"/>
        <v/>
      </c>
      <c r="E372" s="23" t="str">
        <f t="shared" si="58"/>
        <v/>
      </c>
      <c r="F372" s="23" t="str">
        <f t="shared" si="59"/>
        <v/>
      </c>
      <c r="G372" s="20">
        <f t="shared" si="52"/>
        <v>0</v>
      </c>
      <c r="H372" s="20">
        <f t="shared" si="56"/>
        <v>1</v>
      </c>
      <c r="I372" s="20">
        <f t="shared" si="53"/>
        <v>0</v>
      </c>
      <c r="J372" s="20">
        <f t="shared" si="56"/>
        <v>0</v>
      </c>
      <c r="K372" s="20">
        <f t="shared" si="54"/>
        <v>0</v>
      </c>
      <c r="L372" s="20">
        <f t="shared" si="56"/>
        <v>0</v>
      </c>
      <c r="M372" s="20">
        <f t="shared" si="55"/>
        <v>0</v>
      </c>
      <c r="N372" s="20">
        <f>ABS(G372)</f>
        <v>0</v>
      </c>
      <c r="O372" s="20">
        <f>ABS(I372)</f>
        <v>0</v>
      </c>
      <c r="P372" s="20">
        <f>ABS(K372)</f>
        <v>0</v>
      </c>
      <c r="Q372" s="20">
        <f t="shared" si="51"/>
        <v>0</v>
      </c>
    </row>
    <row r="373" spans="4:17" x14ac:dyDescent="0.35">
      <c r="D373" s="20" t="str">
        <f t="shared" si="57"/>
        <v/>
      </c>
      <c r="E373" s="23" t="str">
        <f t="shared" si="58"/>
        <v/>
      </c>
      <c r="F373" s="23" t="str">
        <f t="shared" si="59"/>
        <v/>
      </c>
      <c r="G373" s="20">
        <f t="shared" si="52"/>
        <v>0</v>
      </c>
      <c r="H373" s="20">
        <f t="shared" si="56"/>
        <v>0</v>
      </c>
      <c r="I373" s="20">
        <f t="shared" si="53"/>
        <v>0</v>
      </c>
      <c r="J373" s="20">
        <f t="shared" si="56"/>
        <v>1</v>
      </c>
      <c r="K373" s="20">
        <f t="shared" si="54"/>
        <v>0</v>
      </c>
      <c r="L373" s="20">
        <f t="shared" si="56"/>
        <v>0</v>
      </c>
      <c r="M373" s="20">
        <f t="shared" si="55"/>
        <v>0</v>
      </c>
      <c r="N373" s="20">
        <f>ABS(G373)</f>
        <v>0</v>
      </c>
      <c r="O373" s="20">
        <f>ABS(I373)</f>
        <v>0</v>
      </c>
      <c r="P373" s="20">
        <f>ABS(K373)</f>
        <v>0</v>
      </c>
      <c r="Q373" s="20">
        <f t="shared" si="51"/>
        <v>0</v>
      </c>
    </row>
    <row r="374" spans="4:17" x14ac:dyDescent="0.35">
      <c r="D374" s="20" t="str">
        <f t="shared" si="57"/>
        <v/>
      </c>
      <c r="E374" s="23" t="str">
        <f t="shared" si="58"/>
        <v/>
      </c>
      <c r="F374" s="23" t="str">
        <f t="shared" si="59"/>
        <v/>
      </c>
      <c r="G374" s="20">
        <f t="shared" si="52"/>
        <v>0</v>
      </c>
      <c r="H374" s="20">
        <f t="shared" si="56"/>
        <v>0</v>
      </c>
      <c r="I374" s="20">
        <f t="shared" si="53"/>
        <v>0</v>
      </c>
      <c r="J374" s="20">
        <f t="shared" si="56"/>
        <v>0</v>
      </c>
      <c r="K374" s="20">
        <f t="shared" si="54"/>
        <v>0</v>
      </c>
      <c r="L374" s="20">
        <f t="shared" si="56"/>
        <v>1</v>
      </c>
      <c r="M374" s="20">
        <f t="shared" si="55"/>
        <v>0</v>
      </c>
      <c r="N374" s="20">
        <f>ABS(G374)</f>
        <v>0</v>
      </c>
      <c r="O374" s="20">
        <f>ABS(I374)</f>
        <v>0</v>
      </c>
      <c r="P374" s="20">
        <f>ABS(K374)</f>
        <v>0</v>
      </c>
      <c r="Q374" s="20">
        <f t="shared" si="51"/>
        <v>0</v>
      </c>
    </row>
    <row r="375" spans="4:17" x14ac:dyDescent="0.35">
      <c r="D375" s="20" t="str">
        <f t="shared" si="57"/>
        <v/>
      </c>
      <c r="E375" s="23" t="str">
        <f t="shared" si="58"/>
        <v/>
      </c>
      <c r="F375" s="23" t="str">
        <f t="shared" si="59"/>
        <v/>
      </c>
      <c r="G375" s="20">
        <f t="shared" si="52"/>
        <v>0</v>
      </c>
      <c r="H375" s="20">
        <f t="shared" si="56"/>
        <v>1</v>
      </c>
      <c r="I375" s="20">
        <f t="shared" si="53"/>
        <v>0</v>
      </c>
      <c r="J375" s="20">
        <f t="shared" si="56"/>
        <v>0</v>
      </c>
      <c r="K375" s="20">
        <f t="shared" si="54"/>
        <v>0</v>
      </c>
      <c r="L375" s="20">
        <f t="shared" si="56"/>
        <v>0</v>
      </c>
      <c r="M375" s="20">
        <f t="shared" si="55"/>
        <v>0</v>
      </c>
      <c r="N375" s="20">
        <f>ABS(G375)</f>
        <v>0</v>
      </c>
      <c r="O375" s="20">
        <f>ABS(I375)</f>
        <v>0</v>
      </c>
      <c r="P375" s="20">
        <f>ABS(K375)</f>
        <v>0</v>
      </c>
      <c r="Q375" s="20">
        <f t="shared" si="51"/>
        <v>0</v>
      </c>
    </row>
    <row r="376" spans="4:17" x14ac:dyDescent="0.35">
      <c r="D376" s="20" t="str">
        <f t="shared" si="57"/>
        <v/>
      </c>
      <c r="E376" s="23" t="str">
        <f t="shared" si="58"/>
        <v/>
      </c>
      <c r="F376" s="23" t="str">
        <f t="shared" si="59"/>
        <v/>
      </c>
      <c r="G376" s="20">
        <f t="shared" si="52"/>
        <v>0</v>
      </c>
      <c r="H376" s="20">
        <f t="shared" si="56"/>
        <v>0</v>
      </c>
      <c r="I376" s="20">
        <f t="shared" si="53"/>
        <v>0</v>
      </c>
      <c r="J376" s="20">
        <f t="shared" si="56"/>
        <v>1</v>
      </c>
      <c r="K376" s="20">
        <f t="shared" si="54"/>
        <v>0</v>
      </c>
      <c r="L376" s="20">
        <f t="shared" si="56"/>
        <v>0</v>
      </c>
      <c r="M376" s="20">
        <f t="shared" si="55"/>
        <v>0</v>
      </c>
      <c r="N376" s="20">
        <f>ABS(G376)</f>
        <v>0</v>
      </c>
      <c r="O376" s="20">
        <f>ABS(I376)</f>
        <v>0</v>
      </c>
      <c r="P376" s="20">
        <f>ABS(K376)</f>
        <v>0</v>
      </c>
      <c r="Q376" s="20">
        <f t="shared" si="51"/>
        <v>0</v>
      </c>
    </row>
    <row r="377" spans="4:17" x14ac:dyDescent="0.35">
      <c r="D377" s="20" t="str">
        <f t="shared" si="57"/>
        <v/>
      </c>
      <c r="E377" s="23" t="str">
        <f t="shared" si="58"/>
        <v/>
      </c>
      <c r="F377" s="23" t="str">
        <f t="shared" si="59"/>
        <v/>
      </c>
      <c r="G377" s="20">
        <f t="shared" si="52"/>
        <v>0</v>
      </c>
      <c r="H377" s="20">
        <f t="shared" si="56"/>
        <v>0</v>
      </c>
      <c r="I377" s="20">
        <f t="shared" si="53"/>
        <v>0</v>
      </c>
      <c r="J377" s="20">
        <f t="shared" si="56"/>
        <v>0</v>
      </c>
      <c r="K377" s="20">
        <f t="shared" si="54"/>
        <v>0</v>
      </c>
      <c r="L377" s="20">
        <f t="shared" si="56"/>
        <v>1</v>
      </c>
      <c r="M377" s="20">
        <f t="shared" si="55"/>
        <v>0</v>
      </c>
      <c r="N377" s="20">
        <f>ABS(G377)</f>
        <v>0</v>
      </c>
      <c r="O377" s="20">
        <f>ABS(I377)</f>
        <v>0</v>
      </c>
      <c r="P377" s="20">
        <f>ABS(K377)</f>
        <v>0</v>
      </c>
      <c r="Q377" s="20">
        <f t="shared" si="51"/>
        <v>0</v>
      </c>
    </row>
    <row r="378" spans="4:17" x14ac:dyDescent="0.35">
      <c r="D378" s="20" t="str">
        <f t="shared" si="57"/>
        <v/>
      </c>
      <c r="E378" s="23" t="str">
        <f t="shared" si="58"/>
        <v/>
      </c>
      <c r="F378" s="23" t="str">
        <f t="shared" si="59"/>
        <v/>
      </c>
      <c r="G378" s="20">
        <f t="shared" si="52"/>
        <v>0</v>
      </c>
      <c r="H378" s="20">
        <f t="shared" si="56"/>
        <v>1</v>
      </c>
      <c r="I378" s="20">
        <f t="shared" si="53"/>
        <v>0</v>
      </c>
      <c r="J378" s="20">
        <f t="shared" si="56"/>
        <v>0</v>
      </c>
      <c r="K378" s="20">
        <f t="shared" si="54"/>
        <v>0</v>
      </c>
      <c r="L378" s="20">
        <f t="shared" si="56"/>
        <v>0</v>
      </c>
      <c r="M378" s="20">
        <f t="shared" si="55"/>
        <v>0</v>
      </c>
      <c r="N378" s="20">
        <f>ABS(G378)</f>
        <v>0</v>
      </c>
      <c r="O378" s="20">
        <f>ABS(I378)</f>
        <v>0</v>
      </c>
      <c r="P378" s="20">
        <f>ABS(K378)</f>
        <v>0</v>
      </c>
      <c r="Q378" s="20">
        <f t="shared" si="51"/>
        <v>0</v>
      </c>
    </row>
    <row r="379" spans="4:17" x14ac:dyDescent="0.35">
      <c r="D379" s="20" t="str">
        <f t="shared" si="57"/>
        <v/>
      </c>
      <c r="E379" s="23" t="str">
        <f t="shared" si="58"/>
        <v/>
      </c>
      <c r="F379" s="23" t="str">
        <f t="shared" si="59"/>
        <v/>
      </c>
      <c r="G379" s="20">
        <f t="shared" si="52"/>
        <v>0</v>
      </c>
      <c r="H379" s="20">
        <f t="shared" si="56"/>
        <v>0</v>
      </c>
      <c r="I379" s="20">
        <f t="shared" si="53"/>
        <v>0</v>
      </c>
      <c r="J379" s="20">
        <f t="shared" si="56"/>
        <v>1</v>
      </c>
      <c r="K379" s="20">
        <f t="shared" si="54"/>
        <v>0</v>
      </c>
      <c r="L379" s="20">
        <f t="shared" si="56"/>
        <v>0</v>
      </c>
      <c r="M379" s="20">
        <f t="shared" si="55"/>
        <v>0</v>
      </c>
      <c r="N379" s="20">
        <f>ABS(G379)</f>
        <v>0</v>
      </c>
      <c r="O379" s="20">
        <f>ABS(I379)</f>
        <v>0</v>
      </c>
      <c r="P379" s="20">
        <f>ABS(K379)</f>
        <v>0</v>
      </c>
      <c r="Q379" s="20">
        <f t="shared" si="51"/>
        <v>0</v>
      </c>
    </row>
    <row r="380" spans="4:17" x14ac:dyDescent="0.35">
      <c r="D380" s="20" t="str">
        <f t="shared" si="57"/>
        <v/>
      </c>
      <c r="E380" s="23" t="str">
        <f t="shared" si="58"/>
        <v/>
      </c>
      <c r="F380" s="23" t="str">
        <f t="shared" si="59"/>
        <v/>
      </c>
      <c r="G380" s="20">
        <f t="shared" si="52"/>
        <v>0</v>
      </c>
      <c r="H380" s="20">
        <f t="shared" si="56"/>
        <v>0</v>
      </c>
      <c r="I380" s="20">
        <f t="shared" si="53"/>
        <v>0</v>
      </c>
      <c r="J380" s="20">
        <f t="shared" si="56"/>
        <v>0</v>
      </c>
      <c r="K380" s="20">
        <f t="shared" si="54"/>
        <v>0</v>
      </c>
      <c r="L380" s="20">
        <f t="shared" si="56"/>
        <v>1</v>
      </c>
      <c r="M380" s="20">
        <f t="shared" si="55"/>
        <v>0</v>
      </c>
      <c r="N380" s="20">
        <f>ABS(G380)</f>
        <v>0</v>
      </c>
      <c r="O380" s="20">
        <f>ABS(I380)</f>
        <v>0</v>
      </c>
      <c r="P380" s="20">
        <f>ABS(K380)</f>
        <v>0</v>
      </c>
      <c r="Q380" s="20">
        <f t="shared" si="51"/>
        <v>0</v>
      </c>
    </row>
    <row r="381" spans="4:17" x14ac:dyDescent="0.35">
      <c r="D381" s="20" t="str">
        <f t="shared" si="57"/>
        <v/>
      </c>
      <c r="E381" s="23" t="str">
        <f t="shared" si="58"/>
        <v/>
      </c>
      <c r="F381" s="23" t="str">
        <f t="shared" si="59"/>
        <v/>
      </c>
      <c r="G381" s="20">
        <f t="shared" si="52"/>
        <v>0</v>
      </c>
      <c r="H381" s="20">
        <f t="shared" si="56"/>
        <v>1</v>
      </c>
      <c r="I381" s="20">
        <f t="shared" si="53"/>
        <v>0</v>
      </c>
      <c r="J381" s="20">
        <f t="shared" si="56"/>
        <v>0</v>
      </c>
      <c r="K381" s="20">
        <f t="shared" si="54"/>
        <v>0</v>
      </c>
      <c r="L381" s="20">
        <f t="shared" si="56"/>
        <v>0</v>
      </c>
      <c r="M381" s="20">
        <f t="shared" si="55"/>
        <v>0</v>
      </c>
      <c r="N381" s="20">
        <f>ABS(G381)</f>
        <v>0</v>
      </c>
      <c r="O381" s="20">
        <f>ABS(I381)</f>
        <v>0</v>
      </c>
      <c r="P381" s="20">
        <f>ABS(K381)</f>
        <v>0</v>
      </c>
      <c r="Q381" s="20">
        <f t="shared" si="51"/>
        <v>0</v>
      </c>
    </row>
    <row r="382" spans="4:17" x14ac:dyDescent="0.35">
      <c r="D382" s="20" t="str">
        <f t="shared" si="57"/>
        <v/>
      </c>
      <c r="E382" s="23" t="str">
        <f t="shared" si="58"/>
        <v/>
      </c>
      <c r="F382" s="23" t="str">
        <f t="shared" si="59"/>
        <v/>
      </c>
      <c r="G382" s="20">
        <f t="shared" si="52"/>
        <v>0</v>
      </c>
      <c r="H382" s="20">
        <f t="shared" si="56"/>
        <v>0</v>
      </c>
      <c r="I382" s="20">
        <f t="shared" si="53"/>
        <v>0</v>
      </c>
      <c r="J382" s="20">
        <f t="shared" si="56"/>
        <v>1</v>
      </c>
      <c r="K382" s="20">
        <f t="shared" si="54"/>
        <v>0</v>
      </c>
      <c r="L382" s="20">
        <f t="shared" si="56"/>
        <v>0</v>
      </c>
      <c r="M382" s="20">
        <f t="shared" si="55"/>
        <v>0</v>
      </c>
      <c r="N382" s="20">
        <f>ABS(G382)</f>
        <v>0</v>
      </c>
      <c r="O382" s="20">
        <f>ABS(I382)</f>
        <v>0</v>
      </c>
      <c r="P382" s="20">
        <f>ABS(K382)</f>
        <v>0</v>
      </c>
      <c r="Q382" s="20">
        <f t="shared" si="51"/>
        <v>0</v>
      </c>
    </row>
    <row r="383" spans="4:17" x14ac:dyDescent="0.35">
      <c r="D383" s="20" t="str">
        <f t="shared" si="57"/>
        <v/>
      </c>
      <c r="E383" s="23" t="str">
        <f t="shared" si="58"/>
        <v/>
      </c>
      <c r="F383" s="23" t="str">
        <f t="shared" si="59"/>
        <v/>
      </c>
      <c r="G383" s="20">
        <f t="shared" si="52"/>
        <v>0</v>
      </c>
      <c r="H383" s="20">
        <f t="shared" si="56"/>
        <v>0</v>
      </c>
      <c r="I383" s="20">
        <f t="shared" si="53"/>
        <v>0</v>
      </c>
      <c r="J383" s="20">
        <f t="shared" si="56"/>
        <v>0</v>
      </c>
      <c r="K383" s="20">
        <f t="shared" si="54"/>
        <v>0</v>
      </c>
      <c r="L383" s="20">
        <f t="shared" si="56"/>
        <v>1</v>
      </c>
      <c r="M383" s="20">
        <f t="shared" si="55"/>
        <v>0</v>
      </c>
      <c r="N383" s="20">
        <f>ABS(G383)</f>
        <v>0</v>
      </c>
      <c r="O383" s="20">
        <f>ABS(I383)</f>
        <v>0</v>
      </c>
      <c r="P383" s="20">
        <f>ABS(K383)</f>
        <v>0</v>
      </c>
      <c r="Q383" s="20">
        <f t="shared" si="51"/>
        <v>0</v>
      </c>
    </row>
    <row r="384" spans="4:17" x14ac:dyDescent="0.35">
      <c r="D384" s="20" t="str">
        <f t="shared" si="57"/>
        <v/>
      </c>
      <c r="E384" s="23" t="str">
        <f t="shared" si="58"/>
        <v/>
      </c>
      <c r="F384" s="23" t="str">
        <f t="shared" si="59"/>
        <v/>
      </c>
      <c r="G384" s="20">
        <f t="shared" si="52"/>
        <v>0</v>
      </c>
      <c r="H384" s="20">
        <f t="shared" si="56"/>
        <v>1</v>
      </c>
      <c r="I384" s="20">
        <f t="shared" si="53"/>
        <v>0</v>
      </c>
      <c r="J384" s="20">
        <f t="shared" si="56"/>
        <v>0</v>
      </c>
      <c r="K384" s="20">
        <f t="shared" si="54"/>
        <v>0</v>
      </c>
      <c r="L384" s="20">
        <f t="shared" si="56"/>
        <v>0</v>
      </c>
      <c r="M384" s="20">
        <f t="shared" si="55"/>
        <v>0</v>
      </c>
      <c r="N384" s="20">
        <f>ABS(G384)</f>
        <v>0</v>
      </c>
      <c r="O384" s="20">
        <f>ABS(I384)</f>
        <v>0</v>
      </c>
      <c r="P384" s="20">
        <f>ABS(K384)</f>
        <v>0</v>
      </c>
      <c r="Q384" s="20">
        <f t="shared" si="51"/>
        <v>0</v>
      </c>
    </row>
    <row r="385" spans="4:17" x14ac:dyDescent="0.35">
      <c r="D385" s="20" t="str">
        <f t="shared" si="57"/>
        <v/>
      </c>
      <c r="E385" s="23" t="str">
        <f t="shared" si="58"/>
        <v/>
      </c>
      <c r="F385" s="23" t="str">
        <f t="shared" si="59"/>
        <v/>
      </c>
      <c r="G385" s="20">
        <f t="shared" si="52"/>
        <v>0</v>
      </c>
      <c r="H385" s="20">
        <f t="shared" si="56"/>
        <v>0</v>
      </c>
      <c r="I385" s="20">
        <f t="shared" si="53"/>
        <v>0</v>
      </c>
      <c r="J385" s="20">
        <f t="shared" si="56"/>
        <v>1</v>
      </c>
      <c r="K385" s="20">
        <f t="shared" si="54"/>
        <v>0</v>
      </c>
      <c r="L385" s="20">
        <f t="shared" si="56"/>
        <v>0</v>
      </c>
      <c r="M385" s="20">
        <f t="shared" si="55"/>
        <v>0</v>
      </c>
      <c r="N385" s="20">
        <f>ABS(G385)</f>
        <v>0</v>
      </c>
      <c r="O385" s="20">
        <f>ABS(I385)</f>
        <v>0</v>
      </c>
      <c r="P385" s="20">
        <f>ABS(K385)</f>
        <v>0</v>
      </c>
      <c r="Q385" s="20">
        <f t="shared" si="51"/>
        <v>0</v>
      </c>
    </row>
    <row r="386" spans="4:17" x14ac:dyDescent="0.35">
      <c r="D386" s="20" t="str">
        <f t="shared" si="57"/>
        <v/>
      </c>
      <c r="E386" s="23" t="str">
        <f t="shared" si="58"/>
        <v/>
      </c>
      <c r="F386" s="23" t="str">
        <f t="shared" si="59"/>
        <v/>
      </c>
      <c r="G386" s="20">
        <f t="shared" si="52"/>
        <v>0</v>
      </c>
      <c r="H386" s="20">
        <f t="shared" si="56"/>
        <v>0</v>
      </c>
      <c r="I386" s="20">
        <f t="shared" si="53"/>
        <v>0</v>
      </c>
      <c r="J386" s="20">
        <f t="shared" si="56"/>
        <v>0</v>
      </c>
      <c r="K386" s="20">
        <f t="shared" si="54"/>
        <v>0</v>
      </c>
      <c r="L386" s="20">
        <f t="shared" si="56"/>
        <v>1</v>
      </c>
      <c r="M386" s="20">
        <f t="shared" si="55"/>
        <v>0</v>
      </c>
      <c r="N386" s="20">
        <f>ABS(G386)</f>
        <v>0</v>
      </c>
      <c r="O386" s="20">
        <f>ABS(I386)</f>
        <v>0</v>
      </c>
      <c r="P386" s="20">
        <f>ABS(K386)</f>
        <v>0</v>
      </c>
      <c r="Q386" s="20">
        <f t="shared" ref="Q386:Q449" si="60">ABS(M386)</f>
        <v>0</v>
      </c>
    </row>
    <row r="387" spans="4:17" x14ac:dyDescent="0.35">
      <c r="D387" s="20" t="str">
        <f t="shared" si="57"/>
        <v/>
      </c>
      <c r="E387" s="23" t="str">
        <f t="shared" si="58"/>
        <v/>
      </c>
      <c r="F387" s="23" t="str">
        <f t="shared" si="59"/>
        <v/>
      </c>
      <c r="G387" s="20">
        <f t="shared" si="52"/>
        <v>0</v>
      </c>
      <c r="H387" s="20">
        <f t="shared" si="56"/>
        <v>1</v>
      </c>
      <c r="I387" s="20">
        <f t="shared" si="53"/>
        <v>0</v>
      </c>
      <c r="J387" s="20">
        <f t="shared" si="56"/>
        <v>0</v>
      </c>
      <c r="K387" s="20">
        <f t="shared" si="54"/>
        <v>0</v>
      </c>
      <c r="L387" s="20">
        <f t="shared" si="56"/>
        <v>0</v>
      </c>
      <c r="M387" s="20">
        <f t="shared" si="55"/>
        <v>0</v>
      </c>
      <c r="N387" s="20">
        <f>ABS(G387)</f>
        <v>0</v>
      </c>
      <c r="O387" s="20">
        <f>ABS(I387)</f>
        <v>0</v>
      </c>
      <c r="P387" s="20">
        <f>ABS(K387)</f>
        <v>0</v>
      </c>
      <c r="Q387" s="20">
        <f t="shared" ref="Q387:Q449" si="61">ABS(M387)</f>
        <v>0</v>
      </c>
    </row>
    <row r="388" spans="4:17" x14ac:dyDescent="0.35">
      <c r="D388" s="20" t="str">
        <f t="shared" si="57"/>
        <v/>
      </c>
      <c r="E388" s="23" t="str">
        <f t="shared" si="58"/>
        <v/>
      </c>
      <c r="F388" s="23" t="str">
        <f t="shared" si="59"/>
        <v/>
      </c>
      <c r="G388" s="20">
        <f t="shared" ref="G388:G451" si="62">IF(D388=$B$5+1,F388,0)</f>
        <v>0</v>
      </c>
      <c r="H388" s="20">
        <f t="shared" si="56"/>
        <v>0</v>
      </c>
      <c r="I388" s="20">
        <f t="shared" ref="I388:I451" si="63">IF(D387&lt;$B$5,F388*H388,0)</f>
        <v>0</v>
      </c>
      <c r="J388" s="20">
        <f t="shared" si="56"/>
        <v>1</v>
      </c>
      <c r="K388" s="20">
        <f t="shared" ref="K388:K451" si="64">IF(D387&lt;$B$5,F388*J388,0)</f>
        <v>0</v>
      </c>
      <c r="L388" s="20">
        <f t="shared" si="56"/>
        <v>0</v>
      </c>
      <c r="M388" s="20">
        <f t="shared" ref="M388:M451" si="65">IF(D387&lt;$B$5,F388*L388,0)</f>
        <v>0</v>
      </c>
      <c r="N388" s="20">
        <f>ABS(G388)</f>
        <v>0</v>
      </c>
      <c r="O388" s="20">
        <f>ABS(I388)</f>
        <v>0</v>
      </c>
      <c r="P388" s="20">
        <f>ABS(K388)</f>
        <v>0</v>
      </c>
      <c r="Q388" s="20">
        <f t="shared" si="61"/>
        <v>0</v>
      </c>
    </row>
    <row r="389" spans="4:17" x14ac:dyDescent="0.35">
      <c r="D389" s="20" t="str">
        <f t="shared" si="57"/>
        <v/>
      </c>
      <c r="E389" s="23" t="str">
        <f t="shared" si="58"/>
        <v/>
      </c>
      <c r="F389" s="23" t="str">
        <f t="shared" si="59"/>
        <v/>
      </c>
      <c r="G389" s="20">
        <f t="shared" si="62"/>
        <v>0</v>
      </c>
      <c r="H389" s="20">
        <f t="shared" si="56"/>
        <v>0</v>
      </c>
      <c r="I389" s="20">
        <f t="shared" si="63"/>
        <v>0</v>
      </c>
      <c r="J389" s="20">
        <f t="shared" si="56"/>
        <v>0</v>
      </c>
      <c r="K389" s="20">
        <f t="shared" si="64"/>
        <v>0</v>
      </c>
      <c r="L389" s="20">
        <f t="shared" si="56"/>
        <v>1</v>
      </c>
      <c r="M389" s="20">
        <f t="shared" si="65"/>
        <v>0</v>
      </c>
      <c r="N389" s="20">
        <f>ABS(G389)</f>
        <v>0</v>
      </c>
      <c r="O389" s="20">
        <f>ABS(I389)</f>
        <v>0</v>
      </c>
      <c r="P389" s="20">
        <f>ABS(K389)</f>
        <v>0</v>
      </c>
      <c r="Q389" s="20">
        <f t="shared" si="61"/>
        <v>0</v>
      </c>
    </row>
    <row r="390" spans="4:17" x14ac:dyDescent="0.35">
      <c r="D390" s="20" t="str">
        <f t="shared" si="57"/>
        <v/>
      </c>
      <c r="E390" s="23" t="str">
        <f t="shared" si="58"/>
        <v/>
      </c>
      <c r="F390" s="23" t="str">
        <f t="shared" si="59"/>
        <v/>
      </c>
      <c r="G390" s="20">
        <f t="shared" si="62"/>
        <v>0</v>
      </c>
      <c r="H390" s="20">
        <f t="shared" si="56"/>
        <v>1</v>
      </c>
      <c r="I390" s="20">
        <f t="shared" si="63"/>
        <v>0</v>
      </c>
      <c r="J390" s="20">
        <f t="shared" si="56"/>
        <v>0</v>
      </c>
      <c r="K390" s="20">
        <f t="shared" si="64"/>
        <v>0</v>
      </c>
      <c r="L390" s="20">
        <f t="shared" si="56"/>
        <v>0</v>
      </c>
      <c r="M390" s="20">
        <f t="shared" si="65"/>
        <v>0</v>
      </c>
      <c r="N390" s="20">
        <f>ABS(G390)</f>
        <v>0</v>
      </c>
      <c r="O390" s="20">
        <f>ABS(I390)</f>
        <v>0</v>
      </c>
      <c r="P390" s="20">
        <f>ABS(K390)</f>
        <v>0</v>
      </c>
      <c r="Q390" s="20">
        <f t="shared" si="61"/>
        <v>0</v>
      </c>
    </row>
    <row r="391" spans="4:17" x14ac:dyDescent="0.35">
      <c r="D391" s="20" t="str">
        <f t="shared" si="57"/>
        <v/>
      </c>
      <c r="E391" s="23" t="str">
        <f t="shared" si="58"/>
        <v/>
      </c>
      <c r="F391" s="23" t="str">
        <f t="shared" si="59"/>
        <v/>
      </c>
      <c r="G391" s="20">
        <f t="shared" si="62"/>
        <v>0</v>
      </c>
      <c r="H391" s="20">
        <f t="shared" ref="H391:L454" si="66">IF(H390+H389=0,1,0)</f>
        <v>0</v>
      </c>
      <c r="I391" s="20">
        <f t="shared" si="63"/>
        <v>0</v>
      </c>
      <c r="J391" s="20">
        <f t="shared" si="66"/>
        <v>1</v>
      </c>
      <c r="K391" s="20">
        <f t="shared" si="64"/>
        <v>0</v>
      </c>
      <c r="L391" s="20">
        <f t="shared" si="66"/>
        <v>0</v>
      </c>
      <c r="M391" s="20">
        <f t="shared" si="65"/>
        <v>0</v>
      </c>
      <c r="N391" s="20">
        <f>ABS(G391)</f>
        <v>0</v>
      </c>
      <c r="O391" s="20">
        <f>ABS(I391)</f>
        <v>0</v>
      </c>
      <c r="P391" s="20">
        <f>ABS(K391)</f>
        <v>0</v>
      </c>
      <c r="Q391" s="20">
        <f t="shared" si="61"/>
        <v>0</v>
      </c>
    </row>
    <row r="392" spans="4:17" x14ac:dyDescent="0.35">
      <c r="D392" s="20" t="str">
        <f t="shared" si="57"/>
        <v/>
      </c>
      <c r="E392" s="23" t="str">
        <f t="shared" si="58"/>
        <v/>
      </c>
      <c r="F392" s="23" t="str">
        <f t="shared" si="59"/>
        <v/>
      </c>
      <c r="G392" s="20">
        <f t="shared" si="62"/>
        <v>0</v>
      </c>
      <c r="H392" s="20">
        <f t="shared" si="66"/>
        <v>0</v>
      </c>
      <c r="I392" s="20">
        <f t="shared" si="63"/>
        <v>0</v>
      </c>
      <c r="J392" s="20">
        <f t="shared" si="66"/>
        <v>0</v>
      </c>
      <c r="K392" s="20">
        <f t="shared" si="64"/>
        <v>0</v>
      </c>
      <c r="L392" s="20">
        <f t="shared" si="66"/>
        <v>1</v>
      </c>
      <c r="M392" s="20">
        <f t="shared" si="65"/>
        <v>0</v>
      </c>
      <c r="N392" s="20">
        <f>ABS(G392)</f>
        <v>0</v>
      </c>
      <c r="O392" s="20">
        <f>ABS(I392)</f>
        <v>0</v>
      </c>
      <c r="P392" s="20">
        <f>ABS(K392)</f>
        <v>0</v>
      </c>
      <c r="Q392" s="20">
        <f t="shared" si="61"/>
        <v>0</v>
      </c>
    </row>
    <row r="393" spans="4:17" x14ac:dyDescent="0.35">
      <c r="D393" s="20" t="str">
        <f t="shared" si="57"/>
        <v/>
      </c>
      <c r="E393" s="23" t="str">
        <f t="shared" si="58"/>
        <v/>
      </c>
      <c r="F393" s="23" t="str">
        <f t="shared" si="59"/>
        <v/>
      </c>
      <c r="G393" s="20">
        <f t="shared" si="62"/>
        <v>0</v>
      </c>
      <c r="H393" s="20">
        <f t="shared" si="66"/>
        <v>1</v>
      </c>
      <c r="I393" s="20">
        <f t="shared" si="63"/>
        <v>0</v>
      </c>
      <c r="J393" s="20">
        <f t="shared" si="66"/>
        <v>0</v>
      </c>
      <c r="K393" s="20">
        <f t="shared" si="64"/>
        <v>0</v>
      </c>
      <c r="L393" s="20">
        <f t="shared" si="66"/>
        <v>0</v>
      </c>
      <c r="M393" s="20">
        <f t="shared" si="65"/>
        <v>0</v>
      </c>
      <c r="N393" s="20">
        <f>ABS(G393)</f>
        <v>0</v>
      </c>
      <c r="O393" s="20">
        <f>ABS(I393)</f>
        <v>0</v>
      </c>
      <c r="P393" s="20">
        <f>ABS(K393)</f>
        <v>0</v>
      </c>
      <c r="Q393" s="20">
        <f t="shared" si="61"/>
        <v>0</v>
      </c>
    </row>
    <row r="394" spans="4:17" x14ac:dyDescent="0.35">
      <c r="D394" s="20" t="str">
        <f t="shared" si="57"/>
        <v/>
      </c>
      <c r="E394" s="23" t="str">
        <f t="shared" si="58"/>
        <v/>
      </c>
      <c r="F394" s="23" t="str">
        <f t="shared" si="59"/>
        <v/>
      </c>
      <c r="G394" s="20">
        <f t="shared" si="62"/>
        <v>0</v>
      </c>
      <c r="H394" s="20">
        <f t="shared" si="66"/>
        <v>0</v>
      </c>
      <c r="I394" s="20">
        <f t="shared" si="63"/>
        <v>0</v>
      </c>
      <c r="J394" s="20">
        <f t="shared" si="66"/>
        <v>1</v>
      </c>
      <c r="K394" s="20">
        <f t="shared" si="64"/>
        <v>0</v>
      </c>
      <c r="L394" s="20">
        <f t="shared" si="66"/>
        <v>0</v>
      </c>
      <c r="M394" s="20">
        <f t="shared" si="65"/>
        <v>0</v>
      </c>
      <c r="N394" s="20">
        <f>ABS(G394)</f>
        <v>0</v>
      </c>
      <c r="O394" s="20">
        <f>ABS(I394)</f>
        <v>0</v>
      </c>
      <c r="P394" s="20">
        <f>ABS(K394)</f>
        <v>0</v>
      </c>
      <c r="Q394" s="20">
        <f t="shared" si="61"/>
        <v>0</v>
      </c>
    </row>
    <row r="395" spans="4:17" x14ac:dyDescent="0.35">
      <c r="D395" s="20" t="str">
        <f t="shared" si="57"/>
        <v/>
      </c>
      <c r="E395" s="23" t="str">
        <f t="shared" si="58"/>
        <v/>
      </c>
      <c r="F395" s="23" t="str">
        <f t="shared" si="59"/>
        <v/>
      </c>
      <c r="G395" s="20">
        <f t="shared" si="62"/>
        <v>0</v>
      </c>
      <c r="H395" s="20">
        <f t="shared" si="66"/>
        <v>0</v>
      </c>
      <c r="I395" s="20">
        <f t="shared" si="63"/>
        <v>0</v>
      </c>
      <c r="J395" s="20">
        <f t="shared" si="66"/>
        <v>0</v>
      </c>
      <c r="K395" s="20">
        <f t="shared" si="64"/>
        <v>0</v>
      </c>
      <c r="L395" s="20">
        <f t="shared" si="66"/>
        <v>1</v>
      </c>
      <c r="M395" s="20">
        <f t="shared" si="65"/>
        <v>0</v>
      </c>
      <c r="N395" s="20">
        <f>ABS(G395)</f>
        <v>0</v>
      </c>
      <c r="O395" s="20">
        <f>ABS(I395)</f>
        <v>0</v>
      </c>
      <c r="P395" s="20">
        <f>ABS(K395)</f>
        <v>0</v>
      </c>
      <c r="Q395" s="20">
        <f t="shared" si="61"/>
        <v>0</v>
      </c>
    </row>
    <row r="396" spans="4:17" x14ac:dyDescent="0.35">
      <c r="D396" s="20" t="str">
        <f t="shared" si="57"/>
        <v/>
      </c>
      <c r="E396" s="23" t="str">
        <f t="shared" si="58"/>
        <v/>
      </c>
      <c r="F396" s="23" t="str">
        <f t="shared" si="59"/>
        <v/>
      </c>
      <c r="G396" s="20">
        <f t="shared" si="62"/>
        <v>0</v>
      </c>
      <c r="H396" s="20">
        <f t="shared" si="66"/>
        <v>1</v>
      </c>
      <c r="I396" s="20">
        <f t="shared" si="63"/>
        <v>0</v>
      </c>
      <c r="J396" s="20">
        <f t="shared" si="66"/>
        <v>0</v>
      </c>
      <c r="K396" s="20">
        <f t="shared" si="64"/>
        <v>0</v>
      </c>
      <c r="L396" s="20">
        <f t="shared" si="66"/>
        <v>0</v>
      </c>
      <c r="M396" s="20">
        <f t="shared" si="65"/>
        <v>0</v>
      </c>
      <c r="N396" s="20">
        <f>ABS(G396)</f>
        <v>0</v>
      </c>
      <c r="O396" s="20">
        <f>ABS(I396)</f>
        <v>0</v>
      </c>
      <c r="P396" s="20">
        <f>ABS(K396)</f>
        <v>0</v>
      </c>
      <c r="Q396" s="20">
        <f t="shared" si="61"/>
        <v>0</v>
      </c>
    </row>
    <row r="397" spans="4:17" x14ac:dyDescent="0.35">
      <c r="D397" s="20" t="str">
        <f t="shared" si="57"/>
        <v/>
      </c>
      <c r="E397" s="23" t="str">
        <f t="shared" si="58"/>
        <v/>
      </c>
      <c r="F397" s="23" t="str">
        <f t="shared" si="59"/>
        <v/>
      </c>
      <c r="G397" s="20">
        <f t="shared" si="62"/>
        <v>0</v>
      </c>
      <c r="H397" s="20">
        <f t="shared" si="66"/>
        <v>0</v>
      </c>
      <c r="I397" s="20">
        <f t="shared" si="63"/>
        <v>0</v>
      </c>
      <c r="J397" s="20">
        <f t="shared" si="66"/>
        <v>1</v>
      </c>
      <c r="K397" s="20">
        <f t="shared" si="64"/>
        <v>0</v>
      </c>
      <c r="L397" s="20">
        <f t="shared" si="66"/>
        <v>0</v>
      </c>
      <c r="M397" s="20">
        <f t="shared" si="65"/>
        <v>0</v>
      </c>
      <c r="N397" s="20">
        <f>ABS(G397)</f>
        <v>0</v>
      </c>
      <c r="O397" s="20">
        <f>ABS(I397)</f>
        <v>0</v>
      </c>
      <c r="P397" s="20">
        <f>ABS(K397)</f>
        <v>0</v>
      </c>
      <c r="Q397" s="20">
        <f t="shared" si="61"/>
        <v>0</v>
      </c>
    </row>
    <row r="398" spans="4:17" x14ac:dyDescent="0.35">
      <c r="D398" s="20" t="str">
        <f t="shared" si="57"/>
        <v/>
      </c>
      <c r="E398" s="23" t="str">
        <f t="shared" si="58"/>
        <v/>
      </c>
      <c r="F398" s="23" t="str">
        <f t="shared" si="59"/>
        <v/>
      </c>
      <c r="G398" s="20">
        <f t="shared" si="62"/>
        <v>0</v>
      </c>
      <c r="H398" s="20">
        <f t="shared" si="66"/>
        <v>0</v>
      </c>
      <c r="I398" s="20">
        <f t="shared" si="63"/>
        <v>0</v>
      </c>
      <c r="J398" s="20">
        <f t="shared" si="66"/>
        <v>0</v>
      </c>
      <c r="K398" s="20">
        <f t="shared" si="64"/>
        <v>0</v>
      </c>
      <c r="L398" s="20">
        <f t="shared" si="66"/>
        <v>1</v>
      </c>
      <c r="M398" s="20">
        <f t="shared" si="65"/>
        <v>0</v>
      </c>
      <c r="N398" s="20">
        <f>ABS(G398)</f>
        <v>0</v>
      </c>
      <c r="O398" s="20">
        <f>ABS(I398)</f>
        <v>0</v>
      </c>
      <c r="P398" s="20">
        <f>ABS(K398)</f>
        <v>0</v>
      </c>
      <c r="Q398" s="20">
        <f t="shared" si="61"/>
        <v>0</v>
      </c>
    </row>
    <row r="399" spans="4:17" x14ac:dyDescent="0.35">
      <c r="D399" s="20" t="str">
        <f t="shared" si="57"/>
        <v/>
      </c>
      <c r="E399" s="23" t="str">
        <f t="shared" si="58"/>
        <v/>
      </c>
      <c r="F399" s="23" t="str">
        <f t="shared" si="59"/>
        <v/>
      </c>
      <c r="G399" s="20">
        <f t="shared" si="62"/>
        <v>0</v>
      </c>
      <c r="H399" s="20">
        <f t="shared" si="66"/>
        <v>1</v>
      </c>
      <c r="I399" s="20">
        <f t="shared" si="63"/>
        <v>0</v>
      </c>
      <c r="J399" s="20">
        <f t="shared" si="66"/>
        <v>0</v>
      </c>
      <c r="K399" s="20">
        <f t="shared" si="64"/>
        <v>0</v>
      </c>
      <c r="L399" s="20">
        <f t="shared" si="66"/>
        <v>0</v>
      </c>
      <c r="M399" s="20">
        <f t="shared" si="65"/>
        <v>0</v>
      </c>
      <c r="N399" s="20">
        <f>ABS(G399)</f>
        <v>0</v>
      </c>
      <c r="O399" s="20">
        <f>ABS(I399)</f>
        <v>0</v>
      </c>
      <c r="P399" s="20">
        <f>ABS(K399)</f>
        <v>0</v>
      </c>
      <c r="Q399" s="20">
        <f t="shared" si="61"/>
        <v>0</v>
      </c>
    </row>
    <row r="400" spans="4:17" x14ac:dyDescent="0.35">
      <c r="D400" s="20" t="str">
        <f t="shared" si="57"/>
        <v/>
      </c>
      <c r="E400" s="23" t="str">
        <f t="shared" si="58"/>
        <v/>
      </c>
      <c r="F400" s="23" t="str">
        <f t="shared" si="59"/>
        <v/>
      </c>
      <c r="G400" s="20">
        <f t="shared" si="62"/>
        <v>0</v>
      </c>
      <c r="H400" s="20">
        <f t="shared" si="66"/>
        <v>0</v>
      </c>
      <c r="I400" s="20">
        <f t="shared" si="63"/>
        <v>0</v>
      </c>
      <c r="J400" s="20">
        <f t="shared" si="66"/>
        <v>1</v>
      </c>
      <c r="K400" s="20">
        <f t="shared" si="64"/>
        <v>0</v>
      </c>
      <c r="L400" s="20">
        <f t="shared" si="66"/>
        <v>0</v>
      </c>
      <c r="M400" s="20">
        <f t="shared" si="65"/>
        <v>0</v>
      </c>
      <c r="N400" s="20">
        <f>ABS(G400)</f>
        <v>0</v>
      </c>
      <c r="O400" s="20">
        <f>ABS(I400)</f>
        <v>0</v>
      </c>
      <c r="P400" s="20">
        <f>ABS(K400)</f>
        <v>0</v>
      </c>
      <c r="Q400" s="20">
        <f t="shared" si="61"/>
        <v>0</v>
      </c>
    </row>
    <row r="401" spans="4:17" x14ac:dyDescent="0.35">
      <c r="D401" s="20" t="str">
        <f t="shared" si="57"/>
        <v/>
      </c>
      <c r="E401" s="23" t="str">
        <f t="shared" si="58"/>
        <v/>
      </c>
      <c r="F401" s="23" t="str">
        <f t="shared" si="59"/>
        <v/>
      </c>
      <c r="G401" s="20">
        <f t="shared" si="62"/>
        <v>0</v>
      </c>
      <c r="H401" s="20">
        <f t="shared" si="66"/>
        <v>0</v>
      </c>
      <c r="I401" s="20">
        <f t="shared" si="63"/>
        <v>0</v>
      </c>
      <c r="J401" s="20">
        <f t="shared" si="66"/>
        <v>0</v>
      </c>
      <c r="K401" s="20">
        <f t="shared" si="64"/>
        <v>0</v>
      </c>
      <c r="L401" s="20">
        <f t="shared" si="66"/>
        <v>1</v>
      </c>
      <c r="M401" s="20">
        <f t="shared" si="65"/>
        <v>0</v>
      </c>
      <c r="N401" s="20">
        <f>ABS(G401)</f>
        <v>0</v>
      </c>
      <c r="O401" s="20">
        <f>ABS(I401)</f>
        <v>0</v>
      </c>
      <c r="P401" s="20">
        <f>ABS(K401)</f>
        <v>0</v>
      </c>
      <c r="Q401" s="20">
        <f t="shared" si="61"/>
        <v>0</v>
      </c>
    </row>
    <row r="402" spans="4:17" x14ac:dyDescent="0.35">
      <c r="D402" s="20" t="str">
        <f t="shared" si="57"/>
        <v/>
      </c>
      <c r="E402" s="23" t="str">
        <f t="shared" si="58"/>
        <v/>
      </c>
      <c r="F402" s="23" t="str">
        <f t="shared" si="59"/>
        <v/>
      </c>
      <c r="G402" s="20">
        <f t="shared" si="62"/>
        <v>0</v>
      </c>
      <c r="H402" s="20">
        <f t="shared" si="66"/>
        <v>1</v>
      </c>
      <c r="I402" s="20">
        <f t="shared" si="63"/>
        <v>0</v>
      </c>
      <c r="J402" s="20">
        <f t="shared" si="66"/>
        <v>0</v>
      </c>
      <c r="K402" s="20">
        <f t="shared" si="64"/>
        <v>0</v>
      </c>
      <c r="L402" s="20">
        <f t="shared" si="66"/>
        <v>0</v>
      </c>
      <c r="M402" s="20">
        <f t="shared" si="65"/>
        <v>0</v>
      </c>
      <c r="N402" s="20">
        <f>ABS(G402)</f>
        <v>0</v>
      </c>
      <c r="O402" s="20">
        <f>ABS(I402)</f>
        <v>0</v>
      </c>
      <c r="P402" s="20">
        <f>ABS(K402)</f>
        <v>0</v>
      </c>
      <c r="Q402" s="20">
        <f t="shared" si="61"/>
        <v>0</v>
      </c>
    </row>
    <row r="403" spans="4:17" x14ac:dyDescent="0.35">
      <c r="D403" s="20" t="str">
        <f t="shared" si="57"/>
        <v/>
      </c>
      <c r="E403" s="23" t="str">
        <f t="shared" si="58"/>
        <v/>
      </c>
      <c r="F403" s="23" t="str">
        <f t="shared" si="59"/>
        <v/>
      </c>
      <c r="G403" s="20">
        <f t="shared" si="62"/>
        <v>0</v>
      </c>
      <c r="H403" s="20">
        <f t="shared" si="66"/>
        <v>0</v>
      </c>
      <c r="I403" s="20">
        <f t="shared" si="63"/>
        <v>0</v>
      </c>
      <c r="J403" s="20">
        <f t="shared" si="66"/>
        <v>1</v>
      </c>
      <c r="K403" s="20">
        <f t="shared" si="64"/>
        <v>0</v>
      </c>
      <c r="L403" s="20">
        <f t="shared" si="66"/>
        <v>0</v>
      </c>
      <c r="M403" s="20">
        <f t="shared" si="65"/>
        <v>0</v>
      </c>
      <c r="N403" s="20">
        <f>ABS(G403)</f>
        <v>0</v>
      </c>
      <c r="O403" s="20">
        <f>ABS(I403)</f>
        <v>0</v>
      </c>
      <c r="P403" s="20">
        <f>ABS(K403)</f>
        <v>0</v>
      </c>
      <c r="Q403" s="20">
        <f t="shared" si="61"/>
        <v>0</v>
      </c>
    </row>
    <row r="404" spans="4:17" x14ac:dyDescent="0.35">
      <c r="D404" s="20" t="str">
        <f t="shared" si="57"/>
        <v/>
      </c>
      <c r="E404" s="23" t="str">
        <f t="shared" si="58"/>
        <v/>
      </c>
      <c r="F404" s="23" t="str">
        <f t="shared" si="59"/>
        <v/>
      </c>
      <c r="G404" s="20">
        <f t="shared" si="62"/>
        <v>0</v>
      </c>
      <c r="H404" s="20">
        <f t="shared" si="66"/>
        <v>0</v>
      </c>
      <c r="I404" s="20">
        <f t="shared" si="63"/>
        <v>0</v>
      </c>
      <c r="J404" s="20">
        <f t="shared" si="66"/>
        <v>0</v>
      </c>
      <c r="K404" s="20">
        <f t="shared" si="64"/>
        <v>0</v>
      </c>
      <c r="L404" s="20">
        <f t="shared" si="66"/>
        <v>1</v>
      </c>
      <c r="M404" s="20">
        <f t="shared" si="65"/>
        <v>0</v>
      </c>
      <c r="N404" s="20">
        <f>ABS(G404)</f>
        <v>0</v>
      </c>
      <c r="O404" s="20">
        <f>ABS(I404)</f>
        <v>0</v>
      </c>
      <c r="P404" s="20">
        <f>ABS(K404)</f>
        <v>0</v>
      </c>
      <c r="Q404" s="20">
        <f t="shared" si="61"/>
        <v>0</v>
      </c>
    </row>
    <row r="405" spans="4:17" x14ac:dyDescent="0.35">
      <c r="D405" s="20" t="str">
        <f t="shared" si="57"/>
        <v/>
      </c>
      <c r="E405" s="23" t="str">
        <f t="shared" si="58"/>
        <v/>
      </c>
      <c r="F405" s="23" t="str">
        <f t="shared" si="59"/>
        <v/>
      </c>
      <c r="G405" s="20">
        <f t="shared" si="62"/>
        <v>0</v>
      </c>
      <c r="H405" s="20">
        <f t="shared" si="66"/>
        <v>1</v>
      </c>
      <c r="I405" s="20">
        <f t="shared" si="63"/>
        <v>0</v>
      </c>
      <c r="J405" s="20">
        <f t="shared" si="66"/>
        <v>0</v>
      </c>
      <c r="K405" s="20">
        <f t="shared" si="64"/>
        <v>0</v>
      </c>
      <c r="L405" s="20">
        <f t="shared" si="66"/>
        <v>0</v>
      </c>
      <c r="M405" s="20">
        <f t="shared" si="65"/>
        <v>0</v>
      </c>
      <c r="N405" s="20">
        <f>ABS(G405)</f>
        <v>0</v>
      </c>
      <c r="O405" s="20">
        <f>ABS(I405)</f>
        <v>0</v>
      </c>
      <c r="P405" s="20">
        <f>ABS(K405)</f>
        <v>0</v>
      </c>
      <c r="Q405" s="20">
        <f t="shared" si="61"/>
        <v>0</v>
      </c>
    </row>
    <row r="406" spans="4:17" x14ac:dyDescent="0.35">
      <c r="D406" s="20" t="str">
        <f t="shared" si="57"/>
        <v/>
      </c>
      <c r="E406" s="23" t="str">
        <f t="shared" si="58"/>
        <v/>
      </c>
      <c r="F406" s="23" t="str">
        <f t="shared" si="59"/>
        <v/>
      </c>
      <c r="G406" s="20">
        <f t="shared" si="62"/>
        <v>0</v>
      </c>
      <c r="H406" s="20">
        <f t="shared" si="66"/>
        <v>0</v>
      </c>
      <c r="I406" s="20">
        <f t="shared" si="63"/>
        <v>0</v>
      </c>
      <c r="J406" s="20">
        <f t="shared" si="66"/>
        <v>1</v>
      </c>
      <c r="K406" s="20">
        <f t="shared" si="64"/>
        <v>0</v>
      </c>
      <c r="L406" s="20">
        <f t="shared" si="66"/>
        <v>0</v>
      </c>
      <c r="M406" s="20">
        <f t="shared" si="65"/>
        <v>0</v>
      </c>
      <c r="N406" s="20">
        <f>ABS(G406)</f>
        <v>0</v>
      </c>
      <c r="O406" s="20">
        <f>ABS(I406)</f>
        <v>0</v>
      </c>
      <c r="P406" s="20">
        <f>ABS(K406)</f>
        <v>0</v>
      </c>
      <c r="Q406" s="20">
        <f t="shared" si="61"/>
        <v>0</v>
      </c>
    </row>
    <row r="407" spans="4:17" x14ac:dyDescent="0.35">
      <c r="D407" s="20" t="str">
        <f t="shared" ref="D407:D470" si="67">IF(D406&lt;=$B$5,D406+1,"")</f>
        <v/>
      </c>
      <c r="E407" s="23" t="str">
        <f t="shared" ref="E407:E470" si="68">IF(D406&lt;=$B$5,E406+$B$6,"")</f>
        <v/>
      </c>
      <c r="F407" s="23" t="str">
        <f t="shared" ref="F407:F470" si="69">IF(D406&lt;=$B$5,(20*COS((5/2)*E407^2+1))/(E407^2+2),"")</f>
        <v/>
      </c>
      <c r="G407" s="20">
        <f t="shared" si="62"/>
        <v>0</v>
      </c>
      <c r="H407" s="20">
        <f t="shared" si="66"/>
        <v>0</v>
      </c>
      <c r="I407" s="20">
        <f t="shared" si="63"/>
        <v>0</v>
      </c>
      <c r="J407" s="20">
        <f t="shared" si="66"/>
        <v>0</v>
      </c>
      <c r="K407" s="20">
        <f t="shared" si="64"/>
        <v>0</v>
      </c>
      <c r="L407" s="20">
        <f t="shared" si="66"/>
        <v>1</v>
      </c>
      <c r="M407" s="20">
        <f t="shared" si="65"/>
        <v>0</v>
      </c>
      <c r="N407" s="20">
        <f>ABS(G407)</f>
        <v>0</v>
      </c>
      <c r="O407" s="20">
        <f>ABS(I407)</f>
        <v>0</v>
      </c>
      <c r="P407" s="20">
        <f>ABS(K407)</f>
        <v>0</v>
      </c>
      <c r="Q407" s="20">
        <f t="shared" si="61"/>
        <v>0</v>
      </c>
    </row>
    <row r="408" spans="4:17" x14ac:dyDescent="0.35">
      <c r="D408" s="20" t="str">
        <f t="shared" si="67"/>
        <v/>
      </c>
      <c r="E408" s="23" t="str">
        <f t="shared" si="68"/>
        <v/>
      </c>
      <c r="F408" s="23" t="str">
        <f t="shared" si="69"/>
        <v/>
      </c>
      <c r="G408" s="20">
        <f t="shared" si="62"/>
        <v>0</v>
      </c>
      <c r="H408" s="20">
        <f t="shared" si="66"/>
        <v>1</v>
      </c>
      <c r="I408" s="20">
        <f t="shared" si="63"/>
        <v>0</v>
      </c>
      <c r="J408" s="20">
        <f t="shared" si="66"/>
        <v>0</v>
      </c>
      <c r="K408" s="20">
        <f t="shared" si="64"/>
        <v>0</v>
      </c>
      <c r="L408" s="20">
        <f t="shared" si="66"/>
        <v>0</v>
      </c>
      <c r="M408" s="20">
        <f t="shared" si="65"/>
        <v>0</v>
      </c>
      <c r="N408" s="20">
        <f>ABS(G408)</f>
        <v>0</v>
      </c>
      <c r="O408" s="20">
        <f>ABS(I408)</f>
        <v>0</v>
      </c>
      <c r="P408" s="20">
        <f>ABS(K408)</f>
        <v>0</v>
      </c>
      <c r="Q408" s="20">
        <f t="shared" si="61"/>
        <v>0</v>
      </c>
    </row>
    <row r="409" spans="4:17" x14ac:dyDescent="0.35">
      <c r="D409" s="20" t="str">
        <f t="shared" si="67"/>
        <v/>
      </c>
      <c r="E409" s="23" t="str">
        <f t="shared" si="68"/>
        <v/>
      </c>
      <c r="F409" s="23" t="str">
        <f t="shared" si="69"/>
        <v/>
      </c>
      <c r="G409" s="20">
        <f t="shared" si="62"/>
        <v>0</v>
      </c>
      <c r="H409" s="20">
        <f t="shared" si="66"/>
        <v>0</v>
      </c>
      <c r="I409" s="20">
        <f t="shared" si="63"/>
        <v>0</v>
      </c>
      <c r="J409" s="20">
        <f t="shared" si="66"/>
        <v>1</v>
      </c>
      <c r="K409" s="20">
        <f t="shared" si="64"/>
        <v>0</v>
      </c>
      <c r="L409" s="20">
        <f t="shared" si="66"/>
        <v>0</v>
      </c>
      <c r="M409" s="20">
        <f t="shared" si="65"/>
        <v>0</v>
      </c>
      <c r="N409" s="20">
        <f>ABS(G409)</f>
        <v>0</v>
      </c>
      <c r="O409" s="20">
        <f>ABS(I409)</f>
        <v>0</v>
      </c>
      <c r="P409" s="20">
        <f>ABS(K409)</f>
        <v>0</v>
      </c>
      <c r="Q409" s="20">
        <f t="shared" si="61"/>
        <v>0</v>
      </c>
    </row>
    <row r="410" spans="4:17" x14ac:dyDescent="0.35">
      <c r="D410" s="20" t="str">
        <f t="shared" si="67"/>
        <v/>
      </c>
      <c r="E410" s="23" t="str">
        <f t="shared" si="68"/>
        <v/>
      </c>
      <c r="F410" s="23" t="str">
        <f t="shared" si="69"/>
        <v/>
      </c>
      <c r="G410" s="20">
        <f t="shared" si="62"/>
        <v>0</v>
      </c>
      <c r="H410" s="20">
        <f t="shared" si="66"/>
        <v>0</v>
      </c>
      <c r="I410" s="20">
        <f t="shared" si="63"/>
        <v>0</v>
      </c>
      <c r="J410" s="20">
        <f t="shared" si="66"/>
        <v>0</v>
      </c>
      <c r="K410" s="20">
        <f t="shared" si="64"/>
        <v>0</v>
      </c>
      <c r="L410" s="20">
        <f t="shared" si="66"/>
        <v>1</v>
      </c>
      <c r="M410" s="20">
        <f t="shared" si="65"/>
        <v>0</v>
      </c>
      <c r="N410" s="20">
        <f>ABS(G410)</f>
        <v>0</v>
      </c>
      <c r="O410" s="20">
        <f>ABS(I410)</f>
        <v>0</v>
      </c>
      <c r="P410" s="20">
        <f>ABS(K410)</f>
        <v>0</v>
      </c>
      <c r="Q410" s="20">
        <f t="shared" si="61"/>
        <v>0</v>
      </c>
    </row>
    <row r="411" spans="4:17" x14ac:dyDescent="0.35">
      <c r="D411" s="20" t="str">
        <f t="shared" si="67"/>
        <v/>
      </c>
      <c r="E411" s="23" t="str">
        <f t="shared" si="68"/>
        <v/>
      </c>
      <c r="F411" s="23" t="str">
        <f t="shared" si="69"/>
        <v/>
      </c>
      <c r="G411" s="20">
        <f t="shared" si="62"/>
        <v>0</v>
      </c>
      <c r="H411" s="20">
        <f t="shared" si="66"/>
        <v>1</v>
      </c>
      <c r="I411" s="20">
        <f t="shared" si="63"/>
        <v>0</v>
      </c>
      <c r="J411" s="20">
        <f t="shared" si="66"/>
        <v>0</v>
      </c>
      <c r="K411" s="20">
        <f t="shared" si="64"/>
        <v>0</v>
      </c>
      <c r="L411" s="20">
        <f t="shared" si="66"/>
        <v>0</v>
      </c>
      <c r="M411" s="20">
        <f t="shared" si="65"/>
        <v>0</v>
      </c>
      <c r="N411" s="20">
        <f>ABS(G411)</f>
        <v>0</v>
      </c>
      <c r="O411" s="20">
        <f>ABS(I411)</f>
        <v>0</v>
      </c>
      <c r="P411" s="20">
        <f>ABS(K411)</f>
        <v>0</v>
      </c>
      <c r="Q411" s="20">
        <f t="shared" si="61"/>
        <v>0</v>
      </c>
    </row>
    <row r="412" spans="4:17" x14ac:dyDescent="0.35">
      <c r="D412" s="20" t="str">
        <f t="shared" si="67"/>
        <v/>
      </c>
      <c r="E412" s="23" t="str">
        <f t="shared" si="68"/>
        <v/>
      </c>
      <c r="F412" s="23" t="str">
        <f t="shared" si="69"/>
        <v/>
      </c>
      <c r="G412" s="20">
        <f t="shared" si="62"/>
        <v>0</v>
      </c>
      <c r="H412" s="20">
        <f t="shared" si="66"/>
        <v>0</v>
      </c>
      <c r="I412" s="20">
        <f t="shared" si="63"/>
        <v>0</v>
      </c>
      <c r="J412" s="20">
        <f t="shared" si="66"/>
        <v>1</v>
      </c>
      <c r="K412" s="20">
        <f t="shared" si="64"/>
        <v>0</v>
      </c>
      <c r="L412" s="20">
        <f t="shared" si="66"/>
        <v>0</v>
      </c>
      <c r="M412" s="20">
        <f t="shared" si="65"/>
        <v>0</v>
      </c>
      <c r="N412" s="20">
        <f>ABS(G412)</f>
        <v>0</v>
      </c>
      <c r="O412" s="20">
        <f>ABS(I412)</f>
        <v>0</v>
      </c>
      <c r="P412" s="20">
        <f>ABS(K412)</f>
        <v>0</v>
      </c>
      <c r="Q412" s="20">
        <f t="shared" si="61"/>
        <v>0</v>
      </c>
    </row>
    <row r="413" spans="4:17" x14ac:dyDescent="0.35">
      <c r="D413" s="20" t="str">
        <f t="shared" si="67"/>
        <v/>
      </c>
      <c r="E413" s="23" t="str">
        <f t="shared" si="68"/>
        <v/>
      </c>
      <c r="F413" s="23" t="str">
        <f t="shared" si="69"/>
        <v/>
      </c>
      <c r="G413" s="20">
        <f t="shared" si="62"/>
        <v>0</v>
      </c>
      <c r="H413" s="20">
        <f t="shared" si="66"/>
        <v>0</v>
      </c>
      <c r="I413" s="20">
        <f t="shared" si="63"/>
        <v>0</v>
      </c>
      <c r="J413" s="20">
        <f t="shared" si="66"/>
        <v>0</v>
      </c>
      <c r="K413" s="20">
        <f t="shared" si="64"/>
        <v>0</v>
      </c>
      <c r="L413" s="20">
        <f t="shared" si="66"/>
        <v>1</v>
      </c>
      <c r="M413" s="20">
        <f t="shared" si="65"/>
        <v>0</v>
      </c>
      <c r="N413" s="20">
        <f>ABS(G413)</f>
        <v>0</v>
      </c>
      <c r="O413" s="20">
        <f>ABS(I413)</f>
        <v>0</v>
      </c>
      <c r="P413" s="20">
        <f>ABS(K413)</f>
        <v>0</v>
      </c>
      <c r="Q413" s="20">
        <f t="shared" si="61"/>
        <v>0</v>
      </c>
    </row>
    <row r="414" spans="4:17" x14ac:dyDescent="0.35">
      <c r="D414" s="20" t="str">
        <f t="shared" si="67"/>
        <v/>
      </c>
      <c r="E414" s="23" t="str">
        <f t="shared" si="68"/>
        <v/>
      </c>
      <c r="F414" s="23" t="str">
        <f t="shared" si="69"/>
        <v/>
      </c>
      <c r="G414" s="20">
        <f t="shared" si="62"/>
        <v>0</v>
      </c>
      <c r="H414" s="20">
        <f t="shared" si="66"/>
        <v>1</v>
      </c>
      <c r="I414" s="20">
        <f t="shared" si="63"/>
        <v>0</v>
      </c>
      <c r="J414" s="20">
        <f t="shared" si="66"/>
        <v>0</v>
      </c>
      <c r="K414" s="20">
        <f t="shared" si="64"/>
        <v>0</v>
      </c>
      <c r="L414" s="20">
        <f t="shared" si="66"/>
        <v>0</v>
      </c>
      <c r="M414" s="20">
        <f t="shared" si="65"/>
        <v>0</v>
      </c>
      <c r="N414" s="20">
        <f>ABS(G414)</f>
        <v>0</v>
      </c>
      <c r="O414" s="20">
        <f>ABS(I414)</f>
        <v>0</v>
      </c>
      <c r="P414" s="20">
        <f>ABS(K414)</f>
        <v>0</v>
      </c>
      <c r="Q414" s="20">
        <f t="shared" si="61"/>
        <v>0</v>
      </c>
    </row>
    <row r="415" spans="4:17" x14ac:dyDescent="0.35">
      <c r="D415" s="20" t="str">
        <f t="shared" si="67"/>
        <v/>
      </c>
      <c r="E415" s="23" t="str">
        <f t="shared" si="68"/>
        <v/>
      </c>
      <c r="F415" s="23" t="str">
        <f t="shared" si="69"/>
        <v/>
      </c>
      <c r="G415" s="20">
        <f t="shared" si="62"/>
        <v>0</v>
      </c>
      <c r="H415" s="20">
        <f t="shared" si="66"/>
        <v>0</v>
      </c>
      <c r="I415" s="20">
        <f t="shared" si="63"/>
        <v>0</v>
      </c>
      <c r="J415" s="20">
        <f t="shared" si="66"/>
        <v>1</v>
      </c>
      <c r="K415" s="20">
        <f t="shared" si="64"/>
        <v>0</v>
      </c>
      <c r="L415" s="20">
        <f t="shared" si="66"/>
        <v>0</v>
      </c>
      <c r="M415" s="20">
        <f t="shared" si="65"/>
        <v>0</v>
      </c>
      <c r="N415" s="20">
        <f>ABS(G415)</f>
        <v>0</v>
      </c>
      <c r="O415" s="20">
        <f>ABS(I415)</f>
        <v>0</v>
      </c>
      <c r="P415" s="20">
        <f>ABS(K415)</f>
        <v>0</v>
      </c>
      <c r="Q415" s="20">
        <f t="shared" si="61"/>
        <v>0</v>
      </c>
    </row>
    <row r="416" spans="4:17" x14ac:dyDescent="0.35">
      <c r="D416" s="20" t="str">
        <f t="shared" si="67"/>
        <v/>
      </c>
      <c r="E416" s="23" t="str">
        <f t="shared" si="68"/>
        <v/>
      </c>
      <c r="F416" s="23" t="str">
        <f t="shared" si="69"/>
        <v/>
      </c>
      <c r="G416" s="20">
        <f t="shared" si="62"/>
        <v>0</v>
      </c>
      <c r="H416" s="20">
        <f t="shared" si="66"/>
        <v>0</v>
      </c>
      <c r="I416" s="20">
        <f t="shared" si="63"/>
        <v>0</v>
      </c>
      <c r="J416" s="20">
        <f t="shared" si="66"/>
        <v>0</v>
      </c>
      <c r="K416" s="20">
        <f t="shared" si="64"/>
        <v>0</v>
      </c>
      <c r="L416" s="20">
        <f t="shared" si="66"/>
        <v>1</v>
      </c>
      <c r="M416" s="20">
        <f t="shared" si="65"/>
        <v>0</v>
      </c>
      <c r="N416" s="20">
        <f>ABS(G416)</f>
        <v>0</v>
      </c>
      <c r="O416" s="20">
        <f>ABS(I416)</f>
        <v>0</v>
      </c>
      <c r="P416" s="20">
        <f>ABS(K416)</f>
        <v>0</v>
      </c>
      <c r="Q416" s="20">
        <f t="shared" si="61"/>
        <v>0</v>
      </c>
    </row>
    <row r="417" spans="4:17" x14ac:dyDescent="0.35">
      <c r="D417" s="20" t="str">
        <f t="shared" si="67"/>
        <v/>
      </c>
      <c r="E417" s="23" t="str">
        <f t="shared" si="68"/>
        <v/>
      </c>
      <c r="F417" s="23" t="str">
        <f t="shared" si="69"/>
        <v/>
      </c>
      <c r="G417" s="20">
        <f t="shared" si="62"/>
        <v>0</v>
      </c>
      <c r="H417" s="20">
        <f t="shared" si="66"/>
        <v>1</v>
      </c>
      <c r="I417" s="20">
        <f t="shared" si="63"/>
        <v>0</v>
      </c>
      <c r="J417" s="20">
        <f t="shared" si="66"/>
        <v>0</v>
      </c>
      <c r="K417" s="20">
        <f t="shared" si="64"/>
        <v>0</v>
      </c>
      <c r="L417" s="20">
        <f t="shared" si="66"/>
        <v>0</v>
      </c>
      <c r="M417" s="20">
        <f t="shared" si="65"/>
        <v>0</v>
      </c>
      <c r="N417" s="20">
        <f>ABS(G417)</f>
        <v>0</v>
      </c>
      <c r="O417" s="20">
        <f>ABS(I417)</f>
        <v>0</v>
      </c>
      <c r="P417" s="20">
        <f>ABS(K417)</f>
        <v>0</v>
      </c>
      <c r="Q417" s="20">
        <f t="shared" si="61"/>
        <v>0</v>
      </c>
    </row>
    <row r="418" spans="4:17" x14ac:dyDescent="0.35">
      <c r="D418" s="20" t="str">
        <f t="shared" si="67"/>
        <v/>
      </c>
      <c r="E418" s="23" t="str">
        <f t="shared" si="68"/>
        <v/>
      </c>
      <c r="F418" s="23" t="str">
        <f t="shared" si="69"/>
        <v/>
      </c>
      <c r="G418" s="20">
        <f t="shared" si="62"/>
        <v>0</v>
      </c>
      <c r="H418" s="20">
        <f t="shared" si="66"/>
        <v>0</v>
      </c>
      <c r="I418" s="20">
        <f t="shared" si="63"/>
        <v>0</v>
      </c>
      <c r="J418" s="20">
        <f t="shared" si="66"/>
        <v>1</v>
      </c>
      <c r="K418" s="20">
        <f t="shared" si="64"/>
        <v>0</v>
      </c>
      <c r="L418" s="20">
        <f t="shared" si="66"/>
        <v>0</v>
      </c>
      <c r="M418" s="20">
        <f t="shared" si="65"/>
        <v>0</v>
      </c>
      <c r="N418" s="20">
        <f>ABS(G418)</f>
        <v>0</v>
      </c>
      <c r="O418" s="20">
        <f>ABS(I418)</f>
        <v>0</v>
      </c>
      <c r="P418" s="20">
        <f>ABS(K418)</f>
        <v>0</v>
      </c>
      <c r="Q418" s="20">
        <f t="shared" si="61"/>
        <v>0</v>
      </c>
    </row>
    <row r="419" spans="4:17" x14ac:dyDescent="0.35">
      <c r="D419" s="20" t="str">
        <f t="shared" si="67"/>
        <v/>
      </c>
      <c r="E419" s="23" t="str">
        <f t="shared" si="68"/>
        <v/>
      </c>
      <c r="F419" s="23" t="str">
        <f t="shared" si="69"/>
        <v/>
      </c>
      <c r="G419" s="20">
        <f t="shared" si="62"/>
        <v>0</v>
      </c>
      <c r="H419" s="20">
        <f t="shared" si="66"/>
        <v>0</v>
      </c>
      <c r="I419" s="20">
        <f t="shared" si="63"/>
        <v>0</v>
      </c>
      <c r="J419" s="20">
        <f t="shared" si="66"/>
        <v>0</v>
      </c>
      <c r="K419" s="20">
        <f t="shared" si="64"/>
        <v>0</v>
      </c>
      <c r="L419" s="20">
        <f t="shared" si="66"/>
        <v>1</v>
      </c>
      <c r="M419" s="20">
        <f t="shared" si="65"/>
        <v>0</v>
      </c>
      <c r="N419" s="20">
        <f>ABS(G419)</f>
        <v>0</v>
      </c>
      <c r="O419" s="20">
        <f>ABS(I419)</f>
        <v>0</v>
      </c>
      <c r="P419" s="20">
        <f>ABS(K419)</f>
        <v>0</v>
      </c>
      <c r="Q419" s="20">
        <f t="shared" si="61"/>
        <v>0</v>
      </c>
    </row>
    <row r="420" spans="4:17" x14ac:dyDescent="0.35">
      <c r="D420" s="20" t="str">
        <f t="shared" si="67"/>
        <v/>
      </c>
      <c r="E420" s="23" t="str">
        <f t="shared" si="68"/>
        <v/>
      </c>
      <c r="F420" s="23" t="str">
        <f t="shared" si="69"/>
        <v/>
      </c>
      <c r="G420" s="20">
        <f t="shared" si="62"/>
        <v>0</v>
      </c>
      <c r="H420" s="20">
        <f t="shared" si="66"/>
        <v>1</v>
      </c>
      <c r="I420" s="20">
        <f t="shared" si="63"/>
        <v>0</v>
      </c>
      <c r="J420" s="20">
        <f t="shared" si="66"/>
        <v>0</v>
      </c>
      <c r="K420" s="20">
        <f t="shared" si="64"/>
        <v>0</v>
      </c>
      <c r="L420" s="20">
        <f t="shared" si="66"/>
        <v>0</v>
      </c>
      <c r="M420" s="20">
        <f t="shared" si="65"/>
        <v>0</v>
      </c>
      <c r="N420" s="20">
        <f>ABS(G420)</f>
        <v>0</v>
      </c>
      <c r="O420" s="20">
        <f>ABS(I420)</f>
        <v>0</v>
      </c>
      <c r="P420" s="20">
        <f>ABS(K420)</f>
        <v>0</v>
      </c>
      <c r="Q420" s="20">
        <f t="shared" si="61"/>
        <v>0</v>
      </c>
    </row>
    <row r="421" spans="4:17" x14ac:dyDescent="0.35">
      <c r="D421" s="20" t="str">
        <f t="shared" si="67"/>
        <v/>
      </c>
      <c r="E421" s="23" t="str">
        <f t="shared" si="68"/>
        <v/>
      </c>
      <c r="F421" s="23" t="str">
        <f t="shared" si="69"/>
        <v/>
      </c>
      <c r="G421" s="20">
        <f t="shared" si="62"/>
        <v>0</v>
      </c>
      <c r="H421" s="20">
        <f t="shared" si="66"/>
        <v>0</v>
      </c>
      <c r="I421" s="20">
        <f t="shared" si="63"/>
        <v>0</v>
      </c>
      <c r="J421" s="20">
        <f t="shared" si="66"/>
        <v>1</v>
      </c>
      <c r="K421" s="20">
        <f t="shared" si="64"/>
        <v>0</v>
      </c>
      <c r="L421" s="20">
        <f t="shared" si="66"/>
        <v>0</v>
      </c>
      <c r="M421" s="20">
        <f t="shared" si="65"/>
        <v>0</v>
      </c>
      <c r="N421" s="20">
        <f>ABS(G421)</f>
        <v>0</v>
      </c>
      <c r="O421" s="20">
        <f>ABS(I421)</f>
        <v>0</v>
      </c>
      <c r="P421" s="20">
        <f>ABS(K421)</f>
        <v>0</v>
      </c>
      <c r="Q421" s="20">
        <f t="shared" si="61"/>
        <v>0</v>
      </c>
    </row>
    <row r="422" spans="4:17" x14ac:dyDescent="0.35">
      <c r="D422" s="20" t="str">
        <f t="shared" si="67"/>
        <v/>
      </c>
      <c r="E422" s="23" t="str">
        <f t="shared" si="68"/>
        <v/>
      </c>
      <c r="F422" s="23" t="str">
        <f t="shared" si="69"/>
        <v/>
      </c>
      <c r="G422" s="20">
        <f t="shared" si="62"/>
        <v>0</v>
      </c>
      <c r="H422" s="20">
        <f t="shared" si="66"/>
        <v>0</v>
      </c>
      <c r="I422" s="20">
        <f t="shared" si="63"/>
        <v>0</v>
      </c>
      <c r="J422" s="20">
        <f t="shared" si="66"/>
        <v>0</v>
      </c>
      <c r="K422" s="20">
        <f t="shared" si="64"/>
        <v>0</v>
      </c>
      <c r="L422" s="20">
        <f t="shared" si="66"/>
        <v>1</v>
      </c>
      <c r="M422" s="20">
        <f t="shared" si="65"/>
        <v>0</v>
      </c>
      <c r="N422" s="20">
        <f>ABS(G422)</f>
        <v>0</v>
      </c>
      <c r="O422" s="20">
        <f>ABS(I422)</f>
        <v>0</v>
      </c>
      <c r="P422" s="20">
        <f>ABS(K422)</f>
        <v>0</v>
      </c>
      <c r="Q422" s="20">
        <f t="shared" si="61"/>
        <v>0</v>
      </c>
    </row>
    <row r="423" spans="4:17" x14ac:dyDescent="0.35">
      <c r="D423" s="20" t="str">
        <f t="shared" si="67"/>
        <v/>
      </c>
      <c r="E423" s="23" t="str">
        <f t="shared" si="68"/>
        <v/>
      </c>
      <c r="F423" s="23" t="str">
        <f t="shared" si="69"/>
        <v/>
      </c>
      <c r="G423" s="20">
        <f t="shared" si="62"/>
        <v>0</v>
      </c>
      <c r="H423" s="20">
        <f t="shared" si="66"/>
        <v>1</v>
      </c>
      <c r="I423" s="20">
        <f t="shared" si="63"/>
        <v>0</v>
      </c>
      <c r="J423" s="20">
        <f t="shared" si="66"/>
        <v>0</v>
      </c>
      <c r="K423" s="20">
        <f t="shared" si="64"/>
        <v>0</v>
      </c>
      <c r="L423" s="20">
        <f t="shared" si="66"/>
        <v>0</v>
      </c>
      <c r="M423" s="20">
        <f t="shared" si="65"/>
        <v>0</v>
      </c>
      <c r="N423" s="20">
        <f>ABS(G423)</f>
        <v>0</v>
      </c>
      <c r="O423" s="20">
        <f>ABS(I423)</f>
        <v>0</v>
      </c>
      <c r="P423" s="20">
        <f>ABS(K423)</f>
        <v>0</v>
      </c>
      <c r="Q423" s="20">
        <f t="shared" si="61"/>
        <v>0</v>
      </c>
    </row>
    <row r="424" spans="4:17" x14ac:dyDescent="0.35">
      <c r="D424" s="20" t="str">
        <f t="shared" si="67"/>
        <v/>
      </c>
      <c r="E424" s="23" t="str">
        <f t="shared" si="68"/>
        <v/>
      </c>
      <c r="F424" s="23" t="str">
        <f t="shared" si="69"/>
        <v/>
      </c>
      <c r="G424" s="20">
        <f t="shared" si="62"/>
        <v>0</v>
      </c>
      <c r="H424" s="20">
        <f t="shared" si="66"/>
        <v>0</v>
      </c>
      <c r="I424" s="20">
        <f t="shared" si="63"/>
        <v>0</v>
      </c>
      <c r="J424" s="20">
        <f t="shared" si="66"/>
        <v>1</v>
      </c>
      <c r="K424" s="20">
        <f t="shared" si="64"/>
        <v>0</v>
      </c>
      <c r="L424" s="20">
        <f t="shared" si="66"/>
        <v>0</v>
      </c>
      <c r="M424" s="20">
        <f t="shared" si="65"/>
        <v>0</v>
      </c>
      <c r="N424" s="20">
        <f>ABS(G424)</f>
        <v>0</v>
      </c>
      <c r="O424" s="20">
        <f>ABS(I424)</f>
        <v>0</v>
      </c>
      <c r="P424" s="20">
        <f>ABS(K424)</f>
        <v>0</v>
      </c>
      <c r="Q424" s="20">
        <f t="shared" si="61"/>
        <v>0</v>
      </c>
    </row>
    <row r="425" spans="4:17" x14ac:dyDescent="0.35">
      <c r="D425" s="20" t="str">
        <f t="shared" si="67"/>
        <v/>
      </c>
      <c r="E425" s="23" t="str">
        <f t="shared" si="68"/>
        <v/>
      </c>
      <c r="F425" s="23" t="str">
        <f t="shared" si="69"/>
        <v/>
      </c>
      <c r="G425" s="20">
        <f t="shared" si="62"/>
        <v>0</v>
      </c>
      <c r="H425" s="20">
        <f t="shared" si="66"/>
        <v>0</v>
      </c>
      <c r="I425" s="20">
        <f t="shared" si="63"/>
        <v>0</v>
      </c>
      <c r="J425" s="20">
        <f t="shared" si="66"/>
        <v>0</v>
      </c>
      <c r="K425" s="20">
        <f t="shared" si="64"/>
        <v>0</v>
      </c>
      <c r="L425" s="20">
        <f t="shared" si="66"/>
        <v>1</v>
      </c>
      <c r="M425" s="20">
        <f t="shared" si="65"/>
        <v>0</v>
      </c>
      <c r="N425" s="20">
        <f>ABS(G425)</f>
        <v>0</v>
      </c>
      <c r="O425" s="20">
        <f>ABS(I425)</f>
        <v>0</v>
      </c>
      <c r="P425" s="20">
        <f>ABS(K425)</f>
        <v>0</v>
      </c>
      <c r="Q425" s="20">
        <f t="shared" si="61"/>
        <v>0</v>
      </c>
    </row>
    <row r="426" spans="4:17" x14ac:dyDescent="0.35">
      <c r="D426" s="20" t="str">
        <f t="shared" si="67"/>
        <v/>
      </c>
      <c r="E426" s="23" t="str">
        <f t="shared" si="68"/>
        <v/>
      </c>
      <c r="F426" s="23" t="str">
        <f t="shared" si="69"/>
        <v/>
      </c>
      <c r="G426" s="20">
        <f t="shared" si="62"/>
        <v>0</v>
      </c>
      <c r="H426" s="20">
        <f t="shared" si="66"/>
        <v>1</v>
      </c>
      <c r="I426" s="20">
        <f t="shared" si="63"/>
        <v>0</v>
      </c>
      <c r="J426" s="20">
        <f t="shared" si="66"/>
        <v>0</v>
      </c>
      <c r="K426" s="20">
        <f t="shared" si="64"/>
        <v>0</v>
      </c>
      <c r="L426" s="20">
        <f t="shared" si="66"/>
        <v>0</v>
      </c>
      <c r="M426" s="20">
        <f t="shared" si="65"/>
        <v>0</v>
      </c>
      <c r="N426" s="20">
        <f>ABS(G426)</f>
        <v>0</v>
      </c>
      <c r="O426" s="20">
        <f>ABS(I426)</f>
        <v>0</v>
      </c>
      <c r="P426" s="20">
        <f>ABS(K426)</f>
        <v>0</v>
      </c>
      <c r="Q426" s="20">
        <f t="shared" si="61"/>
        <v>0</v>
      </c>
    </row>
    <row r="427" spans="4:17" x14ac:dyDescent="0.35">
      <c r="D427" s="20" t="str">
        <f t="shared" si="67"/>
        <v/>
      </c>
      <c r="E427" s="23" t="str">
        <f t="shared" si="68"/>
        <v/>
      </c>
      <c r="F427" s="23" t="str">
        <f t="shared" si="69"/>
        <v/>
      </c>
      <c r="G427" s="20">
        <f t="shared" si="62"/>
        <v>0</v>
      </c>
      <c r="H427" s="20">
        <f t="shared" si="66"/>
        <v>0</v>
      </c>
      <c r="I427" s="20">
        <f t="shared" si="63"/>
        <v>0</v>
      </c>
      <c r="J427" s="20">
        <f t="shared" si="66"/>
        <v>1</v>
      </c>
      <c r="K427" s="20">
        <f t="shared" si="64"/>
        <v>0</v>
      </c>
      <c r="L427" s="20">
        <f t="shared" si="66"/>
        <v>0</v>
      </c>
      <c r="M427" s="20">
        <f t="shared" si="65"/>
        <v>0</v>
      </c>
      <c r="N427" s="20">
        <f>ABS(G427)</f>
        <v>0</v>
      </c>
      <c r="O427" s="20">
        <f>ABS(I427)</f>
        <v>0</v>
      </c>
      <c r="P427" s="20">
        <f>ABS(K427)</f>
        <v>0</v>
      </c>
      <c r="Q427" s="20">
        <f t="shared" si="61"/>
        <v>0</v>
      </c>
    </row>
    <row r="428" spans="4:17" x14ac:dyDescent="0.35">
      <c r="D428" s="20" t="str">
        <f t="shared" si="67"/>
        <v/>
      </c>
      <c r="E428" s="23" t="str">
        <f t="shared" si="68"/>
        <v/>
      </c>
      <c r="F428" s="23" t="str">
        <f t="shared" si="69"/>
        <v/>
      </c>
      <c r="G428" s="20">
        <f t="shared" si="62"/>
        <v>0</v>
      </c>
      <c r="H428" s="20">
        <f t="shared" si="66"/>
        <v>0</v>
      </c>
      <c r="I428" s="20">
        <f t="shared" si="63"/>
        <v>0</v>
      </c>
      <c r="J428" s="20">
        <f t="shared" si="66"/>
        <v>0</v>
      </c>
      <c r="K428" s="20">
        <f t="shared" si="64"/>
        <v>0</v>
      </c>
      <c r="L428" s="20">
        <f t="shared" si="66"/>
        <v>1</v>
      </c>
      <c r="M428" s="20">
        <f t="shared" si="65"/>
        <v>0</v>
      </c>
      <c r="N428" s="20">
        <f>ABS(G428)</f>
        <v>0</v>
      </c>
      <c r="O428" s="20">
        <f>ABS(I428)</f>
        <v>0</v>
      </c>
      <c r="P428" s="20">
        <f>ABS(K428)</f>
        <v>0</v>
      </c>
      <c r="Q428" s="20">
        <f t="shared" si="61"/>
        <v>0</v>
      </c>
    </row>
    <row r="429" spans="4:17" x14ac:dyDescent="0.35">
      <c r="D429" s="20" t="str">
        <f t="shared" si="67"/>
        <v/>
      </c>
      <c r="E429" s="23" t="str">
        <f t="shared" si="68"/>
        <v/>
      </c>
      <c r="F429" s="23" t="str">
        <f t="shared" si="69"/>
        <v/>
      </c>
      <c r="G429" s="20">
        <f t="shared" si="62"/>
        <v>0</v>
      </c>
      <c r="H429" s="20">
        <f t="shared" si="66"/>
        <v>1</v>
      </c>
      <c r="I429" s="20">
        <f t="shared" si="63"/>
        <v>0</v>
      </c>
      <c r="J429" s="20">
        <f t="shared" si="66"/>
        <v>0</v>
      </c>
      <c r="K429" s="20">
        <f t="shared" si="64"/>
        <v>0</v>
      </c>
      <c r="L429" s="20">
        <f t="shared" si="66"/>
        <v>0</v>
      </c>
      <c r="M429" s="20">
        <f t="shared" si="65"/>
        <v>0</v>
      </c>
      <c r="N429" s="20">
        <f>ABS(G429)</f>
        <v>0</v>
      </c>
      <c r="O429" s="20">
        <f>ABS(I429)</f>
        <v>0</v>
      </c>
      <c r="P429" s="20">
        <f>ABS(K429)</f>
        <v>0</v>
      </c>
      <c r="Q429" s="20">
        <f t="shared" si="61"/>
        <v>0</v>
      </c>
    </row>
    <row r="430" spans="4:17" x14ac:dyDescent="0.35">
      <c r="D430" s="20" t="str">
        <f t="shared" si="67"/>
        <v/>
      </c>
      <c r="E430" s="23" t="str">
        <f t="shared" si="68"/>
        <v/>
      </c>
      <c r="F430" s="23" t="str">
        <f t="shared" si="69"/>
        <v/>
      </c>
      <c r="G430" s="20">
        <f t="shared" si="62"/>
        <v>0</v>
      </c>
      <c r="H430" s="20">
        <f t="shared" si="66"/>
        <v>0</v>
      </c>
      <c r="I430" s="20">
        <f t="shared" si="63"/>
        <v>0</v>
      </c>
      <c r="J430" s="20">
        <f t="shared" si="66"/>
        <v>1</v>
      </c>
      <c r="K430" s="20">
        <f t="shared" si="64"/>
        <v>0</v>
      </c>
      <c r="L430" s="20">
        <f t="shared" si="66"/>
        <v>0</v>
      </c>
      <c r="M430" s="20">
        <f t="shared" si="65"/>
        <v>0</v>
      </c>
      <c r="N430" s="20">
        <f>ABS(G430)</f>
        <v>0</v>
      </c>
      <c r="O430" s="20">
        <f>ABS(I430)</f>
        <v>0</v>
      </c>
      <c r="P430" s="20">
        <f>ABS(K430)</f>
        <v>0</v>
      </c>
      <c r="Q430" s="20">
        <f t="shared" si="61"/>
        <v>0</v>
      </c>
    </row>
    <row r="431" spans="4:17" x14ac:dyDescent="0.35">
      <c r="D431" s="20" t="str">
        <f t="shared" si="67"/>
        <v/>
      </c>
      <c r="E431" s="23" t="str">
        <f t="shared" si="68"/>
        <v/>
      </c>
      <c r="F431" s="23" t="str">
        <f t="shared" si="69"/>
        <v/>
      </c>
      <c r="G431" s="20">
        <f t="shared" si="62"/>
        <v>0</v>
      </c>
      <c r="H431" s="20">
        <f t="shared" si="66"/>
        <v>0</v>
      </c>
      <c r="I431" s="20">
        <f t="shared" si="63"/>
        <v>0</v>
      </c>
      <c r="J431" s="20">
        <f t="shared" si="66"/>
        <v>0</v>
      </c>
      <c r="K431" s="20">
        <f t="shared" si="64"/>
        <v>0</v>
      </c>
      <c r="L431" s="20">
        <f t="shared" si="66"/>
        <v>1</v>
      </c>
      <c r="M431" s="20">
        <f t="shared" si="65"/>
        <v>0</v>
      </c>
      <c r="N431" s="20">
        <f>ABS(G431)</f>
        <v>0</v>
      </c>
      <c r="O431" s="20">
        <f>ABS(I431)</f>
        <v>0</v>
      </c>
      <c r="P431" s="20">
        <f>ABS(K431)</f>
        <v>0</v>
      </c>
      <c r="Q431" s="20">
        <f t="shared" si="61"/>
        <v>0</v>
      </c>
    </row>
    <row r="432" spans="4:17" x14ac:dyDescent="0.35">
      <c r="D432" s="20" t="str">
        <f t="shared" si="67"/>
        <v/>
      </c>
      <c r="E432" s="23" t="str">
        <f t="shared" si="68"/>
        <v/>
      </c>
      <c r="F432" s="23" t="str">
        <f t="shared" si="69"/>
        <v/>
      </c>
      <c r="G432" s="20">
        <f t="shared" si="62"/>
        <v>0</v>
      </c>
      <c r="H432" s="20">
        <f t="shared" si="66"/>
        <v>1</v>
      </c>
      <c r="I432" s="20">
        <f t="shared" si="63"/>
        <v>0</v>
      </c>
      <c r="J432" s="20">
        <f t="shared" si="66"/>
        <v>0</v>
      </c>
      <c r="K432" s="20">
        <f t="shared" si="64"/>
        <v>0</v>
      </c>
      <c r="L432" s="20">
        <f t="shared" si="66"/>
        <v>0</v>
      </c>
      <c r="M432" s="20">
        <f t="shared" si="65"/>
        <v>0</v>
      </c>
      <c r="N432" s="20">
        <f>ABS(G432)</f>
        <v>0</v>
      </c>
      <c r="O432" s="20">
        <f>ABS(I432)</f>
        <v>0</v>
      </c>
      <c r="P432" s="20">
        <f>ABS(K432)</f>
        <v>0</v>
      </c>
      <c r="Q432" s="20">
        <f t="shared" si="61"/>
        <v>0</v>
      </c>
    </row>
    <row r="433" spans="4:17" x14ac:dyDescent="0.35">
      <c r="D433" s="20" t="str">
        <f t="shared" si="67"/>
        <v/>
      </c>
      <c r="E433" s="23" t="str">
        <f t="shared" si="68"/>
        <v/>
      </c>
      <c r="F433" s="23" t="str">
        <f t="shared" si="69"/>
        <v/>
      </c>
      <c r="G433" s="20">
        <f t="shared" si="62"/>
        <v>0</v>
      </c>
      <c r="H433" s="20">
        <f t="shared" si="66"/>
        <v>0</v>
      </c>
      <c r="I433" s="20">
        <f t="shared" si="63"/>
        <v>0</v>
      </c>
      <c r="J433" s="20">
        <f t="shared" si="66"/>
        <v>1</v>
      </c>
      <c r="K433" s="20">
        <f t="shared" si="64"/>
        <v>0</v>
      </c>
      <c r="L433" s="20">
        <f t="shared" si="66"/>
        <v>0</v>
      </c>
      <c r="M433" s="20">
        <f t="shared" si="65"/>
        <v>0</v>
      </c>
      <c r="N433" s="20">
        <f>ABS(G433)</f>
        <v>0</v>
      </c>
      <c r="O433" s="20">
        <f>ABS(I433)</f>
        <v>0</v>
      </c>
      <c r="P433" s="20">
        <f>ABS(K433)</f>
        <v>0</v>
      </c>
      <c r="Q433" s="20">
        <f t="shared" si="61"/>
        <v>0</v>
      </c>
    </row>
    <row r="434" spans="4:17" x14ac:dyDescent="0.35">
      <c r="D434" s="20" t="str">
        <f t="shared" si="67"/>
        <v/>
      </c>
      <c r="E434" s="23" t="str">
        <f t="shared" si="68"/>
        <v/>
      </c>
      <c r="F434" s="23" t="str">
        <f t="shared" si="69"/>
        <v/>
      </c>
      <c r="G434" s="20">
        <f t="shared" si="62"/>
        <v>0</v>
      </c>
      <c r="H434" s="20">
        <f t="shared" si="66"/>
        <v>0</v>
      </c>
      <c r="I434" s="20">
        <f t="shared" si="63"/>
        <v>0</v>
      </c>
      <c r="J434" s="20">
        <f t="shared" si="66"/>
        <v>0</v>
      </c>
      <c r="K434" s="20">
        <f t="shared" si="64"/>
        <v>0</v>
      </c>
      <c r="L434" s="20">
        <f t="shared" si="66"/>
        <v>1</v>
      </c>
      <c r="M434" s="20">
        <f t="shared" si="65"/>
        <v>0</v>
      </c>
      <c r="N434" s="20">
        <f>ABS(G434)</f>
        <v>0</v>
      </c>
      <c r="O434" s="20">
        <f>ABS(I434)</f>
        <v>0</v>
      </c>
      <c r="P434" s="20">
        <f>ABS(K434)</f>
        <v>0</v>
      </c>
      <c r="Q434" s="20">
        <f t="shared" si="61"/>
        <v>0</v>
      </c>
    </row>
    <row r="435" spans="4:17" x14ac:dyDescent="0.35">
      <c r="D435" s="20" t="str">
        <f t="shared" si="67"/>
        <v/>
      </c>
      <c r="E435" s="23" t="str">
        <f t="shared" si="68"/>
        <v/>
      </c>
      <c r="F435" s="23" t="str">
        <f t="shared" si="69"/>
        <v/>
      </c>
      <c r="G435" s="20">
        <f t="shared" si="62"/>
        <v>0</v>
      </c>
      <c r="H435" s="20">
        <f t="shared" si="66"/>
        <v>1</v>
      </c>
      <c r="I435" s="20">
        <f t="shared" si="63"/>
        <v>0</v>
      </c>
      <c r="J435" s="20">
        <f t="shared" si="66"/>
        <v>0</v>
      </c>
      <c r="K435" s="20">
        <f t="shared" si="64"/>
        <v>0</v>
      </c>
      <c r="L435" s="20">
        <f t="shared" si="66"/>
        <v>0</v>
      </c>
      <c r="M435" s="20">
        <f t="shared" si="65"/>
        <v>0</v>
      </c>
      <c r="N435" s="20">
        <f>ABS(G435)</f>
        <v>0</v>
      </c>
      <c r="O435" s="20">
        <f>ABS(I435)</f>
        <v>0</v>
      </c>
      <c r="P435" s="20">
        <f>ABS(K435)</f>
        <v>0</v>
      </c>
      <c r="Q435" s="20">
        <f t="shared" si="61"/>
        <v>0</v>
      </c>
    </row>
    <row r="436" spans="4:17" x14ac:dyDescent="0.35">
      <c r="D436" s="20" t="str">
        <f t="shared" si="67"/>
        <v/>
      </c>
      <c r="E436" s="23" t="str">
        <f t="shared" si="68"/>
        <v/>
      </c>
      <c r="F436" s="23" t="str">
        <f t="shared" si="69"/>
        <v/>
      </c>
      <c r="G436" s="20">
        <f t="shared" si="62"/>
        <v>0</v>
      </c>
      <c r="H436" s="20">
        <f t="shared" si="66"/>
        <v>0</v>
      </c>
      <c r="I436" s="20">
        <f t="shared" si="63"/>
        <v>0</v>
      </c>
      <c r="J436" s="20">
        <f t="shared" si="66"/>
        <v>1</v>
      </c>
      <c r="K436" s="20">
        <f t="shared" si="64"/>
        <v>0</v>
      </c>
      <c r="L436" s="20">
        <f t="shared" si="66"/>
        <v>0</v>
      </c>
      <c r="M436" s="20">
        <f t="shared" si="65"/>
        <v>0</v>
      </c>
      <c r="N436" s="20">
        <f>ABS(G436)</f>
        <v>0</v>
      </c>
      <c r="O436" s="20">
        <f>ABS(I436)</f>
        <v>0</v>
      </c>
      <c r="P436" s="20">
        <f>ABS(K436)</f>
        <v>0</v>
      </c>
      <c r="Q436" s="20">
        <f t="shared" si="61"/>
        <v>0</v>
      </c>
    </row>
    <row r="437" spans="4:17" x14ac:dyDescent="0.35">
      <c r="D437" s="20" t="str">
        <f t="shared" si="67"/>
        <v/>
      </c>
      <c r="E437" s="23" t="str">
        <f t="shared" si="68"/>
        <v/>
      </c>
      <c r="F437" s="23" t="str">
        <f t="shared" si="69"/>
        <v/>
      </c>
      <c r="G437" s="20">
        <f t="shared" si="62"/>
        <v>0</v>
      </c>
      <c r="H437" s="20">
        <f t="shared" si="66"/>
        <v>0</v>
      </c>
      <c r="I437" s="20">
        <f t="shared" si="63"/>
        <v>0</v>
      </c>
      <c r="J437" s="20">
        <f t="shared" si="66"/>
        <v>0</v>
      </c>
      <c r="K437" s="20">
        <f t="shared" si="64"/>
        <v>0</v>
      </c>
      <c r="L437" s="20">
        <f t="shared" si="66"/>
        <v>1</v>
      </c>
      <c r="M437" s="20">
        <f t="shared" si="65"/>
        <v>0</v>
      </c>
      <c r="N437" s="20">
        <f>ABS(G437)</f>
        <v>0</v>
      </c>
      <c r="O437" s="20">
        <f>ABS(I437)</f>
        <v>0</v>
      </c>
      <c r="P437" s="20">
        <f>ABS(K437)</f>
        <v>0</v>
      </c>
      <c r="Q437" s="20">
        <f t="shared" si="61"/>
        <v>0</v>
      </c>
    </row>
    <row r="438" spans="4:17" x14ac:dyDescent="0.35">
      <c r="D438" s="20" t="str">
        <f t="shared" si="67"/>
        <v/>
      </c>
      <c r="E438" s="23" t="str">
        <f t="shared" si="68"/>
        <v/>
      </c>
      <c r="F438" s="23" t="str">
        <f t="shared" si="69"/>
        <v/>
      </c>
      <c r="G438" s="20">
        <f t="shared" si="62"/>
        <v>0</v>
      </c>
      <c r="H438" s="20">
        <f t="shared" si="66"/>
        <v>1</v>
      </c>
      <c r="I438" s="20">
        <f t="shared" si="63"/>
        <v>0</v>
      </c>
      <c r="J438" s="20">
        <f t="shared" si="66"/>
        <v>0</v>
      </c>
      <c r="K438" s="20">
        <f t="shared" si="64"/>
        <v>0</v>
      </c>
      <c r="L438" s="20">
        <f t="shared" si="66"/>
        <v>0</v>
      </c>
      <c r="M438" s="20">
        <f t="shared" si="65"/>
        <v>0</v>
      </c>
      <c r="N438" s="20">
        <f>ABS(G438)</f>
        <v>0</v>
      </c>
      <c r="O438" s="20">
        <f>ABS(I438)</f>
        <v>0</v>
      </c>
      <c r="P438" s="20">
        <f>ABS(K438)</f>
        <v>0</v>
      </c>
      <c r="Q438" s="20">
        <f t="shared" si="61"/>
        <v>0</v>
      </c>
    </row>
    <row r="439" spans="4:17" x14ac:dyDescent="0.35">
      <c r="D439" s="20" t="str">
        <f t="shared" si="67"/>
        <v/>
      </c>
      <c r="E439" s="23" t="str">
        <f t="shared" si="68"/>
        <v/>
      </c>
      <c r="F439" s="23" t="str">
        <f t="shared" si="69"/>
        <v/>
      </c>
      <c r="G439" s="20">
        <f t="shared" si="62"/>
        <v>0</v>
      </c>
      <c r="H439" s="20">
        <f t="shared" si="66"/>
        <v>0</v>
      </c>
      <c r="I439" s="20">
        <f t="shared" si="63"/>
        <v>0</v>
      </c>
      <c r="J439" s="20">
        <f t="shared" si="66"/>
        <v>1</v>
      </c>
      <c r="K439" s="20">
        <f t="shared" si="64"/>
        <v>0</v>
      </c>
      <c r="L439" s="20">
        <f t="shared" si="66"/>
        <v>0</v>
      </c>
      <c r="M439" s="20">
        <f t="shared" si="65"/>
        <v>0</v>
      </c>
      <c r="N439" s="20">
        <f>ABS(G439)</f>
        <v>0</v>
      </c>
      <c r="O439" s="20">
        <f>ABS(I439)</f>
        <v>0</v>
      </c>
      <c r="P439" s="20">
        <f>ABS(K439)</f>
        <v>0</v>
      </c>
      <c r="Q439" s="20">
        <f t="shared" si="61"/>
        <v>0</v>
      </c>
    </row>
    <row r="440" spans="4:17" x14ac:dyDescent="0.35">
      <c r="D440" s="20" t="str">
        <f t="shared" si="67"/>
        <v/>
      </c>
      <c r="E440" s="23" t="str">
        <f t="shared" si="68"/>
        <v/>
      </c>
      <c r="F440" s="23" t="str">
        <f t="shared" si="69"/>
        <v/>
      </c>
      <c r="G440" s="20">
        <f t="shared" si="62"/>
        <v>0</v>
      </c>
      <c r="H440" s="20">
        <f t="shared" si="66"/>
        <v>0</v>
      </c>
      <c r="I440" s="20">
        <f t="shared" si="63"/>
        <v>0</v>
      </c>
      <c r="J440" s="20">
        <f t="shared" si="66"/>
        <v>0</v>
      </c>
      <c r="K440" s="20">
        <f t="shared" si="64"/>
        <v>0</v>
      </c>
      <c r="L440" s="20">
        <f t="shared" si="66"/>
        <v>1</v>
      </c>
      <c r="M440" s="20">
        <f t="shared" si="65"/>
        <v>0</v>
      </c>
      <c r="N440" s="20">
        <f>ABS(G440)</f>
        <v>0</v>
      </c>
      <c r="O440" s="20">
        <f>ABS(I440)</f>
        <v>0</v>
      </c>
      <c r="P440" s="20">
        <f>ABS(K440)</f>
        <v>0</v>
      </c>
      <c r="Q440" s="20">
        <f t="shared" si="61"/>
        <v>0</v>
      </c>
    </row>
    <row r="441" spans="4:17" x14ac:dyDescent="0.35">
      <c r="D441" s="20" t="str">
        <f t="shared" si="67"/>
        <v/>
      </c>
      <c r="E441" s="23" t="str">
        <f t="shared" si="68"/>
        <v/>
      </c>
      <c r="F441" s="23" t="str">
        <f t="shared" si="69"/>
        <v/>
      </c>
      <c r="G441" s="20">
        <f t="shared" si="62"/>
        <v>0</v>
      </c>
      <c r="H441" s="20">
        <f t="shared" si="66"/>
        <v>1</v>
      </c>
      <c r="I441" s="20">
        <f t="shared" si="63"/>
        <v>0</v>
      </c>
      <c r="J441" s="20">
        <f t="shared" si="66"/>
        <v>0</v>
      </c>
      <c r="K441" s="20">
        <f t="shared" si="64"/>
        <v>0</v>
      </c>
      <c r="L441" s="20">
        <f t="shared" si="66"/>
        <v>0</v>
      </c>
      <c r="M441" s="20">
        <f t="shared" si="65"/>
        <v>0</v>
      </c>
      <c r="N441" s="20">
        <f>ABS(G441)</f>
        <v>0</v>
      </c>
      <c r="O441" s="20">
        <f>ABS(I441)</f>
        <v>0</v>
      </c>
      <c r="P441" s="20">
        <f>ABS(K441)</f>
        <v>0</v>
      </c>
      <c r="Q441" s="20">
        <f t="shared" si="61"/>
        <v>0</v>
      </c>
    </row>
    <row r="442" spans="4:17" x14ac:dyDescent="0.35">
      <c r="D442" s="20" t="str">
        <f t="shared" si="67"/>
        <v/>
      </c>
      <c r="E442" s="23" t="str">
        <f t="shared" si="68"/>
        <v/>
      </c>
      <c r="F442" s="23" t="str">
        <f t="shared" si="69"/>
        <v/>
      </c>
      <c r="G442" s="20">
        <f t="shared" si="62"/>
        <v>0</v>
      </c>
      <c r="H442" s="20">
        <f t="shared" si="66"/>
        <v>0</v>
      </c>
      <c r="I442" s="20">
        <f t="shared" si="63"/>
        <v>0</v>
      </c>
      <c r="J442" s="20">
        <f t="shared" si="66"/>
        <v>1</v>
      </c>
      <c r="K442" s="20">
        <f t="shared" si="64"/>
        <v>0</v>
      </c>
      <c r="L442" s="20">
        <f t="shared" si="66"/>
        <v>0</v>
      </c>
      <c r="M442" s="20">
        <f t="shared" si="65"/>
        <v>0</v>
      </c>
      <c r="N442" s="20">
        <f>ABS(G442)</f>
        <v>0</v>
      </c>
      <c r="O442" s="20">
        <f>ABS(I442)</f>
        <v>0</v>
      </c>
      <c r="P442" s="20">
        <f>ABS(K442)</f>
        <v>0</v>
      </c>
      <c r="Q442" s="20">
        <f t="shared" si="61"/>
        <v>0</v>
      </c>
    </row>
    <row r="443" spans="4:17" x14ac:dyDescent="0.35">
      <c r="D443" s="20" t="str">
        <f t="shared" si="67"/>
        <v/>
      </c>
      <c r="E443" s="23" t="str">
        <f t="shared" si="68"/>
        <v/>
      </c>
      <c r="F443" s="23" t="str">
        <f t="shared" si="69"/>
        <v/>
      </c>
      <c r="G443" s="20">
        <f t="shared" si="62"/>
        <v>0</v>
      </c>
      <c r="H443" s="20">
        <f t="shared" si="66"/>
        <v>0</v>
      </c>
      <c r="I443" s="20">
        <f t="shared" si="63"/>
        <v>0</v>
      </c>
      <c r="J443" s="20">
        <f t="shared" si="66"/>
        <v>0</v>
      </c>
      <c r="K443" s="20">
        <f t="shared" si="64"/>
        <v>0</v>
      </c>
      <c r="L443" s="20">
        <f t="shared" si="66"/>
        <v>1</v>
      </c>
      <c r="M443" s="20">
        <f t="shared" si="65"/>
        <v>0</v>
      </c>
      <c r="N443" s="20">
        <f>ABS(G443)</f>
        <v>0</v>
      </c>
      <c r="O443" s="20">
        <f>ABS(I443)</f>
        <v>0</v>
      </c>
      <c r="P443" s="20">
        <f>ABS(K443)</f>
        <v>0</v>
      </c>
      <c r="Q443" s="20">
        <f t="shared" si="61"/>
        <v>0</v>
      </c>
    </row>
    <row r="444" spans="4:17" x14ac:dyDescent="0.35">
      <c r="D444" s="20" t="str">
        <f t="shared" si="67"/>
        <v/>
      </c>
      <c r="E444" s="23" t="str">
        <f t="shared" si="68"/>
        <v/>
      </c>
      <c r="F444" s="23" t="str">
        <f t="shared" si="69"/>
        <v/>
      </c>
      <c r="G444" s="20">
        <f t="shared" si="62"/>
        <v>0</v>
      </c>
      <c r="H444" s="20">
        <f t="shared" si="66"/>
        <v>1</v>
      </c>
      <c r="I444" s="20">
        <f t="shared" si="63"/>
        <v>0</v>
      </c>
      <c r="J444" s="20">
        <f t="shared" si="66"/>
        <v>0</v>
      </c>
      <c r="K444" s="20">
        <f t="shared" si="64"/>
        <v>0</v>
      </c>
      <c r="L444" s="20">
        <f t="shared" si="66"/>
        <v>0</v>
      </c>
      <c r="M444" s="20">
        <f t="shared" si="65"/>
        <v>0</v>
      </c>
      <c r="N444" s="20">
        <f>ABS(G444)</f>
        <v>0</v>
      </c>
      <c r="O444" s="20">
        <f>ABS(I444)</f>
        <v>0</v>
      </c>
      <c r="P444" s="20">
        <f>ABS(K444)</f>
        <v>0</v>
      </c>
      <c r="Q444" s="20">
        <f t="shared" si="61"/>
        <v>0</v>
      </c>
    </row>
    <row r="445" spans="4:17" x14ac:dyDescent="0.35">
      <c r="D445" s="20" t="str">
        <f t="shared" si="67"/>
        <v/>
      </c>
      <c r="E445" s="23" t="str">
        <f t="shared" si="68"/>
        <v/>
      </c>
      <c r="F445" s="23" t="str">
        <f t="shared" si="69"/>
        <v/>
      </c>
      <c r="G445" s="20">
        <f t="shared" si="62"/>
        <v>0</v>
      </c>
      <c r="H445" s="20">
        <f t="shared" si="66"/>
        <v>0</v>
      </c>
      <c r="I445" s="20">
        <f t="shared" si="63"/>
        <v>0</v>
      </c>
      <c r="J445" s="20">
        <f t="shared" si="66"/>
        <v>1</v>
      </c>
      <c r="K445" s="20">
        <f t="shared" si="64"/>
        <v>0</v>
      </c>
      <c r="L445" s="20">
        <f t="shared" si="66"/>
        <v>0</v>
      </c>
      <c r="M445" s="20">
        <f t="shared" si="65"/>
        <v>0</v>
      </c>
      <c r="N445" s="20">
        <f>ABS(G445)</f>
        <v>0</v>
      </c>
      <c r="O445" s="20">
        <f>ABS(I445)</f>
        <v>0</v>
      </c>
      <c r="P445" s="20">
        <f>ABS(K445)</f>
        <v>0</v>
      </c>
      <c r="Q445" s="20">
        <f t="shared" si="61"/>
        <v>0</v>
      </c>
    </row>
    <row r="446" spans="4:17" x14ac:dyDescent="0.35">
      <c r="D446" s="20" t="str">
        <f t="shared" si="67"/>
        <v/>
      </c>
      <c r="E446" s="23" t="str">
        <f t="shared" si="68"/>
        <v/>
      </c>
      <c r="F446" s="23" t="str">
        <f t="shared" si="69"/>
        <v/>
      </c>
      <c r="G446" s="20">
        <f t="shared" si="62"/>
        <v>0</v>
      </c>
      <c r="H446" s="20">
        <f t="shared" si="66"/>
        <v>0</v>
      </c>
      <c r="I446" s="20">
        <f t="shared" si="63"/>
        <v>0</v>
      </c>
      <c r="J446" s="20">
        <f t="shared" si="66"/>
        <v>0</v>
      </c>
      <c r="K446" s="20">
        <f t="shared" si="64"/>
        <v>0</v>
      </c>
      <c r="L446" s="20">
        <f t="shared" si="66"/>
        <v>1</v>
      </c>
      <c r="M446" s="20">
        <f t="shared" si="65"/>
        <v>0</v>
      </c>
      <c r="N446" s="20">
        <f>ABS(G446)</f>
        <v>0</v>
      </c>
      <c r="O446" s="20">
        <f>ABS(I446)</f>
        <v>0</v>
      </c>
      <c r="P446" s="20">
        <f>ABS(K446)</f>
        <v>0</v>
      </c>
      <c r="Q446" s="20">
        <f t="shared" si="61"/>
        <v>0</v>
      </c>
    </row>
    <row r="447" spans="4:17" x14ac:dyDescent="0.35">
      <c r="D447" s="20" t="str">
        <f t="shared" si="67"/>
        <v/>
      </c>
      <c r="E447" s="23" t="str">
        <f t="shared" si="68"/>
        <v/>
      </c>
      <c r="F447" s="23" t="str">
        <f t="shared" si="69"/>
        <v/>
      </c>
      <c r="G447" s="20">
        <f t="shared" si="62"/>
        <v>0</v>
      </c>
      <c r="H447" s="20">
        <f t="shared" si="66"/>
        <v>1</v>
      </c>
      <c r="I447" s="20">
        <f t="shared" si="63"/>
        <v>0</v>
      </c>
      <c r="J447" s="20">
        <f t="shared" si="66"/>
        <v>0</v>
      </c>
      <c r="K447" s="20">
        <f t="shared" si="64"/>
        <v>0</v>
      </c>
      <c r="L447" s="20">
        <f t="shared" si="66"/>
        <v>0</v>
      </c>
      <c r="M447" s="20">
        <f t="shared" si="65"/>
        <v>0</v>
      </c>
      <c r="N447" s="20">
        <f>ABS(G447)</f>
        <v>0</v>
      </c>
      <c r="O447" s="20">
        <f>ABS(I447)</f>
        <v>0</v>
      </c>
      <c r="P447" s="20">
        <f>ABS(K447)</f>
        <v>0</v>
      </c>
      <c r="Q447" s="20">
        <f t="shared" si="61"/>
        <v>0</v>
      </c>
    </row>
    <row r="448" spans="4:17" x14ac:dyDescent="0.35">
      <c r="D448" s="20" t="str">
        <f t="shared" si="67"/>
        <v/>
      </c>
      <c r="E448" s="23" t="str">
        <f t="shared" si="68"/>
        <v/>
      </c>
      <c r="F448" s="23" t="str">
        <f t="shared" si="69"/>
        <v/>
      </c>
      <c r="G448" s="20">
        <f t="shared" si="62"/>
        <v>0</v>
      </c>
      <c r="H448" s="20">
        <f t="shared" si="66"/>
        <v>0</v>
      </c>
      <c r="I448" s="20">
        <f t="shared" si="63"/>
        <v>0</v>
      </c>
      <c r="J448" s="20">
        <f t="shared" si="66"/>
        <v>1</v>
      </c>
      <c r="K448" s="20">
        <f t="shared" si="64"/>
        <v>0</v>
      </c>
      <c r="L448" s="20">
        <f t="shared" si="66"/>
        <v>0</v>
      </c>
      <c r="M448" s="20">
        <f t="shared" si="65"/>
        <v>0</v>
      </c>
      <c r="N448" s="20">
        <f>ABS(G448)</f>
        <v>0</v>
      </c>
      <c r="O448" s="20">
        <f>ABS(I448)</f>
        <v>0</v>
      </c>
      <c r="P448" s="20">
        <f>ABS(K448)</f>
        <v>0</v>
      </c>
      <c r="Q448" s="20">
        <f t="shared" si="61"/>
        <v>0</v>
      </c>
    </row>
    <row r="449" spans="4:17" x14ac:dyDescent="0.35">
      <c r="D449" s="20" t="str">
        <f t="shared" si="67"/>
        <v/>
      </c>
      <c r="E449" s="23" t="str">
        <f t="shared" si="68"/>
        <v/>
      </c>
      <c r="F449" s="23" t="str">
        <f t="shared" si="69"/>
        <v/>
      </c>
      <c r="G449" s="20">
        <f t="shared" si="62"/>
        <v>0</v>
      </c>
      <c r="H449" s="20">
        <f t="shared" si="66"/>
        <v>0</v>
      </c>
      <c r="I449" s="20">
        <f t="shared" si="63"/>
        <v>0</v>
      </c>
      <c r="J449" s="20">
        <f t="shared" si="66"/>
        <v>0</v>
      </c>
      <c r="K449" s="20">
        <f t="shared" si="64"/>
        <v>0</v>
      </c>
      <c r="L449" s="20">
        <f t="shared" si="66"/>
        <v>1</v>
      </c>
      <c r="M449" s="20">
        <f t="shared" si="65"/>
        <v>0</v>
      </c>
      <c r="N449" s="20">
        <f>ABS(G449)</f>
        <v>0</v>
      </c>
      <c r="O449" s="20">
        <f>ABS(I449)</f>
        <v>0</v>
      </c>
      <c r="P449" s="20">
        <f>ABS(K449)</f>
        <v>0</v>
      </c>
      <c r="Q449" s="20">
        <f t="shared" si="61"/>
        <v>0</v>
      </c>
    </row>
    <row r="450" spans="4:17" x14ac:dyDescent="0.35">
      <c r="D450" s="20" t="str">
        <f t="shared" si="67"/>
        <v/>
      </c>
      <c r="E450" s="23" t="str">
        <f t="shared" si="68"/>
        <v/>
      </c>
      <c r="F450" s="23" t="str">
        <f t="shared" si="69"/>
        <v/>
      </c>
      <c r="G450" s="20">
        <f t="shared" si="62"/>
        <v>0</v>
      </c>
      <c r="H450" s="20">
        <f t="shared" si="66"/>
        <v>1</v>
      </c>
      <c r="I450" s="20">
        <f t="shared" si="63"/>
        <v>0</v>
      </c>
      <c r="J450" s="20">
        <f t="shared" si="66"/>
        <v>0</v>
      </c>
      <c r="K450" s="20">
        <f t="shared" si="64"/>
        <v>0</v>
      </c>
      <c r="L450" s="20">
        <f t="shared" si="66"/>
        <v>0</v>
      </c>
      <c r="M450" s="20">
        <f t="shared" si="65"/>
        <v>0</v>
      </c>
      <c r="N450" s="20">
        <f>ABS(G450)</f>
        <v>0</v>
      </c>
      <c r="O450" s="20">
        <f>ABS(I450)</f>
        <v>0</v>
      </c>
      <c r="P450" s="20">
        <f>ABS(K450)</f>
        <v>0</v>
      </c>
      <c r="Q450" s="20">
        <f t="shared" ref="Q450:Q513" si="70">ABS(M450)</f>
        <v>0</v>
      </c>
    </row>
    <row r="451" spans="4:17" x14ac:dyDescent="0.35">
      <c r="D451" s="20" t="str">
        <f t="shared" si="67"/>
        <v/>
      </c>
      <c r="E451" s="23" t="str">
        <f t="shared" si="68"/>
        <v/>
      </c>
      <c r="F451" s="23" t="str">
        <f t="shared" si="69"/>
        <v/>
      </c>
      <c r="G451" s="20">
        <f t="shared" si="62"/>
        <v>0</v>
      </c>
      <c r="H451" s="20">
        <f t="shared" si="66"/>
        <v>0</v>
      </c>
      <c r="I451" s="20">
        <f t="shared" si="63"/>
        <v>0</v>
      </c>
      <c r="J451" s="20">
        <f t="shared" si="66"/>
        <v>1</v>
      </c>
      <c r="K451" s="20">
        <f t="shared" si="64"/>
        <v>0</v>
      </c>
      <c r="L451" s="20">
        <f t="shared" si="66"/>
        <v>0</v>
      </c>
      <c r="M451" s="20">
        <f t="shared" si="65"/>
        <v>0</v>
      </c>
      <c r="N451" s="20">
        <f>ABS(G451)</f>
        <v>0</v>
      </c>
      <c r="O451" s="20">
        <f>ABS(I451)</f>
        <v>0</v>
      </c>
      <c r="P451" s="20">
        <f>ABS(K451)</f>
        <v>0</v>
      </c>
      <c r="Q451" s="20">
        <f t="shared" ref="Q451:Q501" si="71">ABS(M451)</f>
        <v>0</v>
      </c>
    </row>
    <row r="452" spans="4:17" x14ac:dyDescent="0.35">
      <c r="D452" s="20" t="str">
        <f t="shared" si="67"/>
        <v/>
      </c>
      <c r="E452" s="23" t="str">
        <f t="shared" si="68"/>
        <v/>
      </c>
      <c r="F452" s="23" t="str">
        <f t="shared" si="69"/>
        <v/>
      </c>
      <c r="G452" s="20">
        <f t="shared" ref="G452:G501" si="72">IF(D452=$B$5+1,F452,0)</f>
        <v>0</v>
      </c>
      <c r="H452" s="20">
        <f t="shared" si="66"/>
        <v>0</v>
      </c>
      <c r="I452" s="20">
        <f t="shared" ref="I452:I501" si="73">IF(D451&lt;$B$5,F452*H452,0)</f>
        <v>0</v>
      </c>
      <c r="J452" s="20">
        <f t="shared" si="66"/>
        <v>0</v>
      </c>
      <c r="K452" s="20">
        <f t="shared" ref="K452:K501" si="74">IF(D451&lt;$B$5,F452*J452,0)</f>
        <v>0</v>
      </c>
      <c r="L452" s="20">
        <f t="shared" si="66"/>
        <v>1</v>
      </c>
      <c r="M452" s="20">
        <f t="shared" ref="M452:M501" si="75">IF(D451&lt;$B$5,F452*L452,0)</f>
        <v>0</v>
      </c>
      <c r="N452" s="20">
        <f>ABS(G452)</f>
        <v>0</v>
      </c>
      <c r="O452" s="20">
        <f>ABS(I452)</f>
        <v>0</v>
      </c>
      <c r="P452" s="20">
        <f>ABS(K452)</f>
        <v>0</v>
      </c>
      <c r="Q452" s="20">
        <f t="shared" si="71"/>
        <v>0</v>
      </c>
    </row>
    <row r="453" spans="4:17" x14ac:dyDescent="0.35">
      <c r="D453" s="20" t="str">
        <f t="shared" si="67"/>
        <v/>
      </c>
      <c r="E453" s="23" t="str">
        <f t="shared" si="68"/>
        <v/>
      </c>
      <c r="F453" s="23" t="str">
        <f t="shared" si="69"/>
        <v/>
      </c>
      <c r="G453" s="20">
        <f t="shared" si="72"/>
        <v>0</v>
      </c>
      <c r="H453" s="20">
        <f t="shared" si="66"/>
        <v>1</v>
      </c>
      <c r="I453" s="20">
        <f t="shared" si="73"/>
        <v>0</v>
      </c>
      <c r="J453" s="20">
        <f t="shared" si="66"/>
        <v>0</v>
      </c>
      <c r="K453" s="20">
        <f t="shared" si="74"/>
        <v>0</v>
      </c>
      <c r="L453" s="20">
        <f t="shared" si="66"/>
        <v>0</v>
      </c>
      <c r="M453" s="20">
        <f t="shared" si="75"/>
        <v>0</v>
      </c>
      <c r="N453" s="20">
        <f>ABS(G453)</f>
        <v>0</v>
      </c>
      <c r="O453" s="20">
        <f>ABS(I453)</f>
        <v>0</v>
      </c>
      <c r="P453" s="20">
        <f>ABS(K453)</f>
        <v>0</v>
      </c>
      <c r="Q453" s="20">
        <f t="shared" si="71"/>
        <v>0</v>
      </c>
    </row>
    <row r="454" spans="4:17" x14ac:dyDescent="0.35">
      <c r="D454" s="20" t="str">
        <f t="shared" si="67"/>
        <v/>
      </c>
      <c r="E454" s="23" t="str">
        <f t="shared" si="68"/>
        <v/>
      </c>
      <c r="F454" s="23" t="str">
        <f t="shared" si="69"/>
        <v/>
      </c>
      <c r="G454" s="20">
        <f t="shared" si="72"/>
        <v>0</v>
      </c>
      <c r="H454" s="20">
        <f t="shared" si="66"/>
        <v>0</v>
      </c>
      <c r="I454" s="20">
        <f t="shared" si="73"/>
        <v>0</v>
      </c>
      <c r="J454" s="20">
        <f t="shared" si="66"/>
        <v>1</v>
      </c>
      <c r="K454" s="20">
        <f t="shared" si="74"/>
        <v>0</v>
      </c>
      <c r="L454" s="20">
        <f t="shared" si="66"/>
        <v>0</v>
      </c>
      <c r="M454" s="20">
        <f t="shared" si="75"/>
        <v>0</v>
      </c>
      <c r="N454" s="20">
        <f>ABS(G454)</f>
        <v>0</v>
      </c>
      <c r="O454" s="20">
        <f>ABS(I454)</f>
        <v>0</v>
      </c>
      <c r="P454" s="20">
        <f>ABS(K454)</f>
        <v>0</v>
      </c>
      <c r="Q454" s="20">
        <f t="shared" si="71"/>
        <v>0</v>
      </c>
    </row>
    <row r="455" spans="4:17" x14ac:dyDescent="0.35">
      <c r="D455" s="20" t="str">
        <f t="shared" si="67"/>
        <v/>
      </c>
      <c r="E455" s="23" t="str">
        <f t="shared" si="68"/>
        <v/>
      </c>
      <c r="F455" s="23" t="str">
        <f t="shared" si="69"/>
        <v/>
      </c>
      <c r="G455" s="20">
        <f t="shared" si="72"/>
        <v>0</v>
      </c>
      <c r="H455" s="20">
        <f t="shared" ref="H455:L501" si="76">IF(H454+H453=0,1,0)</f>
        <v>0</v>
      </c>
      <c r="I455" s="20">
        <f t="shared" si="73"/>
        <v>0</v>
      </c>
      <c r="J455" s="20">
        <f t="shared" si="76"/>
        <v>0</v>
      </c>
      <c r="K455" s="20">
        <f t="shared" si="74"/>
        <v>0</v>
      </c>
      <c r="L455" s="20">
        <f t="shared" si="76"/>
        <v>1</v>
      </c>
      <c r="M455" s="20">
        <f t="shared" si="75"/>
        <v>0</v>
      </c>
      <c r="N455" s="20">
        <f>ABS(G455)</f>
        <v>0</v>
      </c>
      <c r="O455" s="20">
        <f>ABS(I455)</f>
        <v>0</v>
      </c>
      <c r="P455" s="20">
        <f>ABS(K455)</f>
        <v>0</v>
      </c>
      <c r="Q455" s="20">
        <f t="shared" si="71"/>
        <v>0</v>
      </c>
    </row>
    <row r="456" spans="4:17" x14ac:dyDescent="0.35">
      <c r="D456" s="20" t="str">
        <f t="shared" si="67"/>
        <v/>
      </c>
      <c r="E456" s="23" t="str">
        <f t="shared" si="68"/>
        <v/>
      </c>
      <c r="F456" s="23" t="str">
        <f t="shared" si="69"/>
        <v/>
      </c>
      <c r="G456" s="20">
        <f t="shared" si="72"/>
        <v>0</v>
      </c>
      <c r="H456" s="20">
        <f t="shared" si="76"/>
        <v>1</v>
      </c>
      <c r="I456" s="20">
        <f t="shared" si="73"/>
        <v>0</v>
      </c>
      <c r="J456" s="20">
        <f t="shared" si="76"/>
        <v>0</v>
      </c>
      <c r="K456" s="20">
        <f t="shared" si="74"/>
        <v>0</v>
      </c>
      <c r="L456" s="20">
        <f t="shared" si="76"/>
        <v>0</v>
      </c>
      <c r="M456" s="20">
        <f t="shared" si="75"/>
        <v>0</v>
      </c>
      <c r="N456" s="20">
        <f>ABS(G456)</f>
        <v>0</v>
      </c>
      <c r="O456" s="20">
        <f>ABS(I456)</f>
        <v>0</v>
      </c>
      <c r="P456" s="20">
        <f>ABS(K456)</f>
        <v>0</v>
      </c>
      <c r="Q456" s="20">
        <f t="shared" si="71"/>
        <v>0</v>
      </c>
    </row>
    <row r="457" spans="4:17" x14ac:dyDescent="0.35">
      <c r="D457" s="20" t="str">
        <f t="shared" si="67"/>
        <v/>
      </c>
      <c r="E457" s="23" t="str">
        <f t="shared" si="68"/>
        <v/>
      </c>
      <c r="F457" s="23" t="str">
        <f t="shared" si="69"/>
        <v/>
      </c>
      <c r="G457" s="20">
        <f t="shared" si="72"/>
        <v>0</v>
      </c>
      <c r="H457" s="20">
        <f t="shared" si="76"/>
        <v>0</v>
      </c>
      <c r="I457" s="20">
        <f t="shared" si="73"/>
        <v>0</v>
      </c>
      <c r="J457" s="20">
        <f t="shared" si="76"/>
        <v>1</v>
      </c>
      <c r="K457" s="20">
        <f t="shared" si="74"/>
        <v>0</v>
      </c>
      <c r="L457" s="20">
        <f t="shared" si="76"/>
        <v>0</v>
      </c>
      <c r="M457" s="20">
        <f t="shared" si="75"/>
        <v>0</v>
      </c>
      <c r="N457" s="20">
        <f>ABS(G457)</f>
        <v>0</v>
      </c>
      <c r="O457" s="20">
        <f>ABS(I457)</f>
        <v>0</v>
      </c>
      <c r="P457" s="20">
        <f>ABS(K457)</f>
        <v>0</v>
      </c>
      <c r="Q457" s="20">
        <f t="shared" si="71"/>
        <v>0</v>
      </c>
    </row>
    <row r="458" spans="4:17" x14ac:dyDescent="0.35">
      <c r="D458" s="20" t="str">
        <f t="shared" si="67"/>
        <v/>
      </c>
      <c r="E458" s="23" t="str">
        <f t="shared" si="68"/>
        <v/>
      </c>
      <c r="F458" s="23" t="str">
        <f t="shared" si="69"/>
        <v/>
      </c>
      <c r="G458" s="20">
        <f t="shared" si="72"/>
        <v>0</v>
      </c>
      <c r="H458" s="20">
        <f t="shared" si="76"/>
        <v>0</v>
      </c>
      <c r="I458" s="20">
        <f t="shared" si="73"/>
        <v>0</v>
      </c>
      <c r="J458" s="20">
        <f t="shared" si="76"/>
        <v>0</v>
      </c>
      <c r="K458" s="20">
        <f t="shared" si="74"/>
        <v>0</v>
      </c>
      <c r="L458" s="20">
        <f t="shared" si="76"/>
        <v>1</v>
      </c>
      <c r="M458" s="20">
        <f t="shared" si="75"/>
        <v>0</v>
      </c>
      <c r="N458" s="20">
        <f>ABS(G458)</f>
        <v>0</v>
      </c>
      <c r="O458" s="20">
        <f>ABS(I458)</f>
        <v>0</v>
      </c>
      <c r="P458" s="20">
        <f>ABS(K458)</f>
        <v>0</v>
      </c>
      <c r="Q458" s="20">
        <f t="shared" si="71"/>
        <v>0</v>
      </c>
    </row>
    <row r="459" spans="4:17" x14ac:dyDescent="0.35">
      <c r="D459" s="20" t="str">
        <f t="shared" si="67"/>
        <v/>
      </c>
      <c r="E459" s="23" t="str">
        <f t="shared" si="68"/>
        <v/>
      </c>
      <c r="F459" s="23" t="str">
        <f t="shared" si="69"/>
        <v/>
      </c>
      <c r="G459" s="20">
        <f t="shared" si="72"/>
        <v>0</v>
      </c>
      <c r="H459" s="20">
        <f t="shared" si="76"/>
        <v>1</v>
      </c>
      <c r="I459" s="20">
        <f t="shared" si="73"/>
        <v>0</v>
      </c>
      <c r="J459" s="20">
        <f t="shared" si="76"/>
        <v>0</v>
      </c>
      <c r="K459" s="20">
        <f t="shared" si="74"/>
        <v>0</v>
      </c>
      <c r="L459" s="20">
        <f t="shared" si="76"/>
        <v>0</v>
      </c>
      <c r="M459" s="20">
        <f t="shared" si="75"/>
        <v>0</v>
      </c>
      <c r="N459" s="20">
        <f>ABS(G459)</f>
        <v>0</v>
      </c>
      <c r="O459" s="20">
        <f>ABS(I459)</f>
        <v>0</v>
      </c>
      <c r="P459" s="20">
        <f>ABS(K459)</f>
        <v>0</v>
      </c>
      <c r="Q459" s="20">
        <f t="shared" si="71"/>
        <v>0</v>
      </c>
    </row>
    <row r="460" spans="4:17" x14ac:dyDescent="0.35">
      <c r="D460" s="20" t="str">
        <f t="shared" si="67"/>
        <v/>
      </c>
      <c r="E460" s="23" t="str">
        <f t="shared" si="68"/>
        <v/>
      </c>
      <c r="F460" s="23" t="str">
        <f t="shared" si="69"/>
        <v/>
      </c>
      <c r="G460" s="20">
        <f t="shared" si="72"/>
        <v>0</v>
      </c>
      <c r="H460" s="20">
        <f t="shared" si="76"/>
        <v>0</v>
      </c>
      <c r="I460" s="20">
        <f t="shared" si="73"/>
        <v>0</v>
      </c>
      <c r="J460" s="20">
        <f t="shared" si="76"/>
        <v>1</v>
      </c>
      <c r="K460" s="20">
        <f t="shared" si="74"/>
        <v>0</v>
      </c>
      <c r="L460" s="20">
        <f t="shared" si="76"/>
        <v>0</v>
      </c>
      <c r="M460" s="20">
        <f t="shared" si="75"/>
        <v>0</v>
      </c>
      <c r="N460" s="20">
        <f>ABS(G460)</f>
        <v>0</v>
      </c>
      <c r="O460" s="20">
        <f>ABS(I460)</f>
        <v>0</v>
      </c>
      <c r="P460" s="20">
        <f>ABS(K460)</f>
        <v>0</v>
      </c>
      <c r="Q460" s="20">
        <f t="shared" si="71"/>
        <v>0</v>
      </c>
    </row>
    <row r="461" spans="4:17" x14ac:dyDescent="0.35">
      <c r="D461" s="20" t="str">
        <f t="shared" si="67"/>
        <v/>
      </c>
      <c r="E461" s="23" t="str">
        <f t="shared" si="68"/>
        <v/>
      </c>
      <c r="F461" s="23" t="str">
        <f t="shared" si="69"/>
        <v/>
      </c>
      <c r="G461" s="20">
        <f t="shared" si="72"/>
        <v>0</v>
      </c>
      <c r="H461" s="20">
        <f t="shared" si="76"/>
        <v>0</v>
      </c>
      <c r="I461" s="20">
        <f t="shared" si="73"/>
        <v>0</v>
      </c>
      <c r="J461" s="20">
        <f t="shared" si="76"/>
        <v>0</v>
      </c>
      <c r="K461" s="20">
        <f t="shared" si="74"/>
        <v>0</v>
      </c>
      <c r="L461" s="20">
        <f t="shared" si="76"/>
        <v>1</v>
      </c>
      <c r="M461" s="20">
        <f t="shared" si="75"/>
        <v>0</v>
      </c>
      <c r="N461" s="20">
        <f>ABS(G461)</f>
        <v>0</v>
      </c>
      <c r="O461" s="20">
        <f>ABS(I461)</f>
        <v>0</v>
      </c>
      <c r="P461" s="20">
        <f>ABS(K461)</f>
        <v>0</v>
      </c>
      <c r="Q461" s="20">
        <f t="shared" si="71"/>
        <v>0</v>
      </c>
    </row>
    <row r="462" spans="4:17" x14ac:dyDescent="0.35">
      <c r="D462" s="20" t="str">
        <f t="shared" si="67"/>
        <v/>
      </c>
      <c r="E462" s="23" t="str">
        <f t="shared" si="68"/>
        <v/>
      </c>
      <c r="F462" s="23" t="str">
        <f t="shared" si="69"/>
        <v/>
      </c>
      <c r="G462" s="20">
        <f t="shared" si="72"/>
        <v>0</v>
      </c>
      <c r="H462" s="20">
        <f t="shared" si="76"/>
        <v>1</v>
      </c>
      <c r="I462" s="20">
        <f t="shared" si="73"/>
        <v>0</v>
      </c>
      <c r="J462" s="20">
        <f t="shared" si="76"/>
        <v>0</v>
      </c>
      <c r="K462" s="20">
        <f t="shared" si="74"/>
        <v>0</v>
      </c>
      <c r="L462" s="20">
        <f t="shared" si="76"/>
        <v>0</v>
      </c>
      <c r="M462" s="20">
        <f t="shared" si="75"/>
        <v>0</v>
      </c>
      <c r="N462" s="20">
        <f>ABS(G462)</f>
        <v>0</v>
      </c>
      <c r="O462" s="20">
        <f>ABS(I462)</f>
        <v>0</v>
      </c>
      <c r="P462" s="20">
        <f>ABS(K462)</f>
        <v>0</v>
      </c>
      <c r="Q462" s="20">
        <f t="shared" si="71"/>
        <v>0</v>
      </c>
    </row>
    <row r="463" spans="4:17" x14ac:dyDescent="0.35">
      <c r="D463" s="20" t="str">
        <f t="shared" si="67"/>
        <v/>
      </c>
      <c r="E463" s="23" t="str">
        <f t="shared" si="68"/>
        <v/>
      </c>
      <c r="F463" s="23" t="str">
        <f t="shared" si="69"/>
        <v/>
      </c>
      <c r="G463" s="20">
        <f t="shared" si="72"/>
        <v>0</v>
      </c>
      <c r="H463" s="20">
        <f t="shared" si="76"/>
        <v>0</v>
      </c>
      <c r="I463" s="20">
        <f t="shared" si="73"/>
        <v>0</v>
      </c>
      <c r="J463" s="20">
        <f t="shared" si="76"/>
        <v>1</v>
      </c>
      <c r="K463" s="20">
        <f t="shared" si="74"/>
        <v>0</v>
      </c>
      <c r="L463" s="20">
        <f t="shared" si="76"/>
        <v>0</v>
      </c>
      <c r="M463" s="20">
        <f t="shared" si="75"/>
        <v>0</v>
      </c>
      <c r="N463" s="20">
        <f>ABS(G463)</f>
        <v>0</v>
      </c>
      <c r="O463" s="20">
        <f>ABS(I463)</f>
        <v>0</v>
      </c>
      <c r="P463" s="20">
        <f>ABS(K463)</f>
        <v>0</v>
      </c>
      <c r="Q463" s="20">
        <f t="shared" si="71"/>
        <v>0</v>
      </c>
    </row>
    <row r="464" spans="4:17" x14ac:dyDescent="0.35">
      <c r="D464" s="20" t="str">
        <f t="shared" si="67"/>
        <v/>
      </c>
      <c r="E464" s="23" t="str">
        <f t="shared" si="68"/>
        <v/>
      </c>
      <c r="F464" s="23" t="str">
        <f t="shared" si="69"/>
        <v/>
      </c>
      <c r="G464" s="20">
        <f t="shared" si="72"/>
        <v>0</v>
      </c>
      <c r="H464" s="20">
        <f t="shared" si="76"/>
        <v>0</v>
      </c>
      <c r="I464" s="20">
        <f t="shared" si="73"/>
        <v>0</v>
      </c>
      <c r="J464" s="20">
        <f t="shared" si="76"/>
        <v>0</v>
      </c>
      <c r="K464" s="20">
        <f t="shared" si="74"/>
        <v>0</v>
      </c>
      <c r="L464" s="20">
        <f t="shared" si="76"/>
        <v>1</v>
      </c>
      <c r="M464" s="20">
        <f t="shared" si="75"/>
        <v>0</v>
      </c>
      <c r="N464" s="20">
        <f>ABS(G464)</f>
        <v>0</v>
      </c>
      <c r="O464" s="20">
        <f>ABS(I464)</f>
        <v>0</v>
      </c>
      <c r="P464" s="20">
        <f>ABS(K464)</f>
        <v>0</v>
      </c>
      <c r="Q464" s="20">
        <f t="shared" si="71"/>
        <v>0</v>
      </c>
    </row>
    <row r="465" spans="4:17" x14ac:dyDescent="0.35">
      <c r="D465" s="20" t="str">
        <f t="shared" si="67"/>
        <v/>
      </c>
      <c r="E465" s="23" t="str">
        <f t="shared" si="68"/>
        <v/>
      </c>
      <c r="F465" s="23" t="str">
        <f t="shared" si="69"/>
        <v/>
      </c>
      <c r="G465" s="20">
        <f t="shared" si="72"/>
        <v>0</v>
      </c>
      <c r="H465" s="20">
        <f t="shared" si="76"/>
        <v>1</v>
      </c>
      <c r="I465" s="20">
        <f t="shared" si="73"/>
        <v>0</v>
      </c>
      <c r="J465" s="20">
        <f t="shared" si="76"/>
        <v>0</v>
      </c>
      <c r="K465" s="20">
        <f t="shared" si="74"/>
        <v>0</v>
      </c>
      <c r="L465" s="20">
        <f t="shared" si="76"/>
        <v>0</v>
      </c>
      <c r="M465" s="20">
        <f t="shared" si="75"/>
        <v>0</v>
      </c>
      <c r="N465" s="20">
        <f>ABS(G465)</f>
        <v>0</v>
      </c>
      <c r="O465" s="20">
        <f>ABS(I465)</f>
        <v>0</v>
      </c>
      <c r="P465" s="20">
        <f>ABS(K465)</f>
        <v>0</v>
      </c>
      <c r="Q465" s="20">
        <f t="shared" si="71"/>
        <v>0</v>
      </c>
    </row>
    <row r="466" spans="4:17" x14ac:dyDescent="0.35">
      <c r="D466" s="20" t="str">
        <f t="shared" si="67"/>
        <v/>
      </c>
      <c r="E466" s="23" t="str">
        <f t="shared" si="68"/>
        <v/>
      </c>
      <c r="F466" s="23" t="str">
        <f t="shared" si="69"/>
        <v/>
      </c>
      <c r="G466" s="20">
        <f t="shared" si="72"/>
        <v>0</v>
      </c>
      <c r="H466" s="20">
        <f t="shared" si="76"/>
        <v>0</v>
      </c>
      <c r="I466" s="20">
        <f t="shared" si="73"/>
        <v>0</v>
      </c>
      <c r="J466" s="20">
        <f t="shared" si="76"/>
        <v>1</v>
      </c>
      <c r="K466" s="20">
        <f t="shared" si="74"/>
        <v>0</v>
      </c>
      <c r="L466" s="20">
        <f t="shared" si="76"/>
        <v>0</v>
      </c>
      <c r="M466" s="20">
        <f t="shared" si="75"/>
        <v>0</v>
      </c>
      <c r="N466" s="20">
        <f>ABS(G466)</f>
        <v>0</v>
      </c>
      <c r="O466" s="20">
        <f>ABS(I466)</f>
        <v>0</v>
      </c>
      <c r="P466" s="20">
        <f>ABS(K466)</f>
        <v>0</v>
      </c>
      <c r="Q466" s="20">
        <f t="shared" si="71"/>
        <v>0</v>
      </c>
    </row>
    <row r="467" spans="4:17" x14ac:dyDescent="0.35">
      <c r="D467" s="20" t="str">
        <f t="shared" si="67"/>
        <v/>
      </c>
      <c r="E467" s="23" t="str">
        <f t="shared" si="68"/>
        <v/>
      </c>
      <c r="F467" s="23" t="str">
        <f t="shared" si="69"/>
        <v/>
      </c>
      <c r="G467" s="20">
        <f t="shared" si="72"/>
        <v>0</v>
      </c>
      <c r="H467" s="20">
        <f t="shared" si="76"/>
        <v>0</v>
      </c>
      <c r="I467" s="20">
        <f t="shared" si="73"/>
        <v>0</v>
      </c>
      <c r="J467" s="20">
        <f t="shared" si="76"/>
        <v>0</v>
      </c>
      <c r="K467" s="20">
        <f t="shared" si="74"/>
        <v>0</v>
      </c>
      <c r="L467" s="20">
        <f t="shared" si="76"/>
        <v>1</v>
      </c>
      <c r="M467" s="20">
        <f t="shared" si="75"/>
        <v>0</v>
      </c>
      <c r="N467" s="20">
        <f>ABS(G467)</f>
        <v>0</v>
      </c>
      <c r="O467" s="20">
        <f>ABS(I467)</f>
        <v>0</v>
      </c>
      <c r="P467" s="20">
        <f>ABS(K467)</f>
        <v>0</v>
      </c>
      <c r="Q467" s="20">
        <f t="shared" si="71"/>
        <v>0</v>
      </c>
    </row>
    <row r="468" spans="4:17" x14ac:dyDescent="0.35">
      <c r="D468" s="20" t="str">
        <f t="shared" si="67"/>
        <v/>
      </c>
      <c r="E468" s="23" t="str">
        <f t="shared" si="68"/>
        <v/>
      </c>
      <c r="F468" s="23" t="str">
        <f t="shared" si="69"/>
        <v/>
      </c>
      <c r="G468" s="20">
        <f t="shared" si="72"/>
        <v>0</v>
      </c>
      <c r="H468" s="20">
        <f t="shared" si="76"/>
        <v>1</v>
      </c>
      <c r="I468" s="20">
        <f t="shared" si="73"/>
        <v>0</v>
      </c>
      <c r="J468" s="20">
        <f t="shared" si="76"/>
        <v>0</v>
      </c>
      <c r="K468" s="20">
        <f t="shared" si="74"/>
        <v>0</v>
      </c>
      <c r="L468" s="20">
        <f t="shared" si="76"/>
        <v>0</v>
      </c>
      <c r="M468" s="20">
        <f t="shared" si="75"/>
        <v>0</v>
      </c>
      <c r="N468" s="20">
        <f>ABS(G468)</f>
        <v>0</v>
      </c>
      <c r="O468" s="20">
        <f>ABS(I468)</f>
        <v>0</v>
      </c>
      <c r="P468" s="20">
        <f>ABS(K468)</f>
        <v>0</v>
      </c>
      <c r="Q468" s="20">
        <f t="shared" si="71"/>
        <v>0</v>
      </c>
    </row>
    <row r="469" spans="4:17" x14ac:dyDescent="0.35">
      <c r="D469" s="20" t="str">
        <f t="shared" si="67"/>
        <v/>
      </c>
      <c r="E469" s="23" t="str">
        <f t="shared" si="68"/>
        <v/>
      </c>
      <c r="F469" s="23" t="str">
        <f t="shared" si="69"/>
        <v/>
      </c>
      <c r="G469" s="20">
        <f t="shared" si="72"/>
        <v>0</v>
      </c>
      <c r="H469" s="20">
        <f t="shared" si="76"/>
        <v>0</v>
      </c>
      <c r="I469" s="20">
        <f t="shared" si="73"/>
        <v>0</v>
      </c>
      <c r="J469" s="20">
        <f t="shared" si="76"/>
        <v>1</v>
      </c>
      <c r="K469" s="20">
        <f t="shared" si="74"/>
        <v>0</v>
      </c>
      <c r="L469" s="20">
        <f t="shared" si="76"/>
        <v>0</v>
      </c>
      <c r="M469" s="20">
        <f t="shared" si="75"/>
        <v>0</v>
      </c>
      <c r="N469" s="20">
        <f>ABS(G469)</f>
        <v>0</v>
      </c>
      <c r="O469" s="20">
        <f>ABS(I469)</f>
        <v>0</v>
      </c>
      <c r="P469" s="20">
        <f>ABS(K469)</f>
        <v>0</v>
      </c>
      <c r="Q469" s="20">
        <f t="shared" si="71"/>
        <v>0</v>
      </c>
    </row>
    <row r="470" spans="4:17" x14ac:dyDescent="0.35">
      <c r="D470" s="20" t="str">
        <f t="shared" si="67"/>
        <v/>
      </c>
      <c r="E470" s="23" t="str">
        <f t="shared" si="68"/>
        <v/>
      </c>
      <c r="F470" s="23" t="str">
        <f t="shared" si="69"/>
        <v/>
      </c>
      <c r="G470" s="20">
        <f t="shared" si="72"/>
        <v>0</v>
      </c>
      <c r="H470" s="20">
        <f t="shared" si="76"/>
        <v>0</v>
      </c>
      <c r="I470" s="20">
        <f t="shared" si="73"/>
        <v>0</v>
      </c>
      <c r="J470" s="20">
        <f t="shared" si="76"/>
        <v>0</v>
      </c>
      <c r="K470" s="20">
        <f t="shared" si="74"/>
        <v>0</v>
      </c>
      <c r="L470" s="20">
        <f t="shared" si="76"/>
        <v>1</v>
      </c>
      <c r="M470" s="20">
        <f t="shared" si="75"/>
        <v>0</v>
      </c>
      <c r="N470" s="20">
        <f>ABS(G470)</f>
        <v>0</v>
      </c>
      <c r="O470" s="20">
        <f>ABS(I470)</f>
        <v>0</v>
      </c>
      <c r="P470" s="20">
        <f>ABS(K470)</f>
        <v>0</v>
      </c>
      <c r="Q470" s="20">
        <f t="shared" si="71"/>
        <v>0</v>
      </c>
    </row>
    <row r="471" spans="4:17" x14ac:dyDescent="0.35">
      <c r="D471" s="20" t="str">
        <f t="shared" ref="D471:D501" si="77">IF(D470&lt;=$B$5,D470+1,"")</f>
        <v/>
      </c>
      <c r="E471" s="23" t="str">
        <f t="shared" ref="E471:E501" si="78">IF(D470&lt;=$B$5,E470+$B$6,"")</f>
        <v/>
      </c>
      <c r="F471" s="23" t="str">
        <f t="shared" ref="F471:F501" si="79">IF(D470&lt;=$B$5,(20*COS((5/2)*E471^2+1))/(E471^2+2),"")</f>
        <v/>
      </c>
      <c r="G471" s="20">
        <f t="shared" si="72"/>
        <v>0</v>
      </c>
      <c r="H471" s="20">
        <f t="shared" si="76"/>
        <v>1</v>
      </c>
      <c r="I471" s="20">
        <f t="shared" si="73"/>
        <v>0</v>
      </c>
      <c r="J471" s="20">
        <f t="shared" si="76"/>
        <v>0</v>
      </c>
      <c r="K471" s="20">
        <f t="shared" si="74"/>
        <v>0</v>
      </c>
      <c r="L471" s="20">
        <f t="shared" si="76"/>
        <v>0</v>
      </c>
      <c r="M471" s="20">
        <f t="shared" si="75"/>
        <v>0</v>
      </c>
      <c r="N471" s="20">
        <f>ABS(G471)</f>
        <v>0</v>
      </c>
      <c r="O471" s="20">
        <f>ABS(I471)</f>
        <v>0</v>
      </c>
      <c r="P471" s="20">
        <f>ABS(K471)</f>
        <v>0</v>
      </c>
      <c r="Q471" s="20">
        <f t="shared" si="71"/>
        <v>0</v>
      </c>
    </row>
    <row r="472" spans="4:17" x14ac:dyDescent="0.35">
      <c r="D472" s="20" t="str">
        <f t="shared" si="77"/>
        <v/>
      </c>
      <c r="E472" s="23" t="str">
        <f t="shared" si="78"/>
        <v/>
      </c>
      <c r="F472" s="23" t="str">
        <f t="shared" si="79"/>
        <v/>
      </c>
      <c r="G472" s="20">
        <f t="shared" si="72"/>
        <v>0</v>
      </c>
      <c r="H472" s="20">
        <f t="shared" si="76"/>
        <v>0</v>
      </c>
      <c r="I472" s="20">
        <f t="shared" si="73"/>
        <v>0</v>
      </c>
      <c r="J472" s="20">
        <f t="shared" si="76"/>
        <v>1</v>
      </c>
      <c r="K472" s="20">
        <f t="shared" si="74"/>
        <v>0</v>
      </c>
      <c r="L472" s="20">
        <f t="shared" si="76"/>
        <v>0</v>
      </c>
      <c r="M472" s="20">
        <f t="shared" si="75"/>
        <v>0</v>
      </c>
      <c r="N472" s="20">
        <f>ABS(G472)</f>
        <v>0</v>
      </c>
      <c r="O472" s="20">
        <f>ABS(I472)</f>
        <v>0</v>
      </c>
      <c r="P472" s="20">
        <f>ABS(K472)</f>
        <v>0</v>
      </c>
      <c r="Q472" s="20">
        <f t="shared" si="71"/>
        <v>0</v>
      </c>
    </row>
    <row r="473" spans="4:17" x14ac:dyDescent="0.35">
      <c r="D473" s="20" t="str">
        <f t="shared" si="77"/>
        <v/>
      </c>
      <c r="E473" s="23" t="str">
        <f t="shared" si="78"/>
        <v/>
      </c>
      <c r="F473" s="23" t="str">
        <f t="shared" si="79"/>
        <v/>
      </c>
      <c r="G473" s="20">
        <f t="shared" si="72"/>
        <v>0</v>
      </c>
      <c r="H473" s="20">
        <f t="shared" si="76"/>
        <v>0</v>
      </c>
      <c r="I473" s="20">
        <f t="shared" si="73"/>
        <v>0</v>
      </c>
      <c r="J473" s="20">
        <f t="shared" si="76"/>
        <v>0</v>
      </c>
      <c r="K473" s="20">
        <f t="shared" si="74"/>
        <v>0</v>
      </c>
      <c r="L473" s="20">
        <f t="shared" si="76"/>
        <v>1</v>
      </c>
      <c r="M473" s="20">
        <f t="shared" si="75"/>
        <v>0</v>
      </c>
      <c r="N473" s="20">
        <f>ABS(G473)</f>
        <v>0</v>
      </c>
      <c r="O473" s="20">
        <f>ABS(I473)</f>
        <v>0</v>
      </c>
      <c r="P473" s="20">
        <f>ABS(K473)</f>
        <v>0</v>
      </c>
      <c r="Q473" s="20">
        <f t="shared" si="71"/>
        <v>0</v>
      </c>
    </row>
    <row r="474" spans="4:17" x14ac:dyDescent="0.35">
      <c r="D474" s="20" t="str">
        <f t="shared" si="77"/>
        <v/>
      </c>
      <c r="E474" s="23" t="str">
        <f t="shared" si="78"/>
        <v/>
      </c>
      <c r="F474" s="23" t="str">
        <f t="shared" si="79"/>
        <v/>
      </c>
      <c r="G474" s="20">
        <f t="shared" si="72"/>
        <v>0</v>
      </c>
      <c r="H474" s="20">
        <f t="shared" si="76"/>
        <v>1</v>
      </c>
      <c r="I474" s="20">
        <f t="shared" si="73"/>
        <v>0</v>
      </c>
      <c r="J474" s="20">
        <f t="shared" si="76"/>
        <v>0</v>
      </c>
      <c r="K474" s="20">
        <f t="shared" si="74"/>
        <v>0</v>
      </c>
      <c r="L474" s="20">
        <f t="shared" si="76"/>
        <v>0</v>
      </c>
      <c r="M474" s="20">
        <f t="shared" si="75"/>
        <v>0</v>
      </c>
      <c r="N474" s="20">
        <f>ABS(G474)</f>
        <v>0</v>
      </c>
      <c r="O474" s="20">
        <f>ABS(I474)</f>
        <v>0</v>
      </c>
      <c r="P474" s="20">
        <f>ABS(K474)</f>
        <v>0</v>
      </c>
      <c r="Q474" s="20">
        <f t="shared" si="71"/>
        <v>0</v>
      </c>
    </row>
    <row r="475" spans="4:17" x14ac:dyDescent="0.35">
      <c r="D475" s="20" t="str">
        <f t="shared" si="77"/>
        <v/>
      </c>
      <c r="E475" s="23" t="str">
        <f t="shared" si="78"/>
        <v/>
      </c>
      <c r="F475" s="23" t="str">
        <f t="shared" si="79"/>
        <v/>
      </c>
      <c r="G475" s="20">
        <f t="shared" si="72"/>
        <v>0</v>
      </c>
      <c r="H475" s="20">
        <f t="shared" si="76"/>
        <v>0</v>
      </c>
      <c r="I475" s="20">
        <f t="shared" si="73"/>
        <v>0</v>
      </c>
      <c r="J475" s="20">
        <f t="shared" si="76"/>
        <v>1</v>
      </c>
      <c r="K475" s="20">
        <f t="shared" si="74"/>
        <v>0</v>
      </c>
      <c r="L475" s="20">
        <f t="shared" si="76"/>
        <v>0</v>
      </c>
      <c r="M475" s="20">
        <f t="shared" si="75"/>
        <v>0</v>
      </c>
      <c r="N475" s="20">
        <f>ABS(G475)</f>
        <v>0</v>
      </c>
      <c r="O475" s="20">
        <f>ABS(I475)</f>
        <v>0</v>
      </c>
      <c r="P475" s="20">
        <f>ABS(K475)</f>
        <v>0</v>
      </c>
      <c r="Q475" s="20">
        <f t="shared" si="71"/>
        <v>0</v>
      </c>
    </row>
    <row r="476" spans="4:17" x14ac:dyDescent="0.35">
      <c r="D476" s="20" t="str">
        <f t="shared" si="77"/>
        <v/>
      </c>
      <c r="E476" s="23" t="str">
        <f t="shared" si="78"/>
        <v/>
      </c>
      <c r="F476" s="23" t="str">
        <f t="shared" si="79"/>
        <v/>
      </c>
      <c r="G476" s="20">
        <f t="shared" si="72"/>
        <v>0</v>
      </c>
      <c r="H476" s="20">
        <f t="shared" si="76"/>
        <v>0</v>
      </c>
      <c r="I476" s="20">
        <f t="shared" si="73"/>
        <v>0</v>
      </c>
      <c r="J476" s="20">
        <f t="shared" si="76"/>
        <v>0</v>
      </c>
      <c r="K476" s="20">
        <f t="shared" si="74"/>
        <v>0</v>
      </c>
      <c r="L476" s="20">
        <f t="shared" si="76"/>
        <v>1</v>
      </c>
      <c r="M476" s="20">
        <f t="shared" si="75"/>
        <v>0</v>
      </c>
      <c r="N476" s="20">
        <f>ABS(G476)</f>
        <v>0</v>
      </c>
      <c r="O476" s="20">
        <f>ABS(I476)</f>
        <v>0</v>
      </c>
      <c r="P476" s="20">
        <f>ABS(K476)</f>
        <v>0</v>
      </c>
      <c r="Q476" s="20">
        <f t="shared" si="71"/>
        <v>0</v>
      </c>
    </row>
    <row r="477" spans="4:17" x14ac:dyDescent="0.35">
      <c r="D477" s="20" t="str">
        <f t="shared" si="77"/>
        <v/>
      </c>
      <c r="E477" s="23" t="str">
        <f t="shared" si="78"/>
        <v/>
      </c>
      <c r="F477" s="23" t="str">
        <f t="shared" si="79"/>
        <v/>
      </c>
      <c r="G477" s="20">
        <f t="shared" si="72"/>
        <v>0</v>
      </c>
      <c r="H477" s="20">
        <f t="shared" si="76"/>
        <v>1</v>
      </c>
      <c r="I477" s="20">
        <f t="shared" si="73"/>
        <v>0</v>
      </c>
      <c r="J477" s="20">
        <f t="shared" si="76"/>
        <v>0</v>
      </c>
      <c r="K477" s="20">
        <f t="shared" si="74"/>
        <v>0</v>
      </c>
      <c r="L477" s="20">
        <f t="shared" si="76"/>
        <v>0</v>
      </c>
      <c r="M477" s="20">
        <f t="shared" si="75"/>
        <v>0</v>
      </c>
      <c r="N477" s="20">
        <f>ABS(G477)</f>
        <v>0</v>
      </c>
      <c r="O477" s="20">
        <f>ABS(I477)</f>
        <v>0</v>
      </c>
      <c r="P477" s="20">
        <f>ABS(K477)</f>
        <v>0</v>
      </c>
      <c r="Q477" s="20">
        <f t="shared" si="71"/>
        <v>0</v>
      </c>
    </row>
    <row r="478" spans="4:17" x14ac:dyDescent="0.35">
      <c r="D478" s="20" t="str">
        <f t="shared" si="77"/>
        <v/>
      </c>
      <c r="E478" s="23" t="str">
        <f t="shared" si="78"/>
        <v/>
      </c>
      <c r="F478" s="23" t="str">
        <f t="shared" si="79"/>
        <v/>
      </c>
      <c r="G478" s="20">
        <f t="shared" si="72"/>
        <v>0</v>
      </c>
      <c r="H478" s="20">
        <f t="shared" si="76"/>
        <v>0</v>
      </c>
      <c r="I478" s="20">
        <f t="shared" si="73"/>
        <v>0</v>
      </c>
      <c r="J478" s="20">
        <f t="shared" si="76"/>
        <v>1</v>
      </c>
      <c r="K478" s="20">
        <f t="shared" si="74"/>
        <v>0</v>
      </c>
      <c r="L478" s="20">
        <f t="shared" si="76"/>
        <v>0</v>
      </c>
      <c r="M478" s="20">
        <f t="shared" si="75"/>
        <v>0</v>
      </c>
      <c r="N478" s="20">
        <f>ABS(G478)</f>
        <v>0</v>
      </c>
      <c r="O478" s="20">
        <f>ABS(I478)</f>
        <v>0</v>
      </c>
      <c r="P478" s="20">
        <f>ABS(K478)</f>
        <v>0</v>
      </c>
      <c r="Q478" s="20">
        <f t="shared" si="71"/>
        <v>0</v>
      </c>
    </row>
    <row r="479" spans="4:17" x14ac:dyDescent="0.35">
      <c r="D479" s="20" t="str">
        <f t="shared" si="77"/>
        <v/>
      </c>
      <c r="E479" s="23" t="str">
        <f t="shared" si="78"/>
        <v/>
      </c>
      <c r="F479" s="23" t="str">
        <f t="shared" si="79"/>
        <v/>
      </c>
      <c r="G479" s="20">
        <f t="shared" si="72"/>
        <v>0</v>
      </c>
      <c r="H479" s="20">
        <f t="shared" si="76"/>
        <v>0</v>
      </c>
      <c r="I479" s="20">
        <f t="shared" si="73"/>
        <v>0</v>
      </c>
      <c r="J479" s="20">
        <f t="shared" si="76"/>
        <v>0</v>
      </c>
      <c r="K479" s="20">
        <f t="shared" si="74"/>
        <v>0</v>
      </c>
      <c r="L479" s="20">
        <f t="shared" si="76"/>
        <v>1</v>
      </c>
      <c r="M479" s="20">
        <f t="shared" si="75"/>
        <v>0</v>
      </c>
      <c r="N479" s="20">
        <f>ABS(G479)</f>
        <v>0</v>
      </c>
      <c r="O479" s="20">
        <f>ABS(I479)</f>
        <v>0</v>
      </c>
      <c r="P479" s="20">
        <f>ABS(K479)</f>
        <v>0</v>
      </c>
      <c r="Q479" s="20">
        <f t="shared" si="71"/>
        <v>0</v>
      </c>
    </row>
    <row r="480" spans="4:17" x14ac:dyDescent="0.35">
      <c r="D480" s="20" t="str">
        <f t="shared" si="77"/>
        <v/>
      </c>
      <c r="E480" s="23" t="str">
        <f t="shared" si="78"/>
        <v/>
      </c>
      <c r="F480" s="23" t="str">
        <f t="shared" si="79"/>
        <v/>
      </c>
      <c r="G480" s="20">
        <f t="shared" si="72"/>
        <v>0</v>
      </c>
      <c r="H480" s="20">
        <f t="shared" si="76"/>
        <v>1</v>
      </c>
      <c r="I480" s="20">
        <f t="shared" si="73"/>
        <v>0</v>
      </c>
      <c r="J480" s="20">
        <f t="shared" si="76"/>
        <v>0</v>
      </c>
      <c r="K480" s="20">
        <f t="shared" si="74"/>
        <v>0</v>
      </c>
      <c r="L480" s="20">
        <f t="shared" si="76"/>
        <v>0</v>
      </c>
      <c r="M480" s="20">
        <f t="shared" si="75"/>
        <v>0</v>
      </c>
      <c r="N480" s="20">
        <f>ABS(G480)</f>
        <v>0</v>
      </c>
      <c r="O480" s="20">
        <f>ABS(I480)</f>
        <v>0</v>
      </c>
      <c r="P480" s="20">
        <f>ABS(K480)</f>
        <v>0</v>
      </c>
      <c r="Q480" s="20">
        <f t="shared" si="71"/>
        <v>0</v>
      </c>
    </row>
    <row r="481" spans="4:17" x14ac:dyDescent="0.35">
      <c r="D481" s="20" t="str">
        <f t="shared" si="77"/>
        <v/>
      </c>
      <c r="E481" s="23" t="str">
        <f t="shared" si="78"/>
        <v/>
      </c>
      <c r="F481" s="23" t="str">
        <f t="shared" si="79"/>
        <v/>
      </c>
      <c r="G481" s="20">
        <f t="shared" si="72"/>
        <v>0</v>
      </c>
      <c r="H481" s="20">
        <f t="shared" si="76"/>
        <v>0</v>
      </c>
      <c r="I481" s="20">
        <f t="shared" si="73"/>
        <v>0</v>
      </c>
      <c r="J481" s="20">
        <f t="shared" si="76"/>
        <v>1</v>
      </c>
      <c r="K481" s="20">
        <f t="shared" si="74"/>
        <v>0</v>
      </c>
      <c r="L481" s="20">
        <f t="shared" si="76"/>
        <v>0</v>
      </c>
      <c r="M481" s="20">
        <f t="shared" si="75"/>
        <v>0</v>
      </c>
      <c r="N481" s="20">
        <f>ABS(G481)</f>
        <v>0</v>
      </c>
      <c r="O481" s="20">
        <f>ABS(I481)</f>
        <v>0</v>
      </c>
      <c r="P481" s="20">
        <f>ABS(K481)</f>
        <v>0</v>
      </c>
      <c r="Q481" s="20">
        <f t="shared" si="71"/>
        <v>0</v>
      </c>
    </row>
    <row r="482" spans="4:17" x14ac:dyDescent="0.35">
      <c r="D482" s="20" t="str">
        <f t="shared" si="77"/>
        <v/>
      </c>
      <c r="E482" s="23" t="str">
        <f t="shared" si="78"/>
        <v/>
      </c>
      <c r="F482" s="23" t="str">
        <f t="shared" si="79"/>
        <v/>
      </c>
      <c r="G482" s="20">
        <f t="shared" si="72"/>
        <v>0</v>
      </c>
      <c r="H482" s="20">
        <f t="shared" si="76"/>
        <v>0</v>
      </c>
      <c r="I482" s="20">
        <f t="shared" si="73"/>
        <v>0</v>
      </c>
      <c r="J482" s="20">
        <f t="shared" si="76"/>
        <v>0</v>
      </c>
      <c r="K482" s="20">
        <f t="shared" si="74"/>
        <v>0</v>
      </c>
      <c r="L482" s="20">
        <f t="shared" si="76"/>
        <v>1</v>
      </c>
      <c r="M482" s="20">
        <f t="shared" si="75"/>
        <v>0</v>
      </c>
      <c r="N482" s="20">
        <f>ABS(G482)</f>
        <v>0</v>
      </c>
      <c r="O482" s="20">
        <f>ABS(I482)</f>
        <v>0</v>
      </c>
      <c r="P482" s="20">
        <f>ABS(K482)</f>
        <v>0</v>
      </c>
      <c r="Q482" s="20">
        <f t="shared" si="71"/>
        <v>0</v>
      </c>
    </row>
    <row r="483" spans="4:17" x14ac:dyDescent="0.35">
      <c r="D483" s="20" t="str">
        <f t="shared" si="77"/>
        <v/>
      </c>
      <c r="E483" s="23" t="str">
        <f t="shared" si="78"/>
        <v/>
      </c>
      <c r="F483" s="23" t="str">
        <f t="shared" si="79"/>
        <v/>
      </c>
      <c r="G483" s="20">
        <f t="shared" si="72"/>
        <v>0</v>
      </c>
      <c r="H483" s="20">
        <f t="shared" si="76"/>
        <v>1</v>
      </c>
      <c r="I483" s="20">
        <f t="shared" si="73"/>
        <v>0</v>
      </c>
      <c r="J483" s="20">
        <f t="shared" si="76"/>
        <v>0</v>
      </c>
      <c r="K483" s="20">
        <f t="shared" si="74"/>
        <v>0</v>
      </c>
      <c r="L483" s="20">
        <f t="shared" si="76"/>
        <v>0</v>
      </c>
      <c r="M483" s="20">
        <f t="shared" si="75"/>
        <v>0</v>
      </c>
      <c r="N483" s="20">
        <f>ABS(G483)</f>
        <v>0</v>
      </c>
      <c r="O483" s="20">
        <f>ABS(I483)</f>
        <v>0</v>
      </c>
      <c r="P483" s="20">
        <f>ABS(K483)</f>
        <v>0</v>
      </c>
      <c r="Q483" s="20">
        <f t="shared" si="71"/>
        <v>0</v>
      </c>
    </row>
    <row r="484" spans="4:17" x14ac:dyDescent="0.35">
      <c r="D484" s="20" t="str">
        <f t="shared" si="77"/>
        <v/>
      </c>
      <c r="E484" s="23" t="str">
        <f t="shared" si="78"/>
        <v/>
      </c>
      <c r="F484" s="23" t="str">
        <f t="shared" si="79"/>
        <v/>
      </c>
      <c r="G484" s="20">
        <f t="shared" si="72"/>
        <v>0</v>
      </c>
      <c r="H484" s="20">
        <f t="shared" si="76"/>
        <v>0</v>
      </c>
      <c r="I484" s="20">
        <f t="shared" si="73"/>
        <v>0</v>
      </c>
      <c r="J484" s="20">
        <f t="shared" si="76"/>
        <v>1</v>
      </c>
      <c r="K484" s="20">
        <f t="shared" si="74"/>
        <v>0</v>
      </c>
      <c r="L484" s="20">
        <f t="shared" si="76"/>
        <v>0</v>
      </c>
      <c r="M484" s="20">
        <f t="shared" si="75"/>
        <v>0</v>
      </c>
      <c r="N484" s="20">
        <f>ABS(G484)</f>
        <v>0</v>
      </c>
      <c r="O484" s="20">
        <f>ABS(I484)</f>
        <v>0</v>
      </c>
      <c r="P484" s="20">
        <f>ABS(K484)</f>
        <v>0</v>
      </c>
      <c r="Q484" s="20">
        <f t="shared" si="71"/>
        <v>0</v>
      </c>
    </row>
    <row r="485" spans="4:17" x14ac:dyDescent="0.35">
      <c r="D485" s="20" t="str">
        <f t="shared" si="77"/>
        <v/>
      </c>
      <c r="E485" s="23" t="str">
        <f t="shared" si="78"/>
        <v/>
      </c>
      <c r="F485" s="23" t="str">
        <f t="shared" si="79"/>
        <v/>
      </c>
      <c r="G485" s="20">
        <f t="shared" si="72"/>
        <v>0</v>
      </c>
      <c r="H485" s="20">
        <f t="shared" si="76"/>
        <v>0</v>
      </c>
      <c r="I485" s="20">
        <f t="shared" si="73"/>
        <v>0</v>
      </c>
      <c r="J485" s="20">
        <f t="shared" si="76"/>
        <v>0</v>
      </c>
      <c r="K485" s="20">
        <f t="shared" si="74"/>
        <v>0</v>
      </c>
      <c r="L485" s="20">
        <f t="shared" si="76"/>
        <v>1</v>
      </c>
      <c r="M485" s="20">
        <f t="shared" si="75"/>
        <v>0</v>
      </c>
      <c r="N485" s="20">
        <f>ABS(G485)</f>
        <v>0</v>
      </c>
      <c r="O485" s="20">
        <f>ABS(I485)</f>
        <v>0</v>
      </c>
      <c r="P485" s="20">
        <f>ABS(K485)</f>
        <v>0</v>
      </c>
      <c r="Q485" s="20">
        <f t="shared" si="71"/>
        <v>0</v>
      </c>
    </row>
    <row r="486" spans="4:17" x14ac:dyDescent="0.35">
      <c r="D486" s="20" t="str">
        <f t="shared" si="77"/>
        <v/>
      </c>
      <c r="E486" s="23" t="str">
        <f t="shared" si="78"/>
        <v/>
      </c>
      <c r="F486" s="23" t="str">
        <f t="shared" si="79"/>
        <v/>
      </c>
      <c r="G486" s="20">
        <f t="shared" si="72"/>
        <v>0</v>
      </c>
      <c r="H486" s="20">
        <f t="shared" si="76"/>
        <v>1</v>
      </c>
      <c r="I486" s="20">
        <f t="shared" si="73"/>
        <v>0</v>
      </c>
      <c r="J486" s="20">
        <f t="shared" si="76"/>
        <v>0</v>
      </c>
      <c r="K486" s="20">
        <f t="shared" si="74"/>
        <v>0</v>
      </c>
      <c r="L486" s="20">
        <f t="shared" si="76"/>
        <v>0</v>
      </c>
      <c r="M486" s="20">
        <f t="shared" si="75"/>
        <v>0</v>
      </c>
      <c r="N486" s="20">
        <f>ABS(G486)</f>
        <v>0</v>
      </c>
      <c r="O486" s="20">
        <f>ABS(I486)</f>
        <v>0</v>
      </c>
      <c r="P486" s="20">
        <f>ABS(K486)</f>
        <v>0</v>
      </c>
      <c r="Q486" s="20">
        <f t="shared" si="71"/>
        <v>0</v>
      </c>
    </row>
    <row r="487" spans="4:17" x14ac:dyDescent="0.35">
      <c r="D487" s="20" t="str">
        <f t="shared" si="77"/>
        <v/>
      </c>
      <c r="E487" s="23" t="str">
        <f t="shared" si="78"/>
        <v/>
      </c>
      <c r="F487" s="23" t="str">
        <f t="shared" si="79"/>
        <v/>
      </c>
      <c r="G487" s="20">
        <f t="shared" si="72"/>
        <v>0</v>
      </c>
      <c r="H487" s="20">
        <f t="shared" si="76"/>
        <v>0</v>
      </c>
      <c r="I487" s="20">
        <f t="shared" si="73"/>
        <v>0</v>
      </c>
      <c r="J487" s="20">
        <f t="shared" si="76"/>
        <v>1</v>
      </c>
      <c r="K487" s="20">
        <f t="shared" si="74"/>
        <v>0</v>
      </c>
      <c r="L487" s="20">
        <f t="shared" si="76"/>
        <v>0</v>
      </c>
      <c r="M487" s="20">
        <f t="shared" si="75"/>
        <v>0</v>
      </c>
      <c r="N487" s="20">
        <f>ABS(G487)</f>
        <v>0</v>
      </c>
      <c r="O487" s="20">
        <f>ABS(I487)</f>
        <v>0</v>
      </c>
      <c r="P487" s="20">
        <f>ABS(K487)</f>
        <v>0</v>
      </c>
      <c r="Q487" s="20">
        <f t="shared" si="71"/>
        <v>0</v>
      </c>
    </row>
    <row r="488" spans="4:17" x14ac:dyDescent="0.35">
      <c r="D488" s="20" t="str">
        <f t="shared" si="77"/>
        <v/>
      </c>
      <c r="E488" s="23" t="str">
        <f t="shared" si="78"/>
        <v/>
      </c>
      <c r="F488" s="23" t="str">
        <f t="shared" si="79"/>
        <v/>
      </c>
      <c r="G488" s="20">
        <f t="shared" si="72"/>
        <v>0</v>
      </c>
      <c r="H488" s="20">
        <f t="shared" si="76"/>
        <v>0</v>
      </c>
      <c r="I488" s="20">
        <f t="shared" si="73"/>
        <v>0</v>
      </c>
      <c r="J488" s="20">
        <f t="shared" si="76"/>
        <v>0</v>
      </c>
      <c r="K488" s="20">
        <f t="shared" si="74"/>
        <v>0</v>
      </c>
      <c r="L488" s="20">
        <f t="shared" si="76"/>
        <v>1</v>
      </c>
      <c r="M488" s="20">
        <f t="shared" si="75"/>
        <v>0</v>
      </c>
      <c r="N488" s="20">
        <f>ABS(G488)</f>
        <v>0</v>
      </c>
      <c r="O488" s="20">
        <f>ABS(I488)</f>
        <v>0</v>
      </c>
      <c r="P488" s="20">
        <f>ABS(K488)</f>
        <v>0</v>
      </c>
      <c r="Q488" s="20">
        <f t="shared" si="71"/>
        <v>0</v>
      </c>
    </row>
    <row r="489" spans="4:17" x14ac:dyDescent="0.35">
      <c r="D489" s="20" t="str">
        <f t="shared" si="77"/>
        <v/>
      </c>
      <c r="E489" s="23" t="str">
        <f t="shared" si="78"/>
        <v/>
      </c>
      <c r="F489" s="23" t="str">
        <f t="shared" si="79"/>
        <v/>
      </c>
      <c r="G489" s="20">
        <f t="shared" si="72"/>
        <v>0</v>
      </c>
      <c r="H489" s="20">
        <f t="shared" si="76"/>
        <v>1</v>
      </c>
      <c r="I489" s="20">
        <f t="shared" si="73"/>
        <v>0</v>
      </c>
      <c r="J489" s="20">
        <f t="shared" si="76"/>
        <v>0</v>
      </c>
      <c r="K489" s="20">
        <f t="shared" si="74"/>
        <v>0</v>
      </c>
      <c r="L489" s="20">
        <f t="shared" si="76"/>
        <v>0</v>
      </c>
      <c r="M489" s="20">
        <f t="shared" si="75"/>
        <v>0</v>
      </c>
      <c r="N489" s="20">
        <f>ABS(G489)</f>
        <v>0</v>
      </c>
      <c r="O489" s="20">
        <f>ABS(I489)</f>
        <v>0</v>
      </c>
      <c r="P489" s="20">
        <f>ABS(K489)</f>
        <v>0</v>
      </c>
      <c r="Q489" s="20">
        <f t="shared" si="71"/>
        <v>0</v>
      </c>
    </row>
    <row r="490" spans="4:17" x14ac:dyDescent="0.35">
      <c r="D490" s="20" t="str">
        <f t="shared" si="77"/>
        <v/>
      </c>
      <c r="E490" s="23" t="str">
        <f t="shared" si="78"/>
        <v/>
      </c>
      <c r="F490" s="23" t="str">
        <f t="shared" si="79"/>
        <v/>
      </c>
      <c r="G490" s="20">
        <f t="shared" si="72"/>
        <v>0</v>
      </c>
      <c r="H490" s="20">
        <f t="shared" si="76"/>
        <v>0</v>
      </c>
      <c r="I490" s="20">
        <f t="shared" si="73"/>
        <v>0</v>
      </c>
      <c r="J490" s="20">
        <f t="shared" si="76"/>
        <v>1</v>
      </c>
      <c r="K490" s="20">
        <f t="shared" si="74"/>
        <v>0</v>
      </c>
      <c r="L490" s="20">
        <f t="shared" si="76"/>
        <v>0</v>
      </c>
      <c r="M490" s="20">
        <f t="shared" si="75"/>
        <v>0</v>
      </c>
      <c r="N490" s="20">
        <f>ABS(G490)</f>
        <v>0</v>
      </c>
      <c r="O490" s="20">
        <f>ABS(I490)</f>
        <v>0</v>
      </c>
      <c r="P490" s="20">
        <f>ABS(K490)</f>
        <v>0</v>
      </c>
      <c r="Q490" s="20">
        <f t="shared" si="71"/>
        <v>0</v>
      </c>
    </row>
    <row r="491" spans="4:17" x14ac:dyDescent="0.35">
      <c r="D491" s="20" t="str">
        <f t="shared" si="77"/>
        <v/>
      </c>
      <c r="E491" s="23" t="str">
        <f t="shared" si="78"/>
        <v/>
      </c>
      <c r="F491" s="23" t="str">
        <f t="shared" si="79"/>
        <v/>
      </c>
      <c r="G491" s="20">
        <f t="shared" si="72"/>
        <v>0</v>
      </c>
      <c r="H491" s="20">
        <f t="shared" si="76"/>
        <v>0</v>
      </c>
      <c r="I491" s="20">
        <f t="shared" si="73"/>
        <v>0</v>
      </c>
      <c r="J491" s="20">
        <f t="shared" si="76"/>
        <v>0</v>
      </c>
      <c r="K491" s="20">
        <f t="shared" si="74"/>
        <v>0</v>
      </c>
      <c r="L491" s="20">
        <f t="shared" si="76"/>
        <v>1</v>
      </c>
      <c r="M491" s="20">
        <f t="shared" si="75"/>
        <v>0</v>
      </c>
      <c r="N491" s="20">
        <f>ABS(G491)</f>
        <v>0</v>
      </c>
      <c r="O491" s="20">
        <f>ABS(I491)</f>
        <v>0</v>
      </c>
      <c r="P491" s="20">
        <f>ABS(K491)</f>
        <v>0</v>
      </c>
      <c r="Q491" s="20">
        <f t="shared" si="71"/>
        <v>0</v>
      </c>
    </row>
    <row r="492" spans="4:17" x14ac:dyDescent="0.35">
      <c r="D492" s="20" t="str">
        <f t="shared" si="77"/>
        <v/>
      </c>
      <c r="E492" s="23" t="str">
        <f t="shared" si="78"/>
        <v/>
      </c>
      <c r="F492" s="23" t="str">
        <f t="shared" si="79"/>
        <v/>
      </c>
      <c r="G492" s="20">
        <f t="shared" si="72"/>
        <v>0</v>
      </c>
      <c r="H492" s="20">
        <f t="shared" si="76"/>
        <v>1</v>
      </c>
      <c r="I492" s="20">
        <f t="shared" si="73"/>
        <v>0</v>
      </c>
      <c r="J492" s="20">
        <f t="shared" si="76"/>
        <v>0</v>
      </c>
      <c r="K492" s="20">
        <f t="shared" si="74"/>
        <v>0</v>
      </c>
      <c r="L492" s="20">
        <f t="shared" si="76"/>
        <v>0</v>
      </c>
      <c r="M492" s="20">
        <f t="shared" si="75"/>
        <v>0</v>
      </c>
      <c r="N492" s="20">
        <f>ABS(G492)</f>
        <v>0</v>
      </c>
      <c r="O492" s="20">
        <f>ABS(I492)</f>
        <v>0</v>
      </c>
      <c r="P492" s="20">
        <f>ABS(K492)</f>
        <v>0</v>
      </c>
      <c r="Q492" s="20">
        <f t="shared" si="71"/>
        <v>0</v>
      </c>
    </row>
    <row r="493" spans="4:17" x14ac:dyDescent="0.35">
      <c r="D493" s="20" t="str">
        <f t="shared" si="77"/>
        <v/>
      </c>
      <c r="E493" s="23" t="str">
        <f t="shared" si="78"/>
        <v/>
      </c>
      <c r="F493" s="23" t="str">
        <f t="shared" si="79"/>
        <v/>
      </c>
      <c r="G493" s="20">
        <f t="shared" si="72"/>
        <v>0</v>
      </c>
      <c r="H493" s="20">
        <f t="shared" si="76"/>
        <v>0</v>
      </c>
      <c r="I493" s="20">
        <f t="shared" si="73"/>
        <v>0</v>
      </c>
      <c r="J493" s="20">
        <f t="shared" si="76"/>
        <v>1</v>
      </c>
      <c r="K493" s="20">
        <f t="shared" si="74"/>
        <v>0</v>
      </c>
      <c r="L493" s="20">
        <f t="shared" si="76"/>
        <v>0</v>
      </c>
      <c r="M493" s="20">
        <f t="shared" si="75"/>
        <v>0</v>
      </c>
      <c r="N493" s="20">
        <f>ABS(G493)</f>
        <v>0</v>
      </c>
      <c r="O493" s="20">
        <f>ABS(I493)</f>
        <v>0</v>
      </c>
      <c r="P493" s="20">
        <f>ABS(K493)</f>
        <v>0</v>
      </c>
      <c r="Q493" s="20">
        <f t="shared" si="71"/>
        <v>0</v>
      </c>
    </row>
    <row r="494" spans="4:17" x14ac:dyDescent="0.35">
      <c r="D494" s="20" t="str">
        <f t="shared" si="77"/>
        <v/>
      </c>
      <c r="E494" s="23" t="str">
        <f t="shared" si="78"/>
        <v/>
      </c>
      <c r="F494" s="23" t="str">
        <f t="shared" si="79"/>
        <v/>
      </c>
      <c r="G494" s="20">
        <f t="shared" si="72"/>
        <v>0</v>
      </c>
      <c r="H494" s="20">
        <f t="shared" si="76"/>
        <v>0</v>
      </c>
      <c r="I494" s="20">
        <f t="shared" si="73"/>
        <v>0</v>
      </c>
      <c r="J494" s="20">
        <f t="shared" si="76"/>
        <v>0</v>
      </c>
      <c r="K494" s="20">
        <f t="shared" si="74"/>
        <v>0</v>
      </c>
      <c r="L494" s="20">
        <f t="shared" si="76"/>
        <v>1</v>
      </c>
      <c r="M494" s="20">
        <f t="shared" si="75"/>
        <v>0</v>
      </c>
      <c r="N494" s="20">
        <f>ABS(G494)</f>
        <v>0</v>
      </c>
      <c r="O494" s="20">
        <f>ABS(I494)</f>
        <v>0</v>
      </c>
      <c r="P494" s="20">
        <f>ABS(K494)</f>
        <v>0</v>
      </c>
      <c r="Q494" s="20">
        <f t="shared" si="71"/>
        <v>0</v>
      </c>
    </row>
    <row r="495" spans="4:17" x14ac:dyDescent="0.35">
      <c r="D495" s="20" t="str">
        <f t="shared" si="77"/>
        <v/>
      </c>
      <c r="E495" s="23" t="str">
        <f t="shared" si="78"/>
        <v/>
      </c>
      <c r="F495" s="23" t="str">
        <f t="shared" si="79"/>
        <v/>
      </c>
      <c r="G495" s="20">
        <f t="shared" si="72"/>
        <v>0</v>
      </c>
      <c r="H495" s="20">
        <f t="shared" si="76"/>
        <v>1</v>
      </c>
      <c r="I495" s="20">
        <f t="shared" si="73"/>
        <v>0</v>
      </c>
      <c r="J495" s="20">
        <f t="shared" si="76"/>
        <v>0</v>
      </c>
      <c r="K495" s="20">
        <f t="shared" si="74"/>
        <v>0</v>
      </c>
      <c r="L495" s="20">
        <f t="shared" si="76"/>
        <v>0</v>
      </c>
      <c r="M495" s="20">
        <f t="shared" si="75"/>
        <v>0</v>
      </c>
      <c r="N495" s="20">
        <f>ABS(G495)</f>
        <v>0</v>
      </c>
      <c r="O495" s="20">
        <f>ABS(I495)</f>
        <v>0</v>
      </c>
      <c r="P495" s="20">
        <f>ABS(K495)</f>
        <v>0</v>
      </c>
      <c r="Q495" s="20">
        <f t="shared" si="71"/>
        <v>0</v>
      </c>
    </row>
    <row r="496" spans="4:17" x14ac:dyDescent="0.35">
      <c r="D496" s="20" t="str">
        <f t="shared" si="77"/>
        <v/>
      </c>
      <c r="E496" s="23" t="str">
        <f t="shared" si="78"/>
        <v/>
      </c>
      <c r="F496" s="23" t="str">
        <f t="shared" si="79"/>
        <v/>
      </c>
      <c r="G496" s="20">
        <f t="shared" si="72"/>
        <v>0</v>
      </c>
      <c r="H496" s="20">
        <f t="shared" si="76"/>
        <v>0</v>
      </c>
      <c r="I496" s="20">
        <f t="shared" si="73"/>
        <v>0</v>
      </c>
      <c r="J496" s="20">
        <f t="shared" si="76"/>
        <v>1</v>
      </c>
      <c r="K496" s="20">
        <f t="shared" si="74"/>
        <v>0</v>
      </c>
      <c r="L496" s="20">
        <f t="shared" si="76"/>
        <v>0</v>
      </c>
      <c r="M496" s="20">
        <f t="shared" si="75"/>
        <v>0</v>
      </c>
      <c r="N496" s="20">
        <f>ABS(G496)</f>
        <v>0</v>
      </c>
      <c r="O496" s="20">
        <f>ABS(I496)</f>
        <v>0</v>
      </c>
      <c r="P496" s="20">
        <f>ABS(K496)</f>
        <v>0</v>
      </c>
      <c r="Q496" s="20">
        <f t="shared" si="71"/>
        <v>0</v>
      </c>
    </row>
    <row r="497" spans="4:17" x14ac:dyDescent="0.35">
      <c r="D497" s="20" t="str">
        <f t="shared" si="77"/>
        <v/>
      </c>
      <c r="E497" s="23" t="str">
        <f t="shared" si="78"/>
        <v/>
      </c>
      <c r="F497" s="23" t="str">
        <f t="shared" si="79"/>
        <v/>
      </c>
      <c r="G497" s="20">
        <f t="shared" si="72"/>
        <v>0</v>
      </c>
      <c r="H497" s="20">
        <f t="shared" si="76"/>
        <v>0</v>
      </c>
      <c r="I497" s="20">
        <f t="shared" si="73"/>
        <v>0</v>
      </c>
      <c r="J497" s="20">
        <f t="shared" si="76"/>
        <v>0</v>
      </c>
      <c r="K497" s="20">
        <f t="shared" si="74"/>
        <v>0</v>
      </c>
      <c r="L497" s="20">
        <f t="shared" si="76"/>
        <v>1</v>
      </c>
      <c r="M497" s="20">
        <f t="shared" si="75"/>
        <v>0</v>
      </c>
      <c r="N497" s="20">
        <f>ABS(G497)</f>
        <v>0</v>
      </c>
      <c r="O497" s="20">
        <f>ABS(I497)</f>
        <v>0</v>
      </c>
      <c r="P497" s="20">
        <f>ABS(K497)</f>
        <v>0</v>
      </c>
      <c r="Q497" s="20">
        <f t="shared" si="71"/>
        <v>0</v>
      </c>
    </row>
    <row r="498" spans="4:17" x14ac:dyDescent="0.35">
      <c r="D498" s="20" t="str">
        <f t="shared" si="77"/>
        <v/>
      </c>
      <c r="E498" s="23" t="str">
        <f t="shared" si="78"/>
        <v/>
      </c>
      <c r="F498" s="23" t="str">
        <f t="shared" si="79"/>
        <v/>
      </c>
      <c r="G498" s="20">
        <f t="shared" si="72"/>
        <v>0</v>
      </c>
      <c r="H498" s="20">
        <f t="shared" si="76"/>
        <v>1</v>
      </c>
      <c r="I498" s="20">
        <f t="shared" si="73"/>
        <v>0</v>
      </c>
      <c r="J498" s="20">
        <f t="shared" si="76"/>
        <v>0</v>
      </c>
      <c r="K498" s="20">
        <f t="shared" si="74"/>
        <v>0</v>
      </c>
      <c r="L498" s="20">
        <f t="shared" si="76"/>
        <v>0</v>
      </c>
      <c r="M498" s="20">
        <f t="shared" si="75"/>
        <v>0</v>
      </c>
      <c r="N498" s="20">
        <f>ABS(G498)</f>
        <v>0</v>
      </c>
      <c r="O498" s="20">
        <f>ABS(I498)</f>
        <v>0</v>
      </c>
      <c r="P498" s="20">
        <f>ABS(K498)</f>
        <v>0</v>
      </c>
      <c r="Q498" s="20">
        <f t="shared" si="71"/>
        <v>0</v>
      </c>
    </row>
    <row r="499" spans="4:17" x14ac:dyDescent="0.35">
      <c r="D499" s="20" t="str">
        <f t="shared" si="77"/>
        <v/>
      </c>
      <c r="E499" s="23" t="str">
        <f t="shared" si="78"/>
        <v/>
      </c>
      <c r="F499" s="23" t="str">
        <f t="shared" si="79"/>
        <v/>
      </c>
      <c r="G499" s="20">
        <f t="shared" si="72"/>
        <v>0</v>
      </c>
      <c r="H499" s="20">
        <f t="shared" si="76"/>
        <v>0</v>
      </c>
      <c r="I499" s="20">
        <f t="shared" si="73"/>
        <v>0</v>
      </c>
      <c r="J499" s="20">
        <f t="shared" si="76"/>
        <v>1</v>
      </c>
      <c r="K499" s="20">
        <f t="shared" si="74"/>
        <v>0</v>
      </c>
      <c r="L499" s="20">
        <f t="shared" si="76"/>
        <v>0</v>
      </c>
      <c r="M499" s="20">
        <f t="shared" si="75"/>
        <v>0</v>
      </c>
      <c r="N499" s="20">
        <f>ABS(G499)</f>
        <v>0</v>
      </c>
      <c r="O499" s="20">
        <f>ABS(I499)</f>
        <v>0</v>
      </c>
      <c r="P499" s="20">
        <f>ABS(K499)</f>
        <v>0</v>
      </c>
      <c r="Q499" s="20">
        <f t="shared" si="71"/>
        <v>0</v>
      </c>
    </row>
    <row r="500" spans="4:17" x14ac:dyDescent="0.35">
      <c r="D500" s="20" t="str">
        <f t="shared" si="77"/>
        <v/>
      </c>
      <c r="E500" s="23" t="str">
        <f t="shared" si="78"/>
        <v/>
      </c>
      <c r="F500" s="23" t="str">
        <f t="shared" si="79"/>
        <v/>
      </c>
      <c r="G500" s="20">
        <f t="shared" si="72"/>
        <v>0</v>
      </c>
      <c r="H500" s="20">
        <f t="shared" si="76"/>
        <v>0</v>
      </c>
      <c r="I500" s="20">
        <f t="shared" si="73"/>
        <v>0</v>
      </c>
      <c r="J500" s="20">
        <f t="shared" si="76"/>
        <v>0</v>
      </c>
      <c r="K500" s="20">
        <f t="shared" si="74"/>
        <v>0</v>
      </c>
      <c r="L500" s="20">
        <f t="shared" si="76"/>
        <v>1</v>
      </c>
      <c r="M500" s="20">
        <f t="shared" si="75"/>
        <v>0</v>
      </c>
      <c r="N500" s="20">
        <f>ABS(G500)</f>
        <v>0</v>
      </c>
      <c r="O500" s="20">
        <f>ABS(I500)</f>
        <v>0</v>
      </c>
      <c r="P500" s="20">
        <f>ABS(K500)</f>
        <v>0</v>
      </c>
      <c r="Q500" s="20">
        <f t="shared" si="71"/>
        <v>0</v>
      </c>
    </row>
    <row r="501" spans="4:17" x14ac:dyDescent="0.35">
      <c r="D501" s="20" t="str">
        <f t="shared" si="77"/>
        <v/>
      </c>
      <c r="E501" s="23" t="str">
        <f t="shared" si="78"/>
        <v/>
      </c>
      <c r="F501" s="23" t="str">
        <f t="shared" si="79"/>
        <v/>
      </c>
      <c r="G501" s="20">
        <f t="shared" si="72"/>
        <v>0</v>
      </c>
      <c r="H501" s="20">
        <f t="shared" si="76"/>
        <v>1</v>
      </c>
      <c r="I501" s="20">
        <f t="shared" si="73"/>
        <v>0</v>
      </c>
      <c r="J501" s="20">
        <f t="shared" si="76"/>
        <v>0</v>
      </c>
      <c r="K501" s="20">
        <f t="shared" si="74"/>
        <v>0</v>
      </c>
      <c r="L501" s="20">
        <f t="shared" si="76"/>
        <v>0</v>
      </c>
      <c r="M501" s="20">
        <f t="shared" si="75"/>
        <v>0</v>
      </c>
      <c r="N501" s="20">
        <f>ABS(G501)</f>
        <v>0</v>
      </c>
      <c r="O501" s="20">
        <f>ABS(I501)</f>
        <v>0</v>
      </c>
      <c r="P501" s="20">
        <f>ABS(K501)</f>
        <v>0</v>
      </c>
      <c r="Q501" s="20">
        <f t="shared" si="71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2FC7-86CA-40A0-A397-F2E978FE8F91}">
  <dimension ref="A1:Q501"/>
  <sheetViews>
    <sheetView topLeftCell="A2" workbookViewId="0">
      <selection activeCell="F2" sqref="F2"/>
    </sheetView>
  </sheetViews>
  <sheetFormatPr baseColWidth="10" defaultRowHeight="14.5" x14ac:dyDescent="0.35"/>
  <cols>
    <col min="1" max="1" width="15.6328125" customWidth="1"/>
    <col min="2" max="2" width="10.36328125" customWidth="1"/>
    <col min="3" max="3" width="4.6328125" customWidth="1"/>
    <col min="5" max="5" width="10.90625" style="22"/>
    <col min="6" max="7" width="14.1796875" customWidth="1"/>
    <col min="8" max="8" width="14.1796875" hidden="1" customWidth="1"/>
    <col min="10" max="10" width="14.1796875" hidden="1" customWidth="1"/>
    <col min="12" max="12" width="14.1796875" hidden="1" customWidth="1"/>
    <col min="14" max="14" width="14.1796875" customWidth="1"/>
  </cols>
  <sheetData>
    <row r="1" spans="1:17" x14ac:dyDescent="0.35">
      <c r="D1" s="20" t="s">
        <v>0</v>
      </c>
      <c r="E1" s="23" t="s">
        <v>1</v>
      </c>
      <c r="F1" s="20" t="s">
        <v>2</v>
      </c>
      <c r="G1" s="20" t="s">
        <v>35</v>
      </c>
      <c r="H1" s="20" t="s">
        <v>43</v>
      </c>
      <c r="I1" s="20" t="s">
        <v>36</v>
      </c>
      <c r="J1" s="20" t="s">
        <v>43</v>
      </c>
      <c r="K1" s="20" t="s">
        <v>37</v>
      </c>
      <c r="L1" s="20" t="s">
        <v>43</v>
      </c>
      <c r="M1" s="20" t="s">
        <v>41</v>
      </c>
      <c r="N1" s="20" t="s">
        <v>38</v>
      </c>
      <c r="O1" s="20" t="s">
        <v>39</v>
      </c>
      <c r="P1" s="20" t="s">
        <v>40</v>
      </c>
      <c r="Q1" s="20" t="s">
        <v>42</v>
      </c>
    </row>
    <row r="2" spans="1:17" x14ac:dyDescent="0.35">
      <c r="D2" s="20">
        <v>1</v>
      </c>
      <c r="E2" s="23">
        <v>-2</v>
      </c>
      <c r="F2" s="25">
        <f>((3*E2^2)-(4*E2)*(SIN(1.4*E2^3)^2))/((0.4*E2^2+1)^(1/4))</f>
        <v>15.490588454337948</v>
      </c>
      <c r="G2" s="20">
        <f>IF(D2=1,F2,"")</f>
        <v>15.490588454337948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f>ABS(G2)</f>
        <v>15.490588454337948</v>
      </c>
      <c r="O2" s="20">
        <f>ABS(I2)</f>
        <v>0</v>
      </c>
      <c r="P2" s="20">
        <f>ABS(K2)</f>
        <v>0</v>
      </c>
      <c r="Q2" s="20">
        <f t="shared" ref="Q2:Q65" si="0">ABS(M2)</f>
        <v>0</v>
      </c>
    </row>
    <row r="3" spans="1:17" x14ac:dyDescent="0.35">
      <c r="A3" t="s">
        <v>27</v>
      </c>
      <c r="B3">
        <v>-2</v>
      </c>
      <c r="D3" s="20">
        <f>IF(D2&lt;=$B$5,D2+1,0)</f>
        <v>2</v>
      </c>
      <c r="E3" s="23">
        <f>IF(D2&lt;=$B$5,E2+$B$6,0)</f>
        <v>-1.9393939393939394</v>
      </c>
      <c r="F3" s="20">
        <f>IF(D2&lt;=$B$5,((3*E3^2)-(4*E3)*(SIN(1.4*E3^3)^2))/((0.4*E3^2+1)^(1/4)),"")</f>
        <v>12.066370466558661</v>
      </c>
      <c r="G3" s="20">
        <f>IF(D3=$B$5+1,F3,0)</f>
        <v>0</v>
      </c>
      <c r="H3" s="20">
        <v>1</v>
      </c>
      <c r="I3" s="20">
        <f>IF(D2&lt;$B$5,F3*H3,0)</f>
        <v>12.066370466558661</v>
      </c>
      <c r="J3" s="20">
        <v>0</v>
      </c>
      <c r="K3" s="20">
        <f>IF(D2&lt;$B$5,F3*J3,0)</f>
        <v>0</v>
      </c>
      <c r="L3" s="20">
        <v>0</v>
      </c>
      <c r="M3" s="20">
        <f>IF(D2&lt;$B$5,F3*L3,0)</f>
        <v>0</v>
      </c>
      <c r="N3" s="20">
        <f>ABS(G3)</f>
        <v>0</v>
      </c>
      <c r="O3" s="20">
        <f>ABS(I3)</f>
        <v>12.066370466558661</v>
      </c>
      <c r="P3" s="20">
        <f>ABS(K3)</f>
        <v>0</v>
      </c>
      <c r="Q3" s="20">
        <f t="shared" si="0"/>
        <v>0</v>
      </c>
    </row>
    <row r="4" spans="1:17" x14ac:dyDescent="0.35">
      <c r="A4" t="s">
        <v>28</v>
      </c>
      <c r="B4">
        <v>4</v>
      </c>
      <c r="D4" s="20">
        <f t="shared" ref="D4:D21" si="1">IF(D3&lt;=$B$5,D3+1,"")</f>
        <v>3</v>
      </c>
      <c r="E4" s="23">
        <f>IF(D3&lt;=$B$5,E3+$B$6,"")</f>
        <v>-1.8787878787878789</v>
      </c>
      <c r="F4" s="20">
        <f t="shared" ref="F4:F67" si="2">IF(D3&lt;=$B$5,((3*E4^2)-(4*E4)*(SIN(1.4*E4^3)^2))/((0.4*E4^2+1)^(1/4)),"")</f>
        <v>8.6151745936033528</v>
      </c>
      <c r="G4" s="20">
        <f t="shared" ref="G4:G67" si="3">IF(D4=$B$5+1,F4,0)</f>
        <v>0</v>
      </c>
      <c r="H4" s="20">
        <v>0</v>
      </c>
      <c r="I4" s="20">
        <f t="shared" ref="I4:I67" si="4">IF(D3&lt;$B$5,F4*H4,0)</f>
        <v>0</v>
      </c>
      <c r="J4" s="20">
        <v>1</v>
      </c>
      <c r="K4" s="20">
        <f t="shared" ref="K4:K67" si="5">IF(D3&lt;$B$5,F4*J4,0)</f>
        <v>8.6151745936033528</v>
      </c>
      <c r="L4" s="20">
        <v>0</v>
      </c>
      <c r="M4" s="20">
        <f t="shared" ref="M4:M67" si="6">IF(D3&lt;$B$5,F4*L4,0)</f>
        <v>0</v>
      </c>
      <c r="N4" s="20">
        <f>ABS(G4)</f>
        <v>0</v>
      </c>
      <c r="O4" s="20">
        <f>ABS(I4)</f>
        <v>0</v>
      </c>
      <c r="P4" s="20">
        <f>ABS(K4)</f>
        <v>8.6151745936033528</v>
      </c>
      <c r="Q4" s="20">
        <f t="shared" si="0"/>
        <v>0</v>
      </c>
    </row>
    <row r="5" spans="1:17" x14ac:dyDescent="0.35">
      <c r="A5" t="s">
        <v>29</v>
      </c>
      <c r="B5">
        <v>99</v>
      </c>
      <c r="C5" t="str">
        <f>IF(MOD(B5,3)&lt;&gt;0,"x","")</f>
        <v/>
      </c>
      <c r="D5" s="20">
        <f t="shared" si="1"/>
        <v>4</v>
      </c>
      <c r="E5" s="23">
        <f>IF(D4&lt;=$B$5,E4+$B$6,"")</f>
        <v>-1.8181818181818183</v>
      </c>
      <c r="F5" s="20">
        <f t="shared" si="2"/>
        <v>12.25882877572533</v>
      </c>
      <c r="G5" s="20">
        <f t="shared" si="3"/>
        <v>0</v>
      </c>
      <c r="H5" s="20">
        <v>0</v>
      </c>
      <c r="I5" s="20">
        <f t="shared" si="4"/>
        <v>0</v>
      </c>
      <c r="J5" s="20">
        <v>0</v>
      </c>
      <c r="K5" s="20">
        <f t="shared" si="5"/>
        <v>0</v>
      </c>
      <c r="L5" s="20">
        <v>1</v>
      </c>
      <c r="M5" s="20">
        <f t="shared" si="6"/>
        <v>12.25882877572533</v>
      </c>
      <c r="N5" s="20">
        <f>ABS(G5)</f>
        <v>0</v>
      </c>
      <c r="O5" s="20">
        <f>ABS(I5)</f>
        <v>0</v>
      </c>
      <c r="P5" s="20">
        <f>ABS(K5)</f>
        <v>0</v>
      </c>
      <c r="Q5" s="20">
        <f t="shared" si="0"/>
        <v>12.25882877572533</v>
      </c>
    </row>
    <row r="6" spans="1:17" x14ac:dyDescent="0.35">
      <c r="A6" t="s">
        <v>18</v>
      </c>
      <c r="B6">
        <f>(B4-B3)/B5</f>
        <v>6.0606060606060608E-2</v>
      </c>
      <c r="D6" s="20">
        <f t="shared" si="1"/>
        <v>5</v>
      </c>
      <c r="E6" s="23">
        <f>IF(D5&lt;=$B$5,E5+$B$6,"")</f>
        <v>-1.7575757575757578</v>
      </c>
      <c r="F6" s="20">
        <f t="shared" si="2"/>
        <v>12.967998949907244</v>
      </c>
      <c r="G6" s="20">
        <f t="shared" si="3"/>
        <v>0</v>
      </c>
      <c r="H6" s="20">
        <f>IF(H5+H4=0,1,0)</f>
        <v>1</v>
      </c>
      <c r="I6" s="20">
        <f>IF(D5&lt;$B$5,F6*H6,0)</f>
        <v>12.967998949907244</v>
      </c>
      <c r="J6" s="20">
        <f>IF(J5+J4=0,1,0)</f>
        <v>0</v>
      </c>
      <c r="K6" s="20">
        <f t="shared" si="5"/>
        <v>0</v>
      </c>
      <c r="L6" s="20">
        <f>IF(L5+L4=0,1,0)</f>
        <v>0</v>
      </c>
      <c r="M6" s="20">
        <f t="shared" si="6"/>
        <v>0</v>
      </c>
      <c r="N6" s="20">
        <f>ABS(G6)</f>
        <v>0</v>
      </c>
      <c r="O6" s="20">
        <f>ABS(I6)</f>
        <v>12.967998949907244</v>
      </c>
      <c r="P6" s="20">
        <f>ABS(K6)</f>
        <v>0</v>
      </c>
      <c r="Q6" s="20">
        <f t="shared" si="0"/>
        <v>0</v>
      </c>
    </row>
    <row r="7" spans="1:17" x14ac:dyDescent="0.35">
      <c r="D7" s="20">
        <f t="shared" si="1"/>
        <v>6</v>
      </c>
      <c r="E7" s="23">
        <f>IF(D6&lt;=$B$5,E6+$B$6,"")</f>
        <v>-1.6969696969696972</v>
      </c>
      <c r="F7" s="20">
        <f t="shared" si="2"/>
        <v>8.705633071122211</v>
      </c>
      <c r="G7" s="20">
        <f t="shared" si="3"/>
        <v>0</v>
      </c>
      <c r="H7" s="20">
        <f t="shared" ref="H7:L22" si="7">IF(H6+H5=0,1,0)</f>
        <v>0</v>
      </c>
      <c r="I7" s="20">
        <f t="shared" si="4"/>
        <v>0</v>
      </c>
      <c r="J7" s="20">
        <f t="shared" si="7"/>
        <v>1</v>
      </c>
      <c r="K7" s="20">
        <f t="shared" si="5"/>
        <v>8.705633071122211</v>
      </c>
      <c r="L7" s="20">
        <f t="shared" si="7"/>
        <v>0</v>
      </c>
      <c r="M7" s="20">
        <f t="shared" si="6"/>
        <v>0</v>
      </c>
      <c r="N7" s="20">
        <f>ABS(G7)</f>
        <v>0</v>
      </c>
      <c r="O7" s="20">
        <f>ABS(I7)</f>
        <v>0</v>
      </c>
      <c r="P7" s="20">
        <f>ABS(K7)</f>
        <v>8.705633071122211</v>
      </c>
      <c r="Q7" s="20">
        <f t="shared" si="0"/>
        <v>0</v>
      </c>
    </row>
    <row r="8" spans="1:17" x14ac:dyDescent="0.35">
      <c r="A8" t="s">
        <v>30</v>
      </c>
      <c r="B8">
        <f>(3/8)*B6*(SUM(G2:G500))</f>
        <v>0.79392791845267674</v>
      </c>
      <c r="D8" s="20">
        <f t="shared" si="1"/>
        <v>7</v>
      </c>
      <c r="E8" s="23">
        <f>IF(D7&lt;=$B$5,E7+$B$6,"")</f>
        <v>-1.6363636363636367</v>
      </c>
      <c r="F8" s="20">
        <f t="shared" si="2"/>
        <v>6.8162544574272879</v>
      </c>
      <c r="G8" s="20">
        <f t="shared" si="3"/>
        <v>0</v>
      </c>
      <c r="H8" s="20">
        <f t="shared" si="7"/>
        <v>0</v>
      </c>
      <c r="I8" s="20">
        <f t="shared" si="4"/>
        <v>0</v>
      </c>
      <c r="J8" s="20">
        <f t="shared" si="7"/>
        <v>0</v>
      </c>
      <c r="K8" s="20">
        <f t="shared" si="5"/>
        <v>0</v>
      </c>
      <c r="L8" s="20">
        <f t="shared" si="7"/>
        <v>1</v>
      </c>
      <c r="M8" s="20">
        <f t="shared" si="6"/>
        <v>6.8162544574272879</v>
      </c>
      <c r="N8" s="20">
        <f>ABS(G8)</f>
        <v>0</v>
      </c>
      <c r="O8" s="20">
        <f>ABS(I8)</f>
        <v>0</v>
      </c>
      <c r="P8" s="20">
        <f>ABS(K8)</f>
        <v>0</v>
      </c>
      <c r="Q8" s="20">
        <f t="shared" si="0"/>
        <v>6.8162544574272879</v>
      </c>
    </row>
    <row r="9" spans="1:17" x14ac:dyDescent="0.35">
      <c r="D9" s="20">
        <f t="shared" si="1"/>
        <v>8</v>
      </c>
      <c r="E9" s="23">
        <f>IF(D8&lt;=$B$5,E8+$B$6,"")</f>
        <v>-1.5757575757575761</v>
      </c>
      <c r="F9" s="20">
        <f t="shared" si="2"/>
        <v>9.0282141951801052</v>
      </c>
      <c r="G9" s="20">
        <f t="shared" si="3"/>
        <v>0</v>
      </c>
      <c r="H9" s="20">
        <f t="shared" si="7"/>
        <v>1</v>
      </c>
      <c r="I9" s="20">
        <f t="shared" si="4"/>
        <v>9.0282141951801052</v>
      </c>
      <c r="J9" s="20">
        <f t="shared" si="7"/>
        <v>0</v>
      </c>
      <c r="K9" s="20">
        <f t="shared" si="5"/>
        <v>0</v>
      </c>
      <c r="L9" s="20">
        <f t="shared" si="7"/>
        <v>0</v>
      </c>
      <c r="M9" s="20">
        <f t="shared" si="6"/>
        <v>0</v>
      </c>
      <c r="N9" s="20">
        <f>ABS(G9)</f>
        <v>0</v>
      </c>
      <c r="O9" s="20">
        <f>ABS(I9)</f>
        <v>9.0282141951801052</v>
      </c>
      <c r="P9" s="20">
        <f>ABS(K9)</f>
        <v>0</v>
      </c>
      <c r="Q9" s="20">
        <f t="shared" si="0"/>
        <v>0</v>
      </c>
    </row>
    <row r="10" spans="1:17" x14ac:dyDescent="0.35">
      <c r="A10" t="s">
        <v>31</v>
      </c>
      <c r="B10">
        <f>(9/8)*B6*SUM(I2:I500)</f>
        <v>16.27947490757396</v>
      </c>
      <c r="D10" s="20">
        <f t="shared" si="1"/>
        <v>9</v>
      </c>
      <c r="E10" s="23">
        <f>IF(D9&lt;=$B$5,E9+$B$6,"")</f>
        <v>-1.5151515151515156</v>
      </c>
      <c r="F10" s="20">
        <f t="shared" si="2"/>
        <v>10.87551043337551</v>
      </c>
      <c r="G10" s="20">
        <f t="shared" si="3"/>
        <v>0</v>
      </c>
      <c r="H10" s="20">
        <f t="shared" si="7"/>
        <v>0</v>
      </c>
      <c r="I10" s="20">
        <f t="shared" si="4"/>
        <v>0</v>
      </c>
      <c r="J10" s="20">
        <f t="shared" si="7"/>
        <v>1</v>
      </c>
      <c r="K10" s="20">
        <f t="shared" si="5"/>
        <v>10.87551043337551</v>
      </c>
      <c r="L10" s="20">
        <f t="shared" si="7"/>
        <v>0</v>
      </c>
      <c r="M10" s="20">
        <f t="shared" si="6"/>
        <v>0</v>
      </c>
      <c r="N10" s="20">
        <f>ABS(G10)</f>
        <v>0</v>
      </c>
      <c r="O10" s="20">
        <f>ABS(I10)</f>
        <v>0</v>
      </c>
      <c r="P10" s="20">
        <f>ABS(K10)</f>
        <v>10.87551043337551</v>
      </c>
      <c r="Q10" s="20">
        <f t="shared" si="0"/>
        <v>0</v>
      </c>
    </row>
    <row r="11" spans="1:17" x14ac:dyDescent="0.35">
      <c r="D11" s="20">
        <f t="shared" si="1"/>
        <v>10</v>
      </c>
      <c r="E11" s="23">
        <f>IF(D10&lt;=$B$5,E10+$B$6,"")</f>
        <v>-1.454545454545455</v>
      </c>
      <c r="F11" s="20">
        <f t="shared" si="2"/>
        <v>9.6648662230385103</v>
      </c>
      <c r="G11" s="20">
        <f t="shared" si="3"/>
        <v>0</v>
      </c>
      <c r="H11" s="20">
        <f t="shared" si="7"/>
        <v>0</v>
      </c>
      <c r="I11" s="20">
        <f t="shared" si="4"/>
        <v>0</v>
      </c>
      <c r="J11" s="20">
        <f t="shared" si="7"/>
        <v>0</v>
      </c>
      <c r="K11" s="20">
        <f t="shared" si="5"/>
        <v>0</v>
      </c>
      <c r="L11" s="20">
        <f t="shared" si="7"/>
        <v>1</v>
      </c>
      <c r="M11" s="20">
        <f t="shared" si="6"/>
        <v>9.6648662230385103</v>
      </c>
      <c r="N11" s="20">
        <f>ABS(G11)</f>
        <v>0</v>
      </c>
      <c r="O11" s="20">
        <f>ABS(I11)</f>
        <v>0</v>
      </c>
      <c r="P11" s="20">
        <f>ABS(K11)</f>
        <v>0</v>
      </c>
      <c r="Q11" s="20">
        <f t="shared" si="0"/>
        <v>9.6648662230385103</v>
      </c>
    </row>
    <row r="12" spans="1:17" x14ac:dyDescent="0.35">
      <c r="A12" t="s">
        <v>32</v>
      </c>
      <c r="B12">
        <f>(9/8)*B6*SUM(K2:K300)</f>
        <v>14.589592777096078</v>
      </c>
      <c r="D12" s="20">
        <f t="shared" si="1"/>
        <v>11</v>
      </c>
      <c r="E12" s="23">
        <f>IF(D11&lt;=$B$5,E11+$B$6,"")</f>
        <v>-1.3939393939393945</v>
      </c>
      <c r="F12" s="20">
        <f t="shared" si="2"/>
        <v>6.8188416414781674</v>
      </c>
      <c r="G12" s="20">
        <f t="shared" si="3"/>
        <v>0</v>
      </c>
      <c r="H12" s="20">
        <f t="shared" si="7"/>
        <v>1</v>
      </c>
      <c r="I12" s="20">
        <f t="shared" si="4"/>
        <v>6.8188416414781674</v>
      </c>
      <c r="J12" s="20">
        <f t="shared" si="7"/>
        <v>0</v>
      </c>
      <c r="K12" s="20">
        <f t="shared" si="5"/>
        <v>0</v>
      </c>
      <c r="L12" s="20">
        <f t="shared" si="7"/>
        <v>0</v>
      </c>
      <c r="M12" s="20">
        <f t="shared" si="6"/>
        <v>0</v>
      </c>
      <c r="N12" s="20">
        <f>ABS(G12)</f>
        <v>0</v>
      </c>
      <c r="O12" s="20">
        <f>ABS(I12)</f>
        <v>6.8188416414781674</v>
      </c>
      <c r="P12" s="20">
        <f>ABS(K12)</f>
        <v>0</v>
      </c>
      <c r="Q12" s="20">
        <f t="shared" si="0"/>
        <v>0</v>
      </c>
    </row>
    <row r="13" spans="1:17" x14ac:dyDescent="0.35">
      <c r="D13" s="20">
        <f t="shared" si="1"/>
        <v>12</v>
      </c>
      <c r="E13" s="23">
        <f>IF(D12&lt;=$B$5,E12+$B$6,"")</f>
        <v>-1.3333333333333339</v>
      </c>
      <c r="F13" s="20">
        <f t="shared" si="2"/>
        <v>4.8076004021283714</v>
      </c>
      <c r="G13" s="20">
        <f t="shared" si="3"/>
        <v>0</v>
      </c>
      <c r="H13" s="20">
        <f t="shared" si="7"/>
        <v>0</v>
      </c>
      <c r="I13" s="20">
        <f t="shared" si="4"/>
        <v>0</v>
      </c>
      <c r="J13" s="20">
        <f t="shared" si="7"/>
        <v>1</v>
      </c>
      <c r="K13" s="20">
        <f t="shared" si="5"/>
        <v>4.8076004021283714</v>
      </c>
      <c r="L13" s="20">
        <f t="shared" si="7"/>
        <v>0</v>
      </c>
      <c r="M13" s="20">
        <f t="shared" si="6"/>
        <v>0</v>
      </c>
      <c r="N13" s="20">
        <f>ABS(G13)</f>
        <v>0</v>
      </c>
      <c r="O13" s="20">
        <f>ABS(I13)</f>
        <v>0</v>
      </c>
      <c r="P13" s="20">
        <f>ABS(K13)</f>
        <v>4.8076004021283714</v>
      </c>
      <c r="Q13" s="20">
        <f t="shared" si="0"/>
        <v>0</v>
      </c>
    </row>
    <row r="14" spans="1:17" x14ac:dyDescent="0.35">
      <c r="A14" t="s">
        <v>44</v>
      </c>
      <c r="B14">
        <f>(3/4)*B6*SUM(M2:M300)</f>
        <v>9.7486947088051306</v>
      </c>
      <c r="D14" s="20">
        <f t="shared" si="1"/>
        <v>13</v>
      </c>
      <c r="E14" s="23">
        <f>IF(D13&lt;=$B$5,E13+$B$6,"")</f>
        <v>-1.2727272727272734</v>
      </c>
      <c r="F14" s="20">
        <f t="shared" si="2"/>
        <v>4.5756547727388019</v>
      </c>
      <c r="G14" s="20">
        <f t="shared" si="3"/>
        <v>0</v>
      </c>
      <c r="H14" s="20">
        <f t="shared" si="7"/>
        <v>0</v>
      </c>
      <c r="I14" s="20">
        <f t="shared" si="4"/>
        <v>0</v>
      </c>
      <c r="J14" s="20">
        <f t="shared" si="7"/>
        <v>0</v>
      </c>
      <c r="K14" s="20">
        <f t="shared" si="5"/>
        <v>0</v>
      </c>
      <c r="L14" s="20">
        <f t="shared" si="7"/>
        <v>1</v>
      </c>
      <c r="M14" s="20">
        <f t="shared" si="6"/>
        <v>4.5756547727388019</v>
      </c>
      <c r="N14" s="20">
        <f>ABS(G14)</f>
        <v>0</v>
      </c>
      <c r="O14" s="20">
        <f>ABS(I14)</f>
        <v>0</v>
      </c>
      <c r="P14" s="20">
        <f>ABS(K14)</f>
        <v>0</v>
      </c>
      <c r="Q14" s="20">
        <f t="shared" si="0"/>
        <v>4.5756547727388019</v>
      </c>
    </row>
    <row r="15" spans="1:17" x14ac:dyDescent="0.35">
      <c r="D15" s="20">
        <f t="shared" si="1"/>
        <v>14</v>
      </c>
      <c r="E15" s="23">
        <f>IF(D14&lt;=$B$5,E14+$B$6,"")</f>
        <v>-1.2121212121212128</v>
      </c>
      <c r="F15" s="20">
        <f t="shared" si="2"/>
        <v>5.5016906899300624</v>
      </c>
      <c r="G15" s="20">
        <f t="shared" si="3"/>
        <v>0</v>
      </c>
      <c r="H15" s="20">
        <f t="shared" si="7"/>
        <v>1</v>
      </c>
      <c r="I15" s="20">
        <f t="shared" si="4"/>
        <v>5.5016906899300624</v>
      </c>
      <c r="J15" s="20">
        <f t="shared" si="7"/>
        <v>0</v>
      </c>
      <c r="K15" s="20">
        <f t="shared" si="5"/>
        <v>0</v>
      </c>
      <c r="L15" s="20">
        <f t="shared" si="7"/>
        <v>0</v>
      </c>
      <c r="M15" s="20">
        <f t="shared" si="6"/>
        <v>0</v>
      </c>
      <c r="N15" s="20">
        <f>ABS(G15)</f>
        <v>0</v>
      </c>
      <c r="O15" s="20">
        <f>ABS(I15)</f>
        <v>5.5016906899300624</v>
      </c>
      <c r="P15" s="20">
        <f>ABS(K15)</f>
        <v>0</v>
      </c>
      <c r="Q15" s="20">
        <f t="shared" si="0"/>
        <v>0</v>
      </c>
    </row>
    <row r="16" spans="1:17" x14ac:dyDescent="0.35">
      <c r="A16" t="s">
        <v>34</v>
      </c>
      <c r="B16">
        <f>SUM(B8:B14)</f>
        <v>41.411690311927849</v>
      </c>
      <c r="D16" s="20">
        <f t="shared" si="1"/>
        <v>15</v>
      </c>
      <c r="E16" s="23">
        <f>IF(D15&lt;=$B$5,E15+$B$6,"")</f>
        <v>-1.1515151515151523</v>
      </c>
      <c r="F16" s="20">
        <f t="shared" si="2"/>
        <v>6.5236150609061774</v>
      </c>
      <c r="G16" s="20">
        <f t="shared" si="3"/>
        <v>0</v>
      </c>
      <c r="H16" s="20">
        <f t="shared" si="7"/>
        <v>0</v>
      </c>
      <c r="I16" s="20">
        <f t="shared" si="4"/>
        <v>0</v>
      </c>
      <c r="J16" s="20">
        <f t="shared" si="7"/>
        <v>1</v>
      </c>
      <c r="K16" s="20">
        <f t="shared" si="5"/>
        <v>6.5236150609061774</v>
      </c>
      <c r="L16" s="20">
        <f t="shared" si="7"/>
        <v>0</v>
      </c>
      <c r="M16" s="20">
        <f t="shared" si="6"/>
        <v>0</v>
      </c>
      <c r="N16" s="20">
        <f>ABS(G16)</f>
        <v>0</v>
      </c>
      <c r="O16" s="20">
        <f>ABS(I16)</f>
        <v>0</v>
      </c>
      <c r="P16" s="20">
        <f>ABS(K16)</f>
        <v>6.5236150609061774</v>
      </c>
      <c r="Q16" s="20">
        <f t="shared" si="0"/>
        <v>0</v>
      </c>
    </row>
    <row r="17" spans="1:17" x14ac:dyDescent="0.35">
      <c r="D17" s="20">
        <f t="shared" si="1"/>
        <v>16</v>
      </c>
      <c r="E17" s="23">
        <f>IF(D16&lt;=$B$5,E16+$B$6,"")</f>
        <v>-1.0909090909090917</v>
      </c>
      <c r="F17" s="20">
        <f t="shared" si="2"/>
        <v>6.9617479530061441</v>
      </c>
      <c r="G17" s="20">
        <f t="shared" si="3"/>
        <v>0</v>
      </c>
      <c r="H17" s="20">
        <f t="shared" si="7"/>
        <v>0</v>
      </c>
      <c r="I17" s="20">
        <f t="shared" si="4"/>
        <v>0</v>
      </c>
      <c r="J17" s="20">
        <f t="shared" si="7"/>
        <v>0</v>
      </c>
      <c r="K17" s="20">
        <f t="shared" si="5"/>
        <v>0</v>
      </c>
      <c r="L17" s="20">
        <f t="shared" si="7"/>
        <v>1</v>
      </c>
      <c r="M17" s="20">
        <f t="shared" si="6"/>
        <v>6.9617479530061441</v>
      </c>
      <c r="N17" s="20">
        <f>ABS(G17)</f>
        <v>0</v>
      </c>
      <c r="O17" s="20">
        <f>ABS(I17)</f>
        <v>0</v>
      </c>
      <c r="P17" s="20">
        <f>ABS(K17)</f>
        <v>0</v>
      </c>
      <c r="Q17" s="20">
        <f t="shared" si="0"/>
        <v>6.9617479530061441</v>
      </c>
    </row>
    <row r="18" spans="1:17" x14ac:dyDescent="0.35">
      <c r="A18" t="s">
        <v>45</v>
      </c>
      <c r="B18">
        <f>(3/8)*B6*(SUM(N2:N500))</f>
        <v>0.79392791845267674</v>
      </c>
      <c r="D18" s="20">
        <f t="shared" si="1"/>
        <v>17</v>
      </c>
      <c r="E18" s="23">
        <f>IF(D17&lt;=$B$5,E17+$B$6,"")</f>
        <v>-1.0303030303030312</v>
      </c>
      <c r="F18" s="20">
        <f t="shared" si="2"/>
        <v>6.6812577949787393</v>
      </c>
      <c r="G18" s="20">
        <f t="shared" si="3"/>
        <v>0</v>
      </c>
      <c r="H18" s="20">
        <f t="shared" si="7"/>
        <v>1</v>
      </c>
      <c r="I18" s="20">
        <f t="shared" si="4"/>
        <v>6.6812577949787393</v>
      </c>
      <c r="J18" s="20">
        <f t="shared" si="7"/>
        <v>0</v>
      </c>
      <c r="K18" s="20">
        <f t="shared" si="5"/>
        <v>0</v>
      </c>
      <c r="L18" s="20">
        <f t="shared" si="7"/>
        <v>0</v>
      </c>
      <c r="M18" s="20">
        <f t="shared" si="6"/>
        <v>0</v>
      </c>
      <c r="N18" s="20">
        <f>ABS(G18)</f>
        <v>0</v>
      </c>
      <c r="O18" s="20">
        <f>ABS(I18)</f>
        <v>6.6812577949787393</v>
      </c>
      <c r="P18" s="20">
        <f>ABS(K18)</f>
        <v>0</v>
      </c>
      <c r="Q18" s="20">
        <f t="shared" si="0"/>
        <v>0</v>
      </c>
    </row>
    <row r="19" spans="1:17" x14ac:dyDescent="0.35">
      <c r="D19" s="20">
        <f t="shared" si="1"/>
        <v>18</v>
      </c>
      <c r="E19" s="23">
        <f>IF(D18&lt;=$B$5,E18+$B$6,"")</f>
        <v>-0.96969696969697061</v>
      </c>
      <c r="F19" s="20">
        <f t="shared" si="2"/>
        <v>5.8845221559768603</v>
      </c>
      <c r="G19" s="20">
        <f t="shared" si="3"/>
        <v>0</v>
      </c>
      <c r="H19" s="20">
        <f t="shared" si="7"/>
        <v>0</v>
      </c>
      <c r="I19" s="20">
        <f t="shared" si="4"/>
        <v>0</v>
      </c>
      <c r="J19" s="20">
        <f t="shared" si="7"/>
        <v>1</v>
      </c>
      <c r="K19" s="20">
        <f t="shared" si="5"/>
        <v>5.8845221559768603</v>
      </c>
      <c r="L19" s="20">
        <f t="shared" si="7"/>
        <v>0</v>
      </c>
      <c r="M19" s="20">
        <f t="shared" si="6"/>
        <v>0</v>
      </c>
      <c r="N19" s="20">
        <f>ABS(G19)</f>
        <v>0</v>
      </c>
      <c r="O19" s="20">
        <f>ABS(I19)</f>
        <v>0</v>
      </c>
      <c r="P19" s="20">
        <f>ABS(K19)</f>
        <v>5.8845221559768603</v>
      </c>
      <c r="Q19" s="20">
        <f t="shared" si="0"/>
        <v>0</v>
      </c>
    </row>
    <row r="20" spans="1:17" x14ac:dyDescent="0.35">
      <c r="A20" t="s">
        <v>46</v>
      </c>
      <c r="B20">
        <f>(9/8)*B6*SUM(O2:O500)</f>
        <v>16.371584192505026</v>
      </c>
      <c r="D20" s="20">
        <f t="shared" si="1"/>
        <v>19</v>
      </c>
      <c r="E20" s="23">
        <f>IF(D19&lt;=$B$5,E19+$B$6,"")</f>
        <v>-0.90909090909091006</v>
      </c>
      <c r="F20" s="20">
        <f t="shared" si="2"/>
        <v>4.8613818299570735</v>
      </c>
      <c r="G20" s="20">
        <f t="shared" si="3"/>
        <v>0</v>
      </c>
      <c r="H20" s="20">
        <f t="shared" si="7"/>
        <v>0</v>
      </c>
      <c r="I20" s="20">
        <f t="shared" si="4"/>
        <v>0</v>
      </c>
      <c r="J20" s="20">
        <f t="shared" si="7"/>
        <v>0</v>
      </c>
      <c r="K20" s="20">
        <f t="shared" si="5"/>
        <v>0</v>
      </c>
      <c r="L20" s="20">
        <f t="shared" si="7"/>
        <v>1</v>
      </c>
      <c r="M20" s="20">
        <f t="shared" si="6"/>
        <v>4.8613818299570735</v>
      </c>
      <c r="N20" s="20">
        <f>ABS(G20)</f>
        <v>0</v>
      </c>
      <c r="O20" s="20">
        <f>ABS(I20)</f>
        <v>0</v>
      </c>
      <c r="P20" s="20">
        <f>ABS(K20)</f>
        <v>0</v>
      </c>
      <c r="Q20" s="20">
        <f t="shared" si="0"/>
        <v>4.8613818299570735</v>
      </c>
    </row>
    <row r="21" spans="1:17" x14ac:dyDescent="0.35">
      <c r="D21" s="20">
        <f t="shared" si="1"/>
        <v>20</v>
      </c>
      <c r="E21" s="23">
        <f>IF(D20&lt;=$B$5,E20+$B$6,"")</f>
        <v>-0.84848484848484951</v>
      </c>
      <c r="F21" s="20">
        <f t="shared" si="2"/>
        <v>3.8419148686780655</v>
      </c>
      <c r="G21" s="20">
        <f t="shared" si="3"/>
        <v>0</v>
      </c>
      <c r="H21" s="20">
        <f t="shared" si="7"/>
        <v>1</v>
      </c>
      <c r="I21" s="20">
        <f t="shared" si="4"/>
        <v>3.8419148686780655</v>
      </c>
      <c r="J21" s="20">
        <f t="shared" si="7"/>
        <v>0</v>
      </c>
      <c r="K21" s="20">
        <f t="shared" si="5"/>
        <v>0</v>
      </c>
      <c r="L21" s="20">
        <f t="shared" si="7"/>
        <v>0</v>
      </c>
      <c r="M21" s="20">
        <f t="shared" si="6"/>
        <v>0</v>
      </c>
      <c r="N21" s="20">
        <f>ABS(G21)</f>
        <v>0</v>
      </c>
      <c r="O21" s="20">
        <f>ABS(I21)</f>
        <v>3.8419148686780655</v>
      </c>
      <c r="P21" s="20">
        <f>ABS(K21)</f>
        <v>0</v>
      </c>
      <c r="Q21" s="20">
        <f t="shared" si="0"/>
        <v>0</v>
      </c>
    </row>
    <row r="22" spans="1:17" x14ac:dyDescent="0.35">
      <c r="A22" t="s">
        <v>47</v>
      </c>
      <c r="B22">
        <f>(9/8)*B6*SUM(P2:P300)</f>
        <v>14.705694119719052</v>
      </c>
      <c r="D22" s="20">
        <f>IF(D21&lt;=$B$5,D21+1,"")</f>
        <v>21</v>
      </c>
      <c r="E22" s="23">
        <f>IF(D21&lt;=$B$5,E21+$B$6,"")</f>
        <v>-0.78787878787878896</v>
      </c>
      <c r="F22" s="20">
        <f t="shared" si="2"/>
        <v>2.9543989186408557</v>
      </c>
      <c r="G22" s="20">
        <f t="shared" si="3"/>
        <v>0</v>
      </c>
      <c r="H22" s="20">
        <f t="shared" si="7"/>
        <v>0</v>
      </c>
      <c r="I22" s="20">
        <f t="shared" si="4"/>
        <v>0</v>
      </c>
      <c r="J22" s="20">
        <f t="shared" si="7"/>
        <v>1</v>
      </c>
      <c r="K22" s="20">
        <f t="shared" si="5"/>
        <v>2.9543989186408557</v>
      </c>
      <c r="L22" s="20">
        <f t="shared" si="7"/>
        <v>0</v>
      </c>
      <c r="M22" s="20">
        <f t="shared" si="6"/>
        <v>0</v>
      </c>
      <c r="N22" s="20">
        <f>ABS(G22)</f>
        <v>0</v>
      </c>
      <c r="O22" s="20">
        <f>ABS(I22)</f>
        <v>0</v>
      </c>
      <c r="P22" s="20">
        <f>ABS(K22)</f>
        <v>2.9543989186408557</v>
      </c>
      <c r="Q22" s="20">
        <f t="shared" si="0"/>
        <v>0</v>
      </c>
    </row>
    <row r="23" spans="1:17" x14ac:dyDescent="0.35">
      <c r="D23" s="20">
        <f t="shared" ref="D23:D86" si="8">IF(D22&lt;=$B$5,D22+1,"")</f>
        <v>22</v>
      </c>
      <c r="E23" s="23">
        <f t="shared" ref="E23:E86" si="9">IF(D22&lt;=$B$5,E22+$B$6,"")</f>
        <v>-0.7272727272727284</v>
      </c>
      <c r="F23" s="20">
        <f t="shared" si="2"/>
        <v>2.2418333193651558</v>
      </c>
      <c r="G23" s="20">
        <f t="shared" si="3"/>
        <v>0</v>
      </c>
      <c r="H23" s="20">
        <f t="shared" ref="H23:L38" si="10">IF(H22+H21=0,1,0)</f>
        <v>0</v>
      </c>
      <c r="I23" s="20">
        <f t="shared" si="4"/>
        <v>0</v>
      </c>
      <c r="J23" s="20">
        <f t="shared" si="10"/>
        <v>0</v>
      </c>
      <c r="K23" s="20">
        <f t="shared" si="5"/>
        <v>0</v>
      </c>
      <c r="L23" s="20">
        <f t="shared" si="10"/>
        <v>1</v>
      </c>
      <c r="M23" s="20">
        <f t="shared" si="6"/>
        <v>2.2418333193651558</v>
      </c>
      <c r="N23" s="20">
        <f>ABS(G23)</f>
        <v>0</v>
      </c>
      <c r="O23" s="20">
        <f>ABS(I23)</f>
        <v>0</v>
      </c>
      <c r="P23" s="20">
        <f>ABS(K23)</f>
        <v>0</v>
      </c>
      <c r="Q23" s="20">
        <f t="shared" si="0"/>
        <v>2.2418333193651558</v>
      </c>
    </row>
    <row r="24" spans="1:17" x14ac:dyDescent="0.35">
      <c r="A24" t="s">
        <v>48</v>
      </c>
      <c r="B24">
        <f>(3/4)*B6*SUM(Q2:Q300)</f>
        <v>9.814874127174452</v>
      </c>
      <c r="D24" s="20">
        <f t="shared" si="8"/>
        <v>23</v>
      </c>
      <c r="E24" s="23">
        <f t="shared" si="9"/>
        <v>-0.66666666666666785</v>
      </c>
      <c r="F24" s="20">
        <f t="shared" si="2"/>
        <v>1.6956645017171605</v>
      </c>
      <c r="G24" s="20">
        <f t="shared" si="3"/>
        <v>0</v>
      </c>
      <c r="H24" s="20">
        <f t="shared" si="10"/>
        <v>1</v>
      </c>
      <c r="I24" s="20">
        <f t="shared" si="4"/>
        <v>1.6956645017171605</v>
      </c>
      <c r="J24" s="20">
        <f t="shared" si="10"/>
        <v>0</v>
      </c>
      <c r="K24" s="20">
        <f t="shared" si="5"/>
        <v>0</v>
      </c>
      <c r="L24" s="20">
        <f t="shared" si="10"/>
        <v>0</v>
      </c>
      <c r="M24" s="20">
        <f t="shared" si="6"/>
        <v>0</v>
      </c>
      <c r="N24" s="20">
        <f>ABS(G24)</f>
        <v>0</v>
      </c>
      <c r="O24" s="20">
        <f>ABS(I24)</f>
        <v>1.6956645017171605</v>
      </c>
      <c r="P24" s="20">
        <f>ABS(K24)</f>
        <v>0</v>
      </c>
      <c r="Q24" s="20">
        <f t="shared" si="0"/>
        <v>0</v>
      </c>
    </row>
    <row r="25" spans="1:17" x14ac:dyDescent="0.35">
      <c r="D25" s="20">
        <f t="shared" si="8"/>
        <v>24</v>
      </c>
      <c r="E25" s="23">
        <f t="shared" si="9"/>
        <v>-0.6060606060606073</v>
      </c>
      <c r="F25" s="20">
        <f t="shared" si="2"/>
        <v>1.2850653440787512</v>
      </c>
      <c r="G25" s="20">
        <f t="shared" si="3"/>
        <v>0</v>
      </c>
      <c r="H25" s="20">
        <f t="shared" si="10"/>
        <v>0</v>
      </c>
      <c r="I25" s="20">
        <f t="shared" si="4"/>
        <v>0</v>
      </c>
      <c r="J25" s="20">
        <f t="shared" si="10"/>
        <v>1</v>
      </c>
      <c r="K25" s="20">
        <f t="shared" si="5"/>
        <v>1.2850653440787512</v>
      </c>
      <c r="L25" s="20">
        <f t="shared" si="10"/>
        <v>0</v>
      </c>
      <c r="M25" s="20">
        <f t="shared" si="6"/>
        <v>0</v>
      </c>
      <c r="N25" s="20">
        <f>ABS(G25)</f>
        <v>0</v>
      </c>
      <c r="O25" s="20">
        <f>ABS(I25)</f>
        <v>0</v>
      </c>
      <c r="P25" s="20">
        <f>ABS(K25)</f>
        <v>1.2850653440787512</v>
      </c>
      <c r="Q25" s="20">
        <f t="shared" si="0"/>
        <v>0</v>
      </c>
    </row>
    <row r="26" spans="1:17" x14ac:dyDescent="0.35">
      <c r="A26" t="s">
        <v>33</v>
      </c>
      <c r="B26">
        <f>SUM(B18:B24)</f>
        <v>41.68608035785121</v>
      </c>
      <c r="D26" s="20">
        <f t="shared" si="8"/>
        <v>25</v>
      </c>
      <c r="E26" s="23">
        <f t="shared" si="9"/>
        <v>-0.54545454545454675</v>
      </c>
      <c r="F26" s="20">
        <f t="shared" si="2"/>
        <v>0.97545053465651754</v>
      </c>
      <c r="G26" s="20">
        <f t="shared" si="3"/>
        <v>0</v>
      </c>
      <c r="H26" s="20">
        <f t="shared" si="10"/>
        <v>0</v>
      </c>
      <c r="I26" s="20">
        <f t="shared" si="4"/>
        <v>0</v>
      </c>
      <c r="J26" s="20">
        <f t="shared" si="10"/>
        <v>0</v>
      </c>
      <c r="K26" s="20">
        <f t="shared" si="5"/>
        <v>0</v>
      </c>
      <c r="L26" s="20">
        <f t="shared" si="10"/>
        <v>1</v>
      </c>
      <c r="M26" s="20">
        <f t="shared" si="6"/>
        <v>0.97545053465651754</v>
      </c>
      <c r="N26" s="20">
        <f>ABS(G26)</f>
        <v>0</v>
      </c>
      <c r="O26" s="20">
        <f>ABS(I26)</f>
        <v>0</v>
      </c>
      <c r="P26" s="20">
        <f>ABS(K26)</f>
        <v>0</v>
      </c>
      <c r="Q26" s="20">
        <f t="shared" si="0"/>
        <v>0.97545053465651754</v>
      </c>
    </row>
    <row r="27" spans="1:17" x14ac:dyDescent="0.35">
      <c r="D27" s="20">
        <f t="shared" si="8"/>
        <v>26</v>
      </c>
      <c r="E27" s="23">
        <f t="shared" si="9"/>
        <v>-0.48484848484848614</v>
      </c>
      <c r="F27" s="20">
        <f t="shared" si="2"/>
        <v>0.73744144544816137</v>
      </c>
      <c r="G27" s="20">
        <f t="shared" si="3"/>
        <v>0</v>
      </c>
      <c r="H27" s="20">
        <f t="shared" si="10"/>
        <v>1</v>
      </c>
      <c r="I27" s="20">
        <f t="shared" si="4"/>
        <v>0.73744144544816137</v>
      </c>
      <c r="J27" s="20">
        <f t="shared" si="10"/>
        <v>0</v>
      </c>
      <c r="K27" s="20">
        <f t="shared" si="5"/>
        <v>0</v>
      </c>
      <c r="L27" s="20">
        <f t="shared" si="10"/>
        <v>0</v>
      </c>
      <c r="M27" s="20">
        <f t="shared" si="6"/>
        <v>0</v>
      </c>
      <c r="N27" s="20">
        <f>ABS(G27)</f>
        <v>0</v>
      </c>
      <c r="O27" s="20">
        <f>ABS(I27)</f>
        <v>0.73744144544816137</v>
      </c>
      <c r="P27" s="20">
        <f>ABS(K27)</f>
        <v>0</v>
      </c>
      <c r="Q27" s="20">
        <f t="shared" si="0"/>
        <v>0</v>
      </c>
    </row>
    <row r="28" spans="1:17" x14ac:dyDescent="0.35">
      <c r="D28" s="20">
        <f t="shared" si="8"/>
        <v>27</v>
      </c>
      <c r="E28" s="23">
        <f t="shared" si="9"/>
        <v>-0.42424242424242553</v>
      </c>
      <c r="F28" s="20">
        <f t="shared" si="2"/>
        <v>0.54962690100787359</v>
      </c>
      <c r="G28" s="20">
        <f t="shared" si="3"/>
        <v>0</v>
      </c>
      <c r="H28" s="20">
        <f t="shared" si="10"/>
        <v>0</v>
      </c>
      <c r="I28" s="20">
        <f t="shared" si="4"/>
        <v>0</v>
      </c>
      <c r="J28" s="20">
        <f t="shared" si="10"/>
        <v>1</v>
      </c>
      <c r="K28" s="20">
        <f t="shared" si="5"/>
        <v>0.54962690100787359</v>
      </c>
      <c r="L28" s="20">
        <f t="shared" si="10"/>
        <v>0</v>
      </c>
      <c r="M28" s="20">
        <f t="shared" si="6"/>
        <v>0</v>
      </c>
      <c r="N28" s="20">
        <f>ABS(G28)</f>
        <v>0</v>
      </c>
      <c r="O28" s="20">
        <f>ABS(I28)</f>
        <v>0</v>
      </c>
      <c r="P28" s="20">
        <f>ABS(K28)</f>
        <v>0.54962690100787359</v>
      </c>
      <c r="Q28" s="20">
        <f t="shared" si="0"/>
        <v>0</v>
      </c>
    </row>
    <row r="29" spans="1:17" x14ac:dyDescent="0.35">
      <c r="D29" s="20">
        <f t="shared" si="8"/>
        <v>28</v>
      </c>
      <c r="E29" s="23">
        <f t="shared" si="9"/>
        <v>-0.36363636363636492</v>
      </c>
      <c r="F29" s="20">
        <f t="shared" si="2"/>
        <v>0.3981128139873219</v>
      </c>
      <c r="G29" s="20">
        <f t="shared" si="3"/>
        <v>0</v>
      </c>
      <c r="H29" s="20">
        <f t="shared" si="10"/>
        <v>0</v>
      </c>
      <c r="I29" s="20">
        <f t="shared" si="4"/>
        <v>0</v>
      </c>
      <c r="J29" s="20">
        <f t="shared" si="10"/>
        <v>0</v>
      </c>
      <c r="K29" s="20">
        <f t="shared" si="5"/>
        <v>0</v>
      </c>
      <c r="L29" s="20">
        <f t="shared" si="10"/>
        <v>1</v>
      </c>
      <c r="M29" s="20">
        <f t="shared" si="6"/>
        <v>0.3981128139873219</v>
      </c>
      <c r="N29" s="20">
        <f>ABS(G29)</f>
        <v>0</v>
      </c>
      <c r="O29" s="20">
        <f>ABS(I29)</f>
        <v>0</v>
      </c>
      <c r="P29" s="20">
        <f>ABS(K29)</f>
        <v>0</v>
      </c>
      <c r="Q29" s="20">
        <f t="shared" si="0"/>
        <v>0.3981128139873219</v>
      </c>
    </row>
    <row r="30" spans="1:17" x14ac:dyDescent="0.35">
      <c r="D30" s="20">
        <f t="shared" si="8"/>
        <v>29</v>
      </c>
      <c r="E30" s="23">
        <f t="shared" si="9"/>
        <v>-0.30303030303030432</v>
      </c>
      <c r="F30" s="20">
        <f t="shared" si="2"/>
        <v>0.27483107627914927</v>
      </c>
      <c r="G30" s="20">
        <f t="shared" si="3"/>
        <v>0</v>
      </c>
      <c r="H30" s="20">
        <f t="shared" si="10"/>
        <v>1</v>
      </c>
      <c r="I30" s="20">
        <f t="shared" si="4"/>
        <v>0.27483107627914927</v>
      </c>
      <c r="J30" s="20">
        <f t="shared" si="10"/>
        <v>0</v>
      </c>
      <c r="K30" s="20">
        <f t="shared" si="5"/>
        <v>0</v>
      </c>
      <c r="L30" s="20">
        <f t="shared" si="10"/>
        <v>0</v>
      </c>
      <c r="M30" s="20">
        <f t="shared" si="6"/>
        <v>0</v>
      </c>
      <c r="N30" s="20">
        <f>ABS(G30)</f>
        <v>0</v>
      </c>
      <c r="O30" s="20">
        <f>ABS(I30)</f>
        <v>0.27483107627914927</v>
      </c>
      <c r="P30" s="20">
        <f>ABS(K30)</f>
        <v>0</v>
      </c>
      <c r="Q30" s="20">
        <f t="shared" si="0"/>
        <v>0</v>
      </c>
    </row>
    <row r="31" spans="1:17" x14ac:dyDescent="0.35">
      <c r="D31" s="20">
        <f t="shared" si="8"/>
        <v>30</v>
      </c>
      <c r="E31" s="23">
        <f t="shared" si="9"/>
        <v>-0.24242424242424371</v>
      </c>
      <c r="F31" s="20">
        <f t="shared" si="2"/>
        <v>0.17567084579488107</v>
      </c>
      <c r="G31" s="20">
        <f t="shared" si="3"/>
        <v>0</v>
      </c>
      <c r="H31" s="20">
        <f t="shared" si="10"/>
        <v>0</v>
      </c>
      <c r="I31" s="20">
        <f t="shared" si="4"/>
        <v>0</v>
      </c>
      <c r="J31" s="20">
        <f t="shared" si="10"/>
        <v>1</v>
      </c>
      <c r="K31" s="20">
        <f t="shared" si="5"/>
        <v>0.17567084579488107</v>
      </c>
      <c r="L31" s="20">
        <f t="shared" si="10"/>
        <v>0</v>
      </c>
      <c r="M31" s="20">
        <f t="shared" si="6"/>
        <v>0</v>
      </c>
      <c r="N31" s="20">
        <f>ABS(G31)</f>
        <v>0</v>
      </c>
      <c r="O31" s="20">
        <f>ABS(I31)</f>
        <v>0</v>
      </c>
      <c r="P31" s="20">
        <f>ABS(K31)</f>
        <v>0.17567084579488107</v>
      </c>
      <c r="Q31" s="20">
        <f t="shared" si="0"/>
        <v>0</v>
      </c>
    </row>
    <row r="32" spans="1:17" x14ac:dyDescent="0.35">
      <c r="D32" s="20">
        <f t="shared" si="8"/>
        <v>31</v>
      </c>
      <c r="E32" s="23">
        <f t="shared" si="9"/>
        <v>-0.1818181818181831</v>
      </c>
      <c r="F32" s="20">
        <f t="shared" si="2"/>
        <v>9.8899716538920379E-2</v>
      </c>
      <c r="G32" s="20">
        <f t="shared" si="3"/>
        <v>0</v>
      </c>
      <c r="H32" s="20">
        <f t="shared" si="10"/>
        <v>0</v>
      </c>
      <c r="I32" s="20">
        <f t="shared" si="4"/>
        <v>0</v>
      </c>
      <c r="J32" s="20">
        <f t="shared" si="10"/>
        <v>0</v>
      </c>
      <c r="K32" s="20">
        <f t="shared" si="5"/>
        <v>0</v>
      </c>
      <c r="L32" s="20">
        <f t="shared" si="10"/>
        <v>1</v>
      </c>
      <c r="M32" s="20">
        <f t="shared" si="6"/>
        <v>9.8899716538920379E-2</v>
      </c>
      <c r="N32" s="20">
        <f>ABS(G32)</f>
        <v>0</v>
      </c>
      <c r="O32" s="20">
        <f>ABS(I32)</f>
        <v>0</v>
      </c>
      <c r="P32" s="20">
        <f>ABS(K32)</f>
        <v>0</v>
      </c>
      <c r="Q32" s="20">
        <f t="shared" si="0"/>
        <v>9.8899716538920379E-2</v>
      </c>
    </row>
    <row r="33" spans="4:17" x14ac:dyDescent="0.35">
      <c r="D33" s="20">
        <f t="shared" si="8"/>
        <v>32</v>
      </c>
      <c r="E33" s="23">
        <f t="shared" si="9"/>
        <v>-0.12121212121212249</v>
      </c>
      <c r="F33" s="20">
        <f t="shared" si="2"/>
        <v>4.4015621565551659E-2</v>
      </c>
      <c r="G33" s="20">
        <f t="shared" si="3"/>
        <v>0</v>
      </c>
      <c r="H33" s="20">
        <f t="shared" si="10"/>
        <v>1</v>
      </c>
      <c r="I33" s="20">
        <f t="shared" si="4"/>
        <v>4.4015621565551659E-2</v>
      </c>
      <c r="J33" s="20">
        <f t="shared" si="10"/>
        <v>0</v>
      </c>
      <c r="K33" s="20">
        <f t="shared" si="5"/>
        <v>0</v>
      </c>
      <c r="L33" s="20">
        <f t="shared" si="10"/>
        <v>0</v>
      </c>
      <c r="M33" s="20">
        <f t="shared" si="6"/>
        <v>0</v>
      </c>
      <c r="N33" s="20">
        <f>ABS(G33)</f>
        <v>0</v>
      </c>
      <c r="O33" s="20">
        <f>ABS(I33)</f>
        <v>4.4015621565551659E-2</v>
      </c>
      <c r="P33" s="20">
        <f>ABS(K33)</f>
        <v>0</v>
      </c>
      <c r="Q33" s="20">
        <f t="shared" si="0"/>
        <v>0</v>
      </c>
    </row>
    <row r="34" spans="4:17" x14ac:dyDescent="0.35">
      <c r="D34" s="20">
        <f t="shared" si="8"/>
        <v>33</v>
      </c>
      <c r="E34" s="23">
        <f t="shared" si="9"/>
        <v>-6.0606060606061884E-2</v>
      </c>
      <c r="F34" s="20">
        <f t="shared" si="2"/>
        <v>1.1015263509995819E-2</v>
      </c>
      <c r="G34" s="20">
        <f t="shared" si="3"/>
        <v>0</v>
      </c>
      <c r="H34" s="20">
        <f t="shared" si="10"/>
        <v>0</v>
      </c>
      <c r="I34" s="20">
        <f t="shared" si="4"/>
        <v>0</v>
      </c>
      <c r="J34" s="20">
        <f t="shared" si="10"/>
        <v>1</v>
      </c>
      <c r="K34" s="20">
        <f t="shared" si="5"/>
        <v>1.1015263509995819E-2</v>
      </c>
      <c r="L34" s="20">
        <f t="shared" si="10"/>
        <v>0</v>
      </c>
      <c r="M34" s="20">
        <f t="shared" si="6"/>
        <v>0</v>
      </c>
      <c r="N34" s="20">
        <f>ABS(G34)</f>
        <v>0</v>
      </c>
      <c r="O34" s="20">
        <f>ABS(I34)</f>
        <v>0</v>
      </c>
      <c r="P34" s="20">
        <f>ABS(K34)</f>
        <v>1.1015263509995819E-2</v>
      </c>
      <c r="Q34" s="20">
        <f t="shared" si="0"/>
        <v>0</v>
      </c>
    </row>
    <row r="35" spans="4:17" x14ac:dyDescent="0.35">
      <c r="D35" s="20">
        <f t="shared" si="8"/>
        <v>34</v>
      </c>
      <c r="E35" s="23">
        <f t="shared" si="9"/>
        <v>-1.27675647831893E-15</v>
      </c>
      <c r="F35" s="20">
        <f t="shared" si="2"/>
        <v>4.8903213147880693E-30</v>
      </c>
      <c r="G35" s="20">
        <f t="shared" si="3"/>
        <v>0</v>
      </c>
      <c r="H35" s="20">
        <f t="shared" si="10"/>
        <v>0</v>
      </c>
      <c r="I35" s="20">
        <f t="shared" si="4"/>
        <v>0</v>
      </c>
      <c r="J35" s="20">
        <f t="shared" si="10"/>
        <v>0</v>
      </c>
      <c r="K35" s="20">
        <f t="shared" si="5"/>
        <v>0</v>
      </c>
      <c r="L35" s="20">
        <f t="shared" si="10"/>
        <v>1</v>
      </c>
      <c r="M35" s="20">
        <f t="shared" si="6"/>
        <v>4.8903213147880693E-30</v>
      </c>
      <c r="N35" s="20">
        <f>ABS(G35)</f>
        <v>0</v>
      </c>
      <c r="O35" s="20">
        <f>ABS(I35)</f>
        <v>0</v>
      </c>
      <c r="P35" s="20">
        <f>ABS(K35)</f>
        <v>0</v>
      </c>
      <c r="Q35" s="20">
        <f t="shared" si="0"/>
        <v>4.8903213147880693E-30</v>
      </c>
    </row>
    <row r="36" spans="4:17" x14ac:dyDescent="0.35">
      <c r="D36" s="20">
        <f t="shared" si="8"/>
        <v>35</v>
      </c>
      <c r="E36" s="23">
        <f t="shared" si="9"/>
        <v>6.0606060606059331E-2</v>
      </c>
      <c r="F36" s="20">
        <f t="shared" si="2"/>
        <v>1.1015216434051558E-2</v>
      </c>
      <c r="G36" s="20">
        <f t="shared" si="3"/>
        <v>0</v>
      </c>
      <c r="H36" s="20">
        <f t="shared" si="10"/>
        <v>1</v>
      </c>
      <c r="I36" s="20">
        <f t="shared" si="4"/>
        <v>1.1015216434051558E-2</v>
      </c>
      <c r="J36" s="20">
        <f t="shared" si="10"/>
        <v>0</v>
      </c>
      <c r="K36" s="20">
        <f t="shared" si="5"/>
        <v>0</v>
      </c>
      <c r="L36" s="20">
        <f t="shared" si="10"/>
        <v>0</v>
      </c>
      <c r="M36" s="20">
        <f t="shared" si="6"/>
        <v>0</v>
      </c>
      <c r="N36" s="20">
        <f>ABS(G36)</f>
        <v>0</v>
      </c>
      <c r="O36" s="20">
        <f>ABS(I36)</f>
        <v>1.1015216434051558E-2</v>
      </c>
      <c r="P36" s="20">
        <f>ABS(K36)</f>
        <v>0</v>
      </c>
      <c r="Q36" s="20">
        <f t="shared" si="0"/>
        <v>0</v>
      </c>
    </row>
    <row r="37" spans="4:17" x14ac:dyDescent="0.35">
      <c r="D37" s="20">
        <f t="shared" si="8"/>
        <v>36</v>
      </c>
      <c r="E37" s="23">
        <f t="shared" si="9"/>
        <v>0.12121212121211994</v>
      </c>
      <c r="F37" s="20">
        <f t="shared" si="2"/>
        <v>4.4009602469073858E-2</v>
      </c>
      <c r="G37" s="20">
        <f t="shared" si="3"/>
        <v>0</v>
      </c>
      <c r="H37" s="20">
        <f t="shared" si="10"/>
        <v>0</v>
      </c>
      <c r="I37" s="20">
        <f t="shared" si="4"/>
        <v>0</v>
      </c>
      <c r="J37" s="20">
        <f t="shared" si="10"/>
        <v>1</v>
      </c>
      <c r="K37" s="20">
        <f t="shared" si="5"/>
        <v>4.4009602469073858E-2</v>
      </c>
      <c r="L37" s="20">
        <f t="shared" si="10"/>
        <v>0</v>
      </c>
      <c r="M37" s="20">
        <f t="shared" si="6"/>
        <v>0</v>
      </c>
      <c r="N37" s="20">
        <f>ABS(G37)</f>
        <v>0</v>
      </c>
      <c r="O37" s="20">
        <f>ABS(I37)</f>
        <v>0</v>
      </c>
      <c r="P37" s="20">
        <f>ABS(K37)</f>
        <v>4.4009602469073858E-2</v>
      </c>
      <c r="Q37" s="20">
        <f t="shared" si="0"/>
        <v>0</v>
      </c>
    </row>
    <row r="38" spans="4:17" x14ac:dyDescent="0.35">
      <c r="D38" s="20">
        <f t="shared" si="8"/>
        <v>37</v>
      </c>
      <c r="E38" s="23">
        <f t="shared" si="9"/>
        <v>0.18181818181818055</v>
      </c>
      <c r="F38" s="20">
        <f t="shared" si="2"/>
        <v>9.8797063760998186E-2</v>
      </c>
      <c r="G38" s="20">
        <f t="shared" si="3"/>
        <v>0</v>
      </c>
      <c r="H38" s="20">
        <f t="shared" si="10"/>
        <v>0</v>
      </c>
      <c r="I38" s="20">
        <f t="shared" si="4"/>
        <v>0</v>
      </c>
      <c r="J38" s="20">
        <f t="shared" si="10"/>
        <v>0</v>
      </c>
      <c r="K38" s="20">
        <f t="shared" si="5"/>
        <v>0</v>
      </c>
      <c r="L38" s="20">
        <f t="shared" si="10"/>
        <v>1</v>
      </c>
      <c r="M38" s="20">
        <f t="shared" si="6"/>
        <v>9.8797063760998186E-2</v>
      </c>
      <c r="N38" s="20">
        <f>ABS(G38)</f>
        <v>0</v>
      </c>
      <c r="O38" s="20">
        <f>ABS(I38)</f>
        <v>0</v>
      </c>
      <c r="P38" s="20">
        <f>ABS(K38)</f>
        <v>0</v>
      </c>
      <c r="Q38" s="20">
        <f t="shared" si="0"/>
        <v>9.8797063760998186E-2</v>
      </c>
    </row>
    <row r="39" spans="4:17" x14ac:dyDescent="0.35">
      <c r="D39" s="20">
        <f t="shared" si="8"/>
        <v>38</v>
      </c>
      <c r="E39" s="23">
        <f t="shared" si="9"/>
        <v>0.24242424242424115</v>
      </c>
      <c r="F39" s="20">
        <f t="shared" si="2"/>
        <v>0.17490384113251808</v>
      </c>
      <c r="G39" s="20">
        <f t="shared" si="3"/>
        <v>0</v>
      </c>
      <c r="H39" s="20">
        <f t="shared" ref="H39:L54" si="11">IF(H38+H37=0,1,0)</f>
        <v>1</v>
      </c>
      <c r="I39" s="20">
        <f t="shared" si="4"/>
        <v>0.17490384113251808</v>
      </c>
      <c r="J39" s="20">
        <f t="shared" si="11"/>
        <v>0</v>
      </c>
      <c r="K39" s="20">
        <f t="shared" si="5"/>
        <v>0</v>
      </c>
      <c r="L39" s="20">
        <f t="shared" si="11"/>
        <v>0</v>
      </c>
      <c r="M39" s="20">
        <f t="shared" si="6"/>
        <v>0</v>
      </c>
      <c r="N39" s="20">
        <f>ABS(G39)</f>
        <v>0</v>
      </c>
      <c r="O39" s="20">
        <f>ABS(I39)</f>
        <v>0.17490384113251808</v>
      </c>
      <c r="P39" s="20">
        <f>ABS(K39)</f>
        <v>0</v>
      </c>
      <c r="Q39" s="20">
        <f t="shared" si="0"/>
        <v>0</v>
      </c>
    </row>
    <row r="40" spans="4:17" x14ac:dyDescent="0.35">
      <c r="D40" s="20">
        <f t="shared" si="8"/>
        <v>39</v>
      </c>
      <c r="E40" s="23">
        <f t="shared" si="9"/>
        <v>0.30303030303030176</v>
      </c>
      <c r="F40" s="20">
        <f t="shared" si="2"/>
        <v>0.27118679198128903</v>
      </c>
      <c r="G40" s="20">
        <f t="shared" si="3"/>
        <v>0</v>
      </c>
      <c r="H40" s="20">
        <f t="shared" si="11"/>
        <v>0</v>
      </c>
      <c r="I40" s="20">
        <f t="shared" si="4"/>
        <v>0</v>
      </c>
      <c r="J40" s="20">
        <f t="shared" si="11"/>
        <v>1</v>
      </c>
      <c r="K40" s="20">
        <f t="shared" si="5"/>
        <v>0.27118679198128903</v>
      </c>
      <c r="L40" s="20">
        <f t="shared" si="11"/>
        <v>0</v>
      </c>
      <c r="M40" s="20">
        <f t="shared" si="6"/>
        <v>0</v>
      </c>
      <c r="N40" s="20">
        <f>ABS(G40)</f>
        <v>0</v>
      </c>
      <c r="O40" s="20">
        <f>ABS(I40)</f>
        <v>0</v>
      </c>
      <c r="P40" s="20">
        <f>ABS(K40)</f>
        <v>0.27118679198128903</v>
      </c>
      <c r="Q40" s="20">
        <f t="shared" si="0"/>
        <v>0</v>
      </c>
    </row>
    <row r="41" spans="4:17" x14ac:dyDescent="0.35">
      <c r="D41" s="20">
        <f t="shared" si="8"/>
        <v>40</v>
      </c>
      <c r="E41" s="23">
        <f t="shared" si="9"/>
        <v>0.36363636363636237</v>
      </c>
      <c r="F41" s="20">
        <f t="shared" si="2"/>
        <v>0.38511814985059445</v>
      </c>
      <c r="G41" s="20">
        <f t="shared" si="3"/>
        <v>0</v>
      </c>
      <c r="H41" s="20">
        <f t="shared" si="11"/>
        <v>0</v>
      </c>
      <c r="I41" s="20">
        <f t="shared" si="4"/>
        <v>0</v>
      </c>
      <c r="J41" s="20">
        <f t="shared" si="11"/>
        <v>0</v>
      </c>
      <c r="K41" s="20">
        <f t="shared" si="5"/>
        <v>0</v>
      </c>
      <c r="L41" s="20">
        <f t="shared" si="11"/>
        <v>1</v>
      </c>
      <c r="M41" s="20">
        <f t="shared" si="6"/>
        <v>0.38511814985059445</v>
      </c>
      <c r="N41" s="20">
        <f>ABS(G41)</f>
        <v>0</v>
      </c>
      <c r="O41" s="20">
        <f>ABS(I41)</f>
        <v>0</v>
      </c>
      <c r="P41" s="20">
        <f>ABS(K41)</f>
        <v>0</v>
      </c>
      <c r="Q41" s="20">
        <f t="shared" si="0"/>
        <v>0.38511814985059445</v>
      </c>
    </row>
    <row r="42" spans="4:17" x14ac:dyDescent="0.35">
      <c r="D42" s="20">
        <f t="shared" si="8"/>
        <v>41</v>
      </c>
      <c r="E42" s="23">
        <f t="shared" si="9"/>
        <v>0.42424242424242298</v>
      </c>
      <c r="F42" s="20">
        <f t="shared" si="2"/>
        <v>0.51165678829576677</v>
      </c>
      <c r="G42" s="20">
        <f t="shared" si="3"/>
        <v>0</v>
      </c>
      <c r="H42" s="20">
        <f t="shared" si="11"/>
        <v>1</v>
      </c>
      <c r="I42" s="20">
        <f t="shared" si="4"/>
        <v>0.51165678829576677</v>
      </c>
      <c r="J42" s="20">
        <f t="shared" si="11"/>
        <v>0</v>
      </c>
      <c r="K42" s="20">
        <f t="shared" si="5"/>
        <v>0</v>
      </c>
      <c r="L42" s="20">
        <f t="shared" si="11"/>
        <v>0</v>
      </c>
      <c r="M42" s="20">
        <f t="shared" si="6"/>
        <v>0</v>
      </c>
      <c r="N42" s="20">
        <f>ABS(G42)</f>
        <v>0</v>
      </c>
      <c r="O42" s="20">
        <f>ABS(I42)</f>
        <v>0.51165678829576677</v>
      </c>
      <c r="P42" s="20">
        <f>ABS(K42)</f>
        <v>0</v>
      </c>
      <c r="Q42" s="20">
        <f t="shared" si="0"/>
        <v>0</v>
      </c>
    </row>
    <row r="43" spans="4:17" x14ac:dyDescent="0.35">
      <c r="D43" s="20">
        <f t="shared" si="8"/>
        <v>42</v>
      </c>
      <c r="E43" s="23">
        <f t="shared" si="9"/>
        <v>0.48484848484848359</v>
      </c>
      <c r="F43" s="20">
        <f t="shared" si="2"/>
        <v>0.64169078133874402</v>
      </c>
      <c r="G43" s="20">
        <f t="shared" si="3"/>
        <v>0</v>
      </c>
      <c r="H43" s="20">
        <f t="shared" si="11"/>
        <v>0</v>
      </c>
      <c r="I43" s="20">
        <f t="shared" si="4"/>
        <v>0</v>
      </c>
      <c r="J43" s="20">
        <f t="shared" si="11"/>
        <v>1</v>
      </c>
      <c r="K43" s="20">
        <f t="shared" si="5"/>
        <v>0.64169078133874402</v>
      </c>
      <c r="L43" s="20">
        <f t="shared" si="11"/>
        <v>0</v>
      </c>
      <c r="M43" s="20">
        <f t="shared" si="6"/>
        <v>0</v>
      </c>
      <c r="N43" s="20">
        <f>ABS(G43)</f>
        <v>0</v>
      </c>
      <c r="O43" s="20">
        <f>ABS(I43)</f>
        <v>0</v>
      </c>
      <c r="P43" s="20">
        <f>ABS(K43)</f>
        <v>0.64169078133874402</v>
      </c>
      <c r="Q43" s="20">
        <f t="shared" si="0"/>
        <v>0</v>
      </c>
    </row>
    <row r="44" spans="4:17" x14ac:dyDescent="0.35">
      <c r="D44" s="20">
        <f t="shared" si="8"/>
        <v>43</v>
      </c>
      <c r="E44" s="23">
        <f t="shared" si="9"/>
        <v>0.54545454545454419</v>
      </c>
      <c r="F44" s="20">
        <f t="shared" si="2"/>
        <v>0.76019109147509445</v>
      </c>
      <c r="G44" s="20">
        <f t="shared" si="3"/>
        <v>0</v>
      </c>
      <c r="H44" s="20">
        <f t="shared" si="11"/>
        <v>0</v>
      </c>
      <c r="I44" s="20">
        <f t="shared" si="4"/>
        <v>0</v>
      </c>
      <c r="J44" s="20">
        <f t="shared" si="11"/>
        <v>0</v>
      </c>
      <c r="K44" s="20">
        <f t="shared" si="5"/>
        <v>0</v>
      </c>
      <c r="L44" s="20">
        <f t="shared" si="11"/>
        <v>1</v>
      </c>
      <c r="M44" s="20">
        <f t="shared" si="6"/>
        <v>0.76019109147509445</v>
      </c>
      <c r="N44" s="20">
        <f>ABS(G44)</f>
        <v>0</v>
      </c>
      <c r="O44" s="20">
        <f>ABS(I44)</f>
        <v>0</v>
      </c>
      <c r="P44" s="20">
        <f>ABS(K44)</f>
        <v>0</v>
      </c>
      <c r="Q44" s="20">
        <f t="shared" si="0"/>
        <v>0.76019109147509445</v>
      </c>
    </row>
    <row r="45" spans="4:17" x14ac:dyDescent="0.35">
      <c r="D45" s="20">
        <f t="shared" si="8"/>
        <v>44</v>
      </c>
      <c r="E45" s="23">
        <f t="shared" si="9"/>
        <v>0.60606060606060486</v>
      </c>
      <c r="F45" s="20">
        <f t="shared" si="2"/>
        <v>0.84454291441152107</v>
      </c>
      <c r="G45" s="20">
        <f t="shared" si="3"/>
        <v>0</v>
      </c>
      <c r="H45" s="20">
        <f t="shared" si="11"/>
        <v>1</v>
      </c>
      <c r="I45" s="20">
        <f t="shared" si="4"/>
        <v>0.84454291441152107</v>
      </c>
      <c r="J45" s="20">
        <f t="shared" si="11"/>
        <v>0</v>
      </c>
      <c r="K45" s="20">
        <f t="shared" si="5"/>
        <v>0</v>
      </c>
      <c r="L45" s="20">
        <f t="shared" si="11"/>
        <v>0</v>
      </c>
      <c r="M45" s="20">
        <f t="shared" si="6"/>
        <v>0</v>
      </c>
      <c r="N45" s="20">
        <f>ABS(G45)</f>
        <v>0</v>
      </c>
      <c r="O45" s="20">
        <f>ABS(I45)</f>
        <v>0.84454291441152107</v>
      </c>
      <c r="P45" s="20">
        <f>ABS(K45)</f>
        <v>0</v>
      </c>
      <c r="Q45" s="20">
        <f t="shared" si="0"/>
        <v>0</v>
      </c>
    </row>
    <row r="46" spans="4:17" x14ac:dyDescent="0.35">
      <c r="D46" s="20">
        <f t="shared" si="8"/>
        <v>45</v>
      </c>
      <c r="E46" s="23">
        <f t="shared" si="9"/>
        <v>0.66666666666666541</v>
      </c>
      <c r="F46" s="20">
        <f t="shared" si="2"/>
        <v>0.86411698236089685</v>
      </c>
      <c r="G46" s="20">
        <f t="shared" si="3"/>
        <v>0</v>
      </c>
      <c r="H46" s="20">
        <f t="shared" si="11"/>
        <v>0</v>
      </c>
      <c r="I46" s="20">
        <f t="shared" si="4"/>
        <v>0</v>
      </c>
      <c r="J46" s="20">
        <f t="shared" si="11"/>
        <v>1</v>
      </c>
      <c r="K46" s="20">
        <f t="shared" si="5"/>
        <v>0.86411698236089685</v>
      </c>
      <c r="L46" s="20">
        <f t="shared" si="11"/>
        <v>0</v>
      </c>
      <c r="M46" s="20">
        <f t="shared" si="6"/>
        <v>0</v>
      </c>
      <c r="N46" s="20">
        <f>ABS(G46)</f>
        <v>0</v>
      </c>
      <c r="O46" s="20">
        <f>ABS(I46)</f>
        <v>0</v>
      </c>
      <c r="P46" s="20">
        <f>ABS(K46)</f>
        <v>0.86411698236089685</v>
      </c>
      <c r="Q46" s="20">
        <f t="shared" si="0"/>
        <v>0</v>
      </c>
    </row>
    <row r="47" spans="4:17" x14ac:dyDescent="0.35">
      <c r="D47" s="20">
        <f t="shared" si="8"/>
        <v>46</v>
      </c>
      <c r="E47" s="23">
        <f t="shared" si="9"/>
        <v>0.72727272727272596</v>
      </c>
      <c r="F47" s="20">
        <f t="shared" si="2"/>
        <v>0.78305053661086499</v>
      </c>
      <c r="G47" s="20">
        <f t="shared" si="3"/>
        <v>0</v>
      </c>
      <c r="H47" s="20">
        <f t="shared" si="11"/>
        <v>0</v>
      </c>
      <c r="I47" s="20">
        <f t="shared" si="4"/>
        <v>0</v>
      </c>
      <c r="J47" s="20">
        <f t="shared" si="11"/>
        <v>0</v>
      </c>
      <c r="K47" s="20">
        <f t="shared" si="5"/>
        <v>0</v>
      </c>
      <c r="L47" s="20">
        <f t="shared" si="11"/>
        <v>1</v>
      </c>
      <c r="M47" s="20">
        <f t="shared" si="6"/>
        <v>0.78305053661086499</v>
      </c>
      <c r="N47" s="20">
        <f>ABS(G47)</f>
        <v>0</v>
      </c>
      <c r="O47" s="20">
        <f>ABS(I47)</f>
        <v>0</v>
      </c>
      <c r="P47" s="20">
        <f>ABS(K47)</f>
        <v>0</v>
      </c>
      <c r="Q47" s="20">
        <f t="shared" si="0"/>
        <v>0.78305053661086499</v>
      </c>
    </row>
    <row r="48" spans="4:17" x14ac:dyDescent="0.35">
      <c r="D48" s="20">
        <f t="shared" si="8"/>
        <v>47</v>
      </c>
      <c r="E48" s="23">
        <f t="shared" si="9"/>
        <v>0.78787878787878651</v>
      </c>
      <c r="F48" s="20">
        <f t="shared" si="2"/>
        <v>0.5692304421944181</v>
      </c>
      <c r="G48" s="20">
        <f t="shared" si="3"/>
        <v>0</v>
      </c>
      <c r="H48" s="20">
        <f t="shared" si="11"/>
        <v>1</v>
      </c>
      <c r="I48" s="20">
        <f t="shared" si="4"/>
        <v>0.5692304421944181</v>
      </c>
      <c r="J48" s="20">
        <f t="shared" si="11"/>
        <v>0</v>
      </c>
      <c r="K48" s="20">
        <f t="shared" si="5"/>
        <v>0</v>
      </c>
      <c r="L48" s="20">
        <f t="shared" si="11"/>
        <v>0</v>
      </c>
      <c r="M48" s="20">
        <f t="shared" si="6"/>
        <v>0</v>
      </c>
      <c r="N48" s="20">
        <f>ABS(G48)</f>
        <v>0</v>
      </c>
      <c r="O48" s="20">
        <f>ABS(I48)</f>
        <v>0.5692304421944181</v>
      </c>
      <c r="P48" s="20">
        <f>ABS(K48)</f>
        <v>0</v>
      </c>
      <c r="Q48" s="20">
        <f t="shared" si="0"/>
        <v>0</v>
      </c>
    </row>
    <row r="49" spans="4:17" x14ac:dyDescent="0.35">
      <c r="D49" s="20">
        <f t="shared" si="8"/>
        <v>48</v>
      </c>
      <c r="E49" s="23">
        <f t="shared" si="9"/>
        <v>0.84848484848484707</v>
      </c>
      <c r="F49" s="20">
        <f t="shared" si="2"/>
        <v>0.21282450775860373</v>
      </c>
      <c r="G49" s="20">
        <f t="shared" si="3"/>
        <v>0</v>
      </c>
      <c r="H49" s="20">
        <f t="shared" si="11"/>
        <v>0</v>
      </c>
      <c r="I49" s="20">
        <f t="shared" si="4"/>
        <v>0</v>
      </c>
      <c r="J49" s="20">
        <f t="shared" si="11"/>
        <v>1</v>
      </c>
      <c r="K49" s="20">
        <f t="shared" si="5"/>
        <v>0.21282450775860373</v>
      </c>
      <c r="L49" s="20">
        <f t="shared" si="11"/>
        <v>0</v>
      </c>
      <c r="M49" s="20">
        <f t="shared" si="6"/>
        <v>0</v>
      </c>
      <c r="N49" s="20">
        <f>ABS(G49)</f>
        <v>0</v>
      </c>
      <c r="O49" s="20">
        <f>ABS(I49)</f>
        <v>0</v>
      </c>
      <c r="P49" s="20">
        <f>ABS(K49)</f>
        <v>0.21282450775860373</v>
      </c>
      <c r="Q49" s="20">
        <f t="shared" si="0"/>
        <v>0</v>
      </c>
    </row>
    <row r="50" spans="4:17" x14ac:dyDescent="0.35">
      <c r="D50" s="20">
        <f t="shared" si="8"/>
        <v>49</v>
      </c>
      <c r="E50" s="23">
        <f t="shared" si="9"/>
        <v>0.90909090909090762</v>
      </c>
      <c r="F50" s="20">
        <f t="shared" si="2"/>
        <v>-0.24442563931892045</v>
      </c>
      <c r="G50" s="20">
        <f t="shared" si="3"/>
        <v>0</v>
      </c>
      <c r="H50" s="20">
        <f t="shared" si="11"/>
        <v>0</v>
      </c>
      <c r="I50" s="20">
        <f t="shared" si="4"/>
        <v>0</v>
      </c>
      <c r="J50" s="20">
        <f t="shared" si="11"/>
        <v>0</v>
      </c>
      <c r="K50" s="20">
        <f t="shared" si="5"/>
        <v>0</v>
      </c>
      <c r="L50" s="20">
        <f t="shared" si="11"/>
        <v>1</v>
      </c>
      <c r="M50" s="20">
        <f t="shared" si="6"/>
        <v>-0.24442563931892045</v>
      </c>
      <c r="N50" s="20">
        <f>ABS(G50)</f>
        <v>0</v>
      </c>
      <c r="O50" s="20">
        <f>ABS(I50)</f>
        <v>0</v>
      </c>
      <c r="P50" s="20">
        <f>ABS(K50)</f>
        <v>0</v>
      </c>
      <c r="Q50" s="20">
        <f t="shared" si="0"/>
        <v>0.24442563931892045</v>
      </c>
    </row>
    <row r="51" spans="4:17" x14ac:dyDescent="0.35">
      <c r="D51" s="20">
        <f t="shared" si="8"/>
        <v>50</v>
      </c>
      <c r="E51" s="23">
        <f t="shared" si="9"/>
        <v>0.96969696969696817</v>
      </c>
      <c r="F51" s="20">
        <f t="shared" si="2"/>
        <v>-0.6754680894944699</v>
      </c>
      <c r="G51" s="20">
        <f t="shared" si="3"/>
        <v>0</v>
      </c>
      <c r="H51" s="20">
        <f t="shared" si="11"/>
        <v>1</v>
      </c>
      <c r="I51" s="20">
        <f t="shared" si="4"/>
        <v>-0.6754680894944699</v>
      </c>
      <c r="J51" s="20">
        <f t="shared" si="11"/>
        <v>0</v>
      </c>
      <c r="K51" s="20">
        <f t="shared" si="5"/>
        <v>0</v>
      </c>
      <c r="L51" s="20">
        <f t="shared" si="11"/>
        <v>0</v>
      </c>
      <c r="M51" s="20">
        <f t="shared" si="6"/>
        <v>0</v>
      </c>
      <c r="N51" s="20">
        <f>ABS(G51)</f>
        <v>0</v>
      </c>
      <c r="O51" s="20">
        <f>ABS(I51)</f>
        <v>0.6754680894944699</v>
      </c>
      <c r="P51" s="20">
        <f>ABS(K51)</f>
        <v>0</v>
      </c>
      <c r="Q51" s="20">
        <f t="shared" si="0"/>
        <v>0</v>
      </c>
    </row>
    <row r="52" spans="4:17" x14ac:dyDescent="0.35">
      <c r="D52" s="20">
        <f t="shared" si="8"/>
        <v>51</v>
      </c>
      <c r="E52" s="23">
        <f t="shared" si="9"/>
        <v>1.0303030303030287</v>
      </c>
      <c r="F52" s="20">
        <f t="shared" si="2"/>
        <v>-0.85140984590180524</v>
      </c>
      <c r="G52" s="20">
        <f t="shared" si="3"/>
        <v>0</v>
      </c>
      <c r="H52" s="20">
        <f t="shared" si="11"/>
        <v>0</v>
      </c>
      <c r="I52" s="20">
        <f t="shared" si="4"/>
        <v>0</v>
      </c>
      <c r="J52" s="20">
        <f t="shared" si="11"/>
        <v>1</v>
      </c>
      <c r="K52" s="20">
        <f t="shared" si="5"/>
        <v>-0.85140984590180524</v>
      </c>
      <c r="L52" s="20">
        <f t="shared" si="11"/>
        <v>0</v>
      </c>
      <c r="M52" s="20">
        <f t="shared" si="6"/>
        <v>0</v>
      </c>
      <c r="N52" s="20">
        <f>ABS(G52)</f>
        <v>0</v>
      </c>
      <c r="O52" s="20">
        <f>ABS(I52)</f>
        <v>0</v>
      </c>
      <c r="P52" s="20">
        <f>ABS(K52)</f>
        <v>0.85140984590180524</v>
      </c>
      <c r="Q52" s="20">
        <f t="shared" si="0"/>
        <v>0</v>
      </c>
    </row>
    <row r="53" spans="4:17" x14ac:dyDescent="0.35">
      <c r="D53" s="20">
        <f t="shared" si="8"/>
        <v>52</v>
      </c>
      <c r="E53" s="23">
        <f t="shared" si="9"/>
        <v>1.0909090909090893</v>
      </c>
      <c r="F53" s="20">
        <f t="shared" si="2"/>
        <v>-0.48354796274362777</v>
      </c>
      <c r="G53" s="20">
        <f t="shared" si="3"/>
        <v>0</v>
      </c>
      <c r="H53" s="20">
        <f t="shared" si="11"/>
        <v>0</v>
      </c>
      <c r="I53" s="20">
        <f t="shared" si="4"/>
        <v>0</v>
      </c>
      <c r="J53" s="20">
        <f t="shared" si="11"/>
        <v>0</v>
      </c>
      <c r="K53" s="20">
        <f t="shared" si="5"/>
        <v>0</v>
      </c>
      <c r="L53" s="20">
        <f t="shared" si="11"/>
        <v>1</v>
      </c>
      <c r="M53" s="20">
        <f t="shared" si="6"/>
        <v>-0.48354796274362777</v>
      </c>
      <c r="N53" s="20">
        <f>ABS(G53)</f>
        <v>0</v>
      </c>
      <c r="O53" s="20">
        <f>ABS(I53)</f>
        <v>0</v>
      </c>
      <c r="P53" s="20">
        <f>ABS(K53)</f>
        <v>0</v>
      </c>
      <c r="Q53" s="20">
        <f t="shared" si="0"/>
        <v>0.48354796274362777</v>
      </c>
    </row>
    <row r="54" spans="4:17" x14ac:dyDescent="0.35">
      <c r="D54" s="20">
        <f t="shared" si="8"/>
        <v>53</v>
      </c>
      <c r="E54" s="23">
        <f t="shared" si="9"/>
        <v>1.1515151515151498</v>
      </c>
      <c r="F54" s="20">
        <f t="shared" si="2"/>
        <v>0.62940905810504189</v>
      </c>
      <c r="G54" s="20">
        <f t="shared" si="3"/>
        <v>0</v>
      </c>
      <c r="H54" s="20">
        <f t="shared" si="11"/>
        <v>1</v>
      </c>
      <c r="I54" s="20">
        <f t="shared" si="4"/>
        <v>0.62940905810504189</v>
      </c>
      <c r="J54" s="20">
        <f t="shared" si="11"/>
        <v>0</v>
      </c>
      <c r="K54" s="20">
        <f t="shared" si="5"/>
        <v>0</v>
      </c>
      <c r="L54" s="20">
        <f t="shared" si="11"/>
        <v>0</v>
      </c>
      <c r="M54" s="20">
        <f t="shared" si="6"/>
        <v>0</v>
      </c>
      <c r="N54" s="20">
        <f>ABS(G54)</f>
        <v>0</v>
      </c>
      <c r="O54" s="20">
        <f>ABS(I54)</f>
        <v>0.62940905810504189</v>
      </c>
      <c r="P54" s="20">
        <f>ABS(K54)</f>
        <v>0</v>
      </c>
      <c r="Q54" s="20">
        <f t="shared" si="0"/>
        <v>0</v>
      </c>
    </row>
    <row r="55" spans="4:17" x14ac:dyDescent="0.35">
      <c r="D55" s="20">
        <f t="shared" si="8"/>
        <v>54</v>
      </c>
      <c r="E55" s="23">
        <f t="shared" si="9"/>
        <v>1.2121212121212104</v>
      </c>
      <c r="F55" s="20">
        <f t="shared" si="2"/>
        <v>2.3515982228774166</v>
      </c>
      <c r="G55" s="20">
        <f t="shared" si="3"/>
        <v>0</v>
      </c>
      <c r="H55" s="20">
        <f t="shared" ref="H55:L70" si="12">IF(H54+H53=0,1,0)</f>
        <v>0</v>
      </c>
      <c r="I55" s="20">
        <f t="shared" si="4"/>
        <v>0</v>
      </c>
      <c r="J55" s="20">
        <f t="shared" si="12"/>
        <v>1</v>
      </c>
      <c r="K55" s="20">
        <f t="shared" si="5"/>
        <v>2.3515982228774166</v>
      </c>
      <c r="L55" s="20">
        <f t="shared" si="12"/>
        <v>0</v>
      </c>
      <c r="M55" s="20">
        <f t="shared" si="6"/>
        <v>0</v>
      </c>
      <c r="N55" s="20">
        <f>ABS(G55)</f>
        <v>0</v>
      </c>
      <c r="O55" s="20">
        <f>ABS(I55)</f>
        <v>0</v>
      </c>
      <c r="P55" s="20">
        <f>ABS(K55)</f>
        <v>2.3515982228774166</v>
      </c>
      <c r="Q55" s="20">
        <f t="shared" si="0"/>
        <v>0</v>
      </c>
    </row>
    <row r="56" spans="4:17" x14ac:dyDescent="0.35">
      <c r="D56" s="20">
        <f t="shared" si="8"/>
        <v>55</v>
      </c>
      <c r="E56" s="23">
        <f t="shared" si="9"/>
        <v>1.2727272727272709</v>
      </c>
      <c r="F56" s="20">
        <f t="shared" si="2"/>
        <v>4.0023642600147937</v>
      </c>
      <c r="G56" s="20">
        <f t="shared" si="3"/>
        <v>0</v>
      </c>
      <c r="H56" s="20">
        <f t="shared" si="12"/>
        <v>0</v>
      </c>
      <c r="I56" s="20">
        <f t="shared" si="4"/>
        <v>0</v>
      </c>
      <c r="J56" s="20">
        <f t="shared" si="12"/>
        <v>0</v>
      </c>
      <c r="K56" s="20">
        <f t="shared" si="5"/>
        <v>0</v>
      </c>
      <c r="L56" s="20">
        <f t="shared" si="12"/>
        <v>1</v>
      </c>
      <c r="M56" s="20">
        <f t="shared" si="6"/>
        <v>4.0023642600147937</v>
      </c>
      <c r="N56" s="20">
        <f>ABS(G56)</f>
        <v>0</v>
      </c>
      <c r="O56" s="20">
        <f>ABS(I56)</f>
        <v>0</v>
      </c>
      <c r="P56" s="20">
        <f>ABS(K56)</f>
        <v>0</v>
      </c>
      <c r="Q56" s="20">
        <f t="shared" si="0"/>
        <v>4.0023642600147937</v>
      </c>
    </row>
    <row r="57" spans="4:17" x14ac:dyDescent="0.35">
      <c r="D57" s="20">
        <f t="shared" si="8"/>
        <v>56</v>
      </c>
      <c r="E57" s="23">
        <f t="shared" si="9"/>
        <v>1.3333333333333315</v>
      </c>
      <c r="F57" s="20">
        <f t="shared" si="2"/>
        <v>4.5186950756424524</v>
      </c>
      <c r="G57" s="20">
        <f t="shared" si="3"/>
        <v>0</v>
      </c>
      <c r="H57" s="20">
        <f t="shared" si="12"/>
        <v>1</v>
      </c>
      <c r="I57" s="20">
        <f t="shared" si="4"/>
        <v>4.5186950756424524</v>
      </c>
      <c r="J57" s="20">
        <f t="shared" si="12"/>
        <v>0</v>
      </c>
      <c r="K57" s="20">
        <f t="shared" si="5"/>
        <v>0</v>
      </c>
      <c r="L57" s="20">
        <f t="shared" si="12"/>
        <v>0</v>
      </c>
      <c r="M57" s="20">
        <f t="shared" si="6"/>
        <v>0</v>
      </c>
      <c r="N57" s="20">
        <f>ABS(G57)</f>
        <v>0</v>
      </c>
      <c r="O57" s="20">
        <f>ABS(I57)</f>
        <v>4.5186950756424524</v>
      </c>
      <c r="P57" s="20">
        <f>ABS(K57)</f>
        <v>0</v>
      </c>
      <c r="Q57" s="20">
        <f t="shared" si="0"/>
        <v>0</v>
      </c>
    </row>
    <row r="58" spans="4:17" x14ac:dyDescent="0.35">
      <c r="D58" s="20">
        <f t="shared" si="8"/>
        <v>57</v>
      </c>
      <c r="E58" s="23">
        <f t="shared" si="9"/>
        <v>1.393939393939392</v>
      </c>
      <c r="F58" s="20">
        <f t="shared" si="2"/>
        <v>3.2784132541696915</v>
      </c>
      <c r="G58" s="20">
        <f t="shared" si="3"/>
        <v>0</v>
      </c>
      <c r="H58" s="20">
        <f t="shared" si="12"/>
        <v>0</v>
      </c>
      <c r="I58" s="20">
        <f t="shared" si="4"/>
        <v>0</v>
      </c>
      <c r="J58" s="20">
        <f t="shared" si="12"/>
        <v>1</v>
      </c>
      <c r="K58" s="20">
        <f t="shared" si="5"/>
        <v>3.2784132541696915</v>
      </c>
      <c r="L58" s="20">
        <f t="shared" si="12"/>
        <v>0</v>
      </c>
      <c r="M58" s="20">
        <f t="shared" si="6"/>
        <v>0</v>
      </c>
      <c r="N58" s="20">
        <f>ABS(G58)</f>
        <v>0</v>
      </c>
      <c r="O58" s="20">
        <f>ABS(I58)</f>
        <v>0</v>
      </c>
      <c r="P58" s="20">
        <f>ABS(K58)</f>
        <v>3.2784132541696915</v>
      </c>
      <c r="Q58" s="20">
        <f t="shared" si="0"/>
        <v>0</v>
      </c>
    </row>
    <row r="59" spans="4:17" x14ac:dyDescent="0.35">
      <c r="D59" s="20">
        <f t="shared" si="8"/>
        <v>58</v>
      </c>
      <c r="E59" s="23">
        <f t="shared" si="9"/>
        <v>1.4545454545454526</v>
      </c>
      <c r="F59" s="20">
        <f t="shared" si="2"/>
        <v>1.2252219417393335</v>
      </c>
      <c r="G59" s="20">
        <f t="shared" si="3"/>
        <v>0</v>
      </c>
      <c r="H59" s="20">
        <f t="shared" si="12"/>
        <v>0</v>
      </c>
      <c r="I59" s="20">
        <f t="shared" si="4"/>
        <v>0</v>
      </c>
      <c r="J59" s="20">
        <f t="shared" si="12"/>
        <v>0</v>
      </c>
      <c r="K59" s="20">
        <f t="shared" si="5"/>
        <v>0</v>
      </c>
      <c r="L59" s="20">
        <f t="shared" si="12"/>
        <v>1</v>
      </c>
      <c r="M59" s="20">
        <f t="shared" si="6"/>
        <v>1.2252219417393335</v>
      </c>
      <c r="N59" s="20">
        <f>ABS(G59)</f>
        <v>0</v>
      </c>
      <c r="O59" s="20">
        <f>ABS(I59)</f>
        <v>0</v>
      </c>
      <c r="P59" s="20">
        <f>ABS(K59)</f>
        <v>0</v>
      </c>
      <c r="Q59" s="20">
        <f t="shared" si="0"/>
        <v>1.2252219417393335</v>
      </c>
    </row>
    <row r="60" spans="4:17" x14ac:dyDescent="0.35">
      <c r="D60" s="20">
        <f t="shared" si="8"/>
        <v>59</v>
      </c>
      <c r="E60" s="23">
        <f t="shared" si="9"/>
        <v>1.5151515151515131</v>
      </c>
      <c r="F60" s="20">
        <f t="shared" si="2"/>
        <v>0.82852800002131255</v>
      </c>
      <c r="G60" s="20">
        <f t="shared" si="3"/>
        <v>0</v>
      </c>
      <c r="H60" s="20">
        <f t="shared" si="12"/>
        <v>1</v>
      </c>
      <c r="I60" s="20">
        <f t="shared" si="4"/>
        <v>0.82852800002131255</v>
      </c>
      <c r="J60" s="20">
        <f t="shared" si="12"/>
        <v>0</v>
      </c>
      <c r="K60" s="20">
        <f t="shared" si="5"/>
        <v>0</v>
      </c>
      <c r="L60" s="20">
        <f t="shared" si="12"/>
        <v>0</v>
      </c>
      <c r="M60" s="20">
        <f t="shared" si="6"/>
        <v>0</v>
      </c>
      <c r="N60" s="20">
        <f>ABS(G60)</f>
        <v>0</v>
      </c>
      <c r="O60" s="20">
        <f>ABS(I60)</f>
        <v>0.82852800002131255</v>
      </c>
      <c r="P60" s="20">
        <f>ABS(K60)</f>
        <v>0</v>
      </c>
      <c r="Q60" s="20">
        <f t="shared" si="0"/>
        <v>0</v>
      </c>
    </row>
    <row r="61" spans="4:17" x14ac:dyDescent="0.35">
      <c r="D61" s="20">
        <f t="shared" si="8"/>
        <v>60</v>
      </c>
      <c r="E61" s="23">
        <f t="shared" si="9"/>
        <v>1.5757575757575737</v>
      </c>
      <c r="F61" s="20">
        <f t="shared" si="2"/>
        <v>3.510184580200423</v>
      </c>
      <c r="G61" s="20">
        <f t="shared" si="3"/>
        <v>0</v>
      </c>
      <c r="H61" s="20">
        <f t="shared" si="12"/>
        <v>0</v>
      </c>
      <c r="I61" s="20">
        <f t="shared" si="4"/>
        <v>0</v>
      </c>
      <c r="J61" s="20">
        <f t="shared" si="12"/>
        <v>1</v>
      </c>
      <c r="K61" s="20">
        <f t="shared" si="5"/>
        <v>3.510184580200423</v>
      </c>
      <c r="L61" s="20">
        <f t="shared" si="12"/>
        <v>0</v>
      </c>
      <c r="M61" s="20">
        <f t="shared" si="6"/>
        <v>0</v>
      </c>
      <c r="N61" s="20">
        <f>ABS(G61)</f>
        <v>0</v>
      </c>
      <c r="O61" s="20">
        <f>ABS(I61)</f>
        <v>0</v>
      </c>
      <c r="P61" s="20">
        <f>ABS(K61)</f>
        <v>3.510184580200423</v>
      </c>
      <c r="Q61" s="20">
        <f t="shared" si="0"/>
        <v>0</v>
      </c>
    </row>
    <row r="62" spans="4:17" x14ac:dyDescent="0.35">
      <c r="D62" s="20">
        <f t="shared" si="8"/>
        <v>61</v>
      </c>
      <c r="E62" s="23">
        <f t="shared" si="9"/>
        <v>1.6363636363636342</v>
      </c>
      <c r="F62" s="20">
        <f t="shared" si="2"/>
        <v>6.5762551374232334</v>
      </c>
      <c r="G62" s="20">
        <f t="shared" si="3"/>
        <v>0</v>
      </c>
      <c r="H62" s="20">
        <f t="shared" si="12"/>
        <v>0</v>
      </c>
      <c r="I62" s="20">
        <f t="shared" si="4"/>
        <v>0</v>
      </c>
      <c r="J62" s="20">
        <f t="shared" si="12"/>
        <v>0</v>
      </c>
      <c r="K62" s="20">
        <f t="shared" si="5"/>
        <v>0</v>
      </c>
      <c r="L62" s="20">
        <f t="shared" si="12"/>
        <v>1</v>
      </c>
      <c r="M62" s="20">
        <f t="shared" si="6"/>
        <v>6.5762551374232334</v>
      </c>
      <c r="N62" s="20">
        <f>ABS(G62)</f>
        <v>0</v>
      </c>
      <c r="O62" s="20">
        <f>ABS(I62)</f>
        <v>0</v>
      </c>
      <c r="P62" s="20">
        <f>ABS(K62)</f>
        <v>0</v>
      </c>
      <c r="Q62" s="20">
        <f t="shared" si="0"/>
        <v>6.5762551374232334</v>
      </c>
    </row>
    <row r="63" spans="4:17" x14ac:dyDescent="0.35">
      <c r="D63" s="20">
        <f t="shared" si="8"/>
        <v>62</v>
      </c>
      <c r="E63" s="23">
        <f t="shared" si="9"/>
        <v>1.6969696969696948</v>
      </c>
      <c r="F63" s="20">
        <f t="shared" si="2"/>
        <v>5.5601228159432576</v>
      </c>
      <c r="G63" s="20">
        <f t="shared" si="3"/>
        <v>0</v>
      </c>
      <c r="H63" s="20">
        <f t="shared" si="12"/>
        <v>1</v>
      </c>
      <c r="I63" s="20">
        <f t="shared" si="4"/>
        <v>5.5601228159432576</v>
      </c>
      <c r="J63" s="20">
        <f t="shared" si="12"/>
        <v>0</v>
      </c>
      <c r="K63" s="20">
        <f t="shared" si="5"/>
        <v>0</v>
      </c>
      <c r="L63" s="20">
        <f t="shared" si="12"/>
        <v>0</v>
      </c>
      <c r="M63" s="20">
        <f t="shared" si="6"/>
        <v>0</v>
      </c>
      <c r="N63" s="20">
        <f>ABS(G63)</f>
        <v>0</v>
      </c>
      <c r="O63" s="20">
        <f>ABS(I63)</f>
        <v>5.5601228159432576</v>
      </c>
      <c r="P63" s="20">
        <f>ABS(K63)</f>
        <v>0</v>
      </c>
      <c r="Q63" s="20">
        <f t="shared" si="0"/>
        <v>0</v>
      </c>
    </row>
    <row r="64" spans="4:17" x14ac:dyDescent="0.35">
      <c r="D64" s="20">
        <f t="shared" si="8"/>
        <v>63</v>
      </c>
      <c r="E64" s="23">
        <f t="shared" si="9"/>
        <v>1.7575757575757553</v>
      </c>
      <c r="F64" s="20">
        <f t="shared" si="2"/>
        <v>2.1895654910307076</v>
      </c>
      <c r="G64" s="20">
        <f t="shared" si="3"/>
        <v>0</v>
      </c>
      <c r="H64" s="20">
        <f t="shared" si="12"/>
        <v>0</v>
      </c>
      <c r="I64" s="20">
        <f t="shared" si="4"/>
        <v>0</v>
      </c>
      <c r="J64" s="20">
        <f t="shared" si="12"/>
        <v>1</v>
      </c>
      <c r="K64" s="20">
        <f t="shared" si="5"/>
        <v>2.1895654910307076</v>
      </c>
      <c r="L64" s="20">
        <f t="shared" si="12"/>
        <v>0</v>
      </c>
      <c r="M64" s="20">
        <f t="shared" si="6"/>
        <v>0</v>
      </c>
      <c r="N64" s="20">
        <f>ABS(G64)</f>
        <v>0</v>
      </c>
      <c r="O64" s="20">
        <f>ABS(I64)</f>
        <v>0</v>
      </c>
      <c r="P64" s="20">
        <f>ABS(K64)</f>
        <v>2.1895654910307076</v>
      </c>
      <c r="Q64" s="20">
        <f t="shared" si="0"/>
        <v>0</v>
      </c>
    </row>
    <row r="65" spans="4:17" x14ac:dyDescent="0.35">
      <c r="D65" s="20">
        <f t="shared" si="8"/>
        <v>64</v>
      </c>
      <c r="E65" s="23">
        <f t="shared" si="9"/>
        <v>1.8181818181818159</v>
      </c>
      <c r="F65" s="20">
        <f t="shared" si="2"/>
        <v>3.8085722735510776</v>
      </c>
      <c r="G65" s="20">
        <f t="shared" si="3"/>
        <v>0</v>
      </c>
      <c r="H65" s="20">
        <f t="shared" si="12"/>
        <v>0</v>
      </c>
      <c r="I65" s="20">
        <f t="shared" si="4"/>
        <v>0</v>
      </c>
      <c r="J65" s="20">
        <f t="shared" si="12"/>
        <v>0</v>
      </c>
      <c r="K65" s="20">
        <f t="shared" si="5"/>
        <v>0</v>
      </c>
      <c r="L65" s="20">
        <f t="shared" si="12"/>
        <v>1</v>
      </c>
      <c r="M65" s="20">
        <f t="shared" si="6"/>
        <v>3.8085722735510776</v>
      </c>
      <c r="N65" s="20">
        <f>ABS(G65)</f>
        <v>0</v>
      </c>
      <c r="O65" s="20">
        <f>ABS(I65)</f>
        <v>0</v>
      </c>
      <c r="P65" s="20">
        <f>ABS(K65)</f>
        <v>0</v>
      </c>
      <c r="Q65" s="20">
        <f t="shared" si="0"/>
        <v>3.8085722735510776</v>
      </c>
    </row>
    <row r="66" spans="4:17" x14ac:dyDescent="0.35">
      <c r="D66" s="20">
        <f t="shared" si="8"/>
        <v>65</v>
      </c>
      <c r="E66" s="23">
        <f t="shared" si="9"/>
        <v>1.8787878787878765</v>
      </c>
      <c r="F66" s="20">
        <f t="shared" si="2"/>
        <v>8.3795931829101971</v>
      </c>
      <c r="G66" s="20">
        <f t="shared" si="3"/>
        <v>0</v>
      </c>
      <c r="H66" s="20">
        <f t="shared" si="12"/>
        <v>1</v>
      </c>
      <c r="I66" s="20">
        <f t="shared" si="4"/>
        <v>8.3795931829101971</v>
      </c>
      <c r="J66" s="20">
        <f t="shared" si="12"/>
        <v>0</v>
      </c>
      <c r="K66" s="20">
        <f t="shared" si="5"/>
        <v>0</v>
      </c>
      <c r="L66" s="20">
        <f t="shared" si="12"/>
        <v>0</v>
      </c>
      <c r="M66" s="20">
        <f t="shared" si="6"/>
        <v>0</v>
      </c>
      <c r="N66" s="20">
        <f>ABS(G66)</f>
        <v>0</v>
      </c>
      <c r="O66" s="20">
        <f>ABS(I66)</f>
        <v>8.3795931829101971</v>
      </c>
      <c r="P66" s="20">
        <f>ABS(K66)</f>
        <v>0</v>
      </c>
      <c r="Q66" s="20">
        <f t="shared" ref="Q66:Q129" si="13">ABS(M66)</f>
        <v>0</v>
      </c>
    </row>
    <row r="67" spans="4:17" x14ac:dyDescent="0.35">
      <c r="D67" s="20">
        <f t="shared" si="8"/>
        <v>66</v>
      </c>
      <c r="E67" s="23">
        <f t="shared" si="9"/>
        <v>1.939393939393937</v>
      </c>
      <c r="F67" s="20">
        <f t="shared" si="2"/>
        <v>5.8728298535390975</v>
      </c>
      <c r="G67" s="20">
        <f t="shared" si="3"/>
        <v>0</v>
      </c>
      <c r="H67" s="20">
        <f t="shared" si="12"/>
        <v>0</v>
      </c>
      <c r="I67" s="20">
        <f t="shared" si="4"/>
        <v>0</v>
      </c>
      <c r="J67" s="20">
        <f t="shared" si="12"/>
        <v>1</v>
      </c>
      <c r="K67" s="20">
        <f t="shared" si="5"/>
        <v>5.8728298535390975</v>
      </c>
      <c r="L67" s="20">
        <f t="shared" si="12"/>
        <v>0</v>
      </c>
      <c r="M67" s="20">
        <f t="shared" si="6"/>
        <v>0</v>
      </c>
      <c r="N67" s="20">
        <f>ABS(G67)</f>
        <v>0</v>
      </c>
      <c r="O67" s="20">
        <f>ABS(I67)</f>
        <v>0</v>
      </c>
      <c r="P67" s="20">
        <f>ABS(K67)</f>
        <v>5.8728298535390975</v>
      </c>
      <c r="Q67" s="20">
        <f t="shared" si="13"/>
        <v>0</v>
      </c>
    </row>
    <row r="68" spans="4:17" x14ac:dyDescent="0.35">
      <c r="D68" s="20">
        <f t="shared" si="8"/>
        <v>67</v>
      </c>
      <c r="E68" s="23">
        <f t="shared" si="9"/>
        <v>1.9999999999999976</v>
      </c>
      <c r="F68" s="20">
        <f t="shared" ref="F68:F131" si="14">IF(D67&lt;=$B$5,((3*E68^2)-(4*E68)*(SIN(1.4*E68^3)^2))/((0.4*E68^2+1)^(1/4)),"")</f>
        <v>3.4096770363083677</v>
      </c>
      <c r="G68" s="20">
        <f t="shared" ref="G68:G131" si="15">IF(D68=$B$5+1,F68,0)</f>
        <v>0</v>
      </c>
      <c r="H68" s="20">
        <f t="shared" si="12"/>
        <v>0</v>
      </c>
      <c r="I68" s="20">
        <f t="shared" ref="I68:I131" si="16">IF(D67&lt;$B$5,F68*H68,0)</f>
        <v>0</v>
      </c>
      <c r="J68" s="20">
        <f t="shared" si="12"/>
        <v>0</v>
      </c>
      <c r="K68" s="20">
        <f t="shared" ref="K68:K131" si="17">IF(D67&lt;$B$5,F68*J68,0)</f>
        <v>0</v>
      </c>
      <c r="L68" s="20">
        <f t="shared" si="12"/>
        <v>1</v>
      </c>
      <c r="M68" s="20">
        <f t="shared" ref="M68:M131" si="18">IF(D67&lt;$B$5,F68*L68,0)</f>
        <v>3.4096770363083677</v>
      </c>
      <c r="N68" s="20">
        <f>ABS(G68)</f>
        <v>0</v>
      </c>
      <c r="O68" s="20">
        <f>ABS(I68)</f>
        <v>0</v>
      </c>
      <c r="P68" s="20">
        <f>ABS(K68)</f>
        <v>0</v>
      </c>
      <c r="Q68" s="20">
        <f t="shared" si="13"/>
        <v>3.4096770363083677</v>
      </c>
    </row>
    <row r="69" spans="4:17" x14ac:dyDescent="0.35">
      <c r="D69" s="20">
        <f t="shared" si="8"/>
        <v>68</v>
      </c>
      <c r="E69" s="23">
        <f t="shared" si="9"/>
        <v>2.0606060606060583</v>
      </c>
      <c r="F69" s="20">
        <f t="shared" si="14"/>
        <v>9.313807783634001</v>
      </c>
      <c r="G69" s="20">
        <f t="shared" si="15"/>
        <v>0</v>
      </c>
      <c r="H69" s="20">
        <f t="shared" si="12"/>
        <v>1</v>
      </c>
      <c r="I69" s="20">
        <f t="shared" si="16"/>
        <v>9.313807783634001</v>
      </c>
      <c r="J69" s="20">
        <f t="shared" si="12"/>
        <v>0</v>
      </c>
      <c r="K69" s="20">
        <f t="shared" si="17"/>
        <v>0</v>
      </c>
      <c r="L69" s="20">
        <f t="shared" si="12"/>
        <v>0</v>
      </c>
      <c r="M69" s="20">
        <f t="shared" si="18"/>
        <v>0</v>
      </c>
      <c r="N69" s="20">
        <f>ABS(G69)</f>
        <v>0</v>
      </c>
      <c r="O69" s="20">
        <f>ABS(I69)</f>
        <v>9.313807783634001</v>
      </c>
      <c r="P69" s="20">
        <f>ABS(K69)</f>
        <v>0</v>
      </c>
      <c r="Q69" s="20">
        <f t="shared" si="13"/>
        <v>0</v>
      </c>
    </row>
    <row r="70" spans="4:17" x14ac:dyDescent="0.35">
      <c r="D70" s="20">
        <f t="shared" si="8"/>
        <v>69</v>
      </c>
      <c r="E70" s="23">
        <f t="shared" si="9"/>
        <v>2.1212121212121189</v>
      </c>
      <c r="F70" s="20">
        <f t="shared" si="14"/>
        <v>7.0867743104860139</v>
      </c>
      <c r="G70" s="20">
        <f t="shared" si="15"/>
        <v>0</v>
      </c>
      <c r="H70" s="20">
        <f t="shared" si="12"/>
        <v>0</v>
      </c>
      <c r="I70" s="20">
        <f t="shared" si="16"/>
        <v>0</v>
      </c>
      <c r="J70" s="20">
        <f t="shared" si="12"/>
        <v>1</v>
      </c>
      <c r="K70" s="20">
        <f t="shared" si="17"/>
        <v>7.0867743104860139</v>
      </c>
      <c r="L70" s="20">
        <f t="shared" si="12"/>
        <v>0</v>
      </c>
      <c r="M70" s="20">
        <f t="shared" si="18"/>
        <v>0</v>
      </c>
      <c r="N70" s="20">
        <f>ABS(G70)</f>
        <v>0</v>
      </c>
      <c r="O70" s="20">
        <f>ABS(I70)</f>
        <v>0</v>
      </c>
      <c r="P70" s="20">
        <f>ABS(K70)</f>
        <v>7.0867743104860139</v>
      </c>
      <c r="Q70" s="20">
        <f t="shared" si="13"/>
        <v>0</v>
      </c>
    </row>
    <row r="71" spans="4:17" x14ac:dyDescent="0.35">
      <c r="D71" s="20">
        <f t="shared" si="8"/>
        <v>70</v>
      </c>
      <c r="E71" s="23">
        <f t="shared" si="9"/>
        <v>2.1818181818181794</v>
      </c>
      <c r="F71" s="20">
        <f t="shared" si="14"/>
        <v>5.2848698761290613</v>
      </c>
      <c r="G71" s="20">
        <f t="shared" si="15"/>
        <v>0</v>
      </c>
      <c r="H71" s="20">
        <f t="shared" ref="H71:L86" si="19">IF(H70+H69=0,1,0)</f>
        <v>0</v>
      </c>
      <c r="I71" s="20">
        <f t="shared" si="16"/>
        <v>0</v>
      </c>
      <c r="J71" s="20">
        <f t="shared" si="19"/>
        <v>0</v>
      </c>
      <c r="K71" s="20">
        <f t="shared" si="17"/>
        <v>0</v>
      </c>
      <c r="L71" s="20">
        <f t="shared" si="19"/>
        <v>1</v>
      </c>
      <c r="M71" s="20">
        <f t="shared" si="18"/>
        <v>5.2848698761290613</v>
      </c>
      <c r="N71" s="20">
        <f>ABS(G71)</f>
        <v>0</v>
      </c>
      <c r="O71" s="20">
        <f>ABS(I71)</f>
        <v>0</v>
      </c>
      <c r="P71" s="20">
        <f>ABS(K71)</f>
        <v>0</v>
      </c>
      <c r="Q71" s="20">
        <f t="shared" si="13"/>
        <v>5.2848698761290613</v>
      </c>
    </row>
    <row r="72" spans="4:17" x14ac:dyDescent="0.35">
      <c r="D72" s="20">
        <f t="shared" si="8"/>
        <v>71</v>
      </c>
      <c r="E72" s="23">
        <f t="shared" si="9"/>
        <v>2.24242424242424</v>
      </c>
      <c r="F72" s="20">
        <f t="shared" si="14"/>
        <v>11.409835257311951</v>
      </c>
      <c r="G72" s="20">
        <f t="shared" si="15"/>
        <v>0</v>
      </c>
      <c r="H72" s="20">
        <f t="shared" si="19"/>
        <v>1</v>
      </c>
      <c r="I72" s="20">
        <f t="shared" si="16"/>
        <v>11.409835257311951</v>
      </c>
      <c r="J72" s="20">
        <f t="shared" si="19"/>
        <v>0</v>
      </c>
      <c r="K72" s="20">
        <f t="shared" si="17"/>
        <v>0</v>
      </c>
      <c r="L72" s="20">
        <f t="shared" si="19"/>
        <v>0</v>
      </c>
      <c r="M72" s="20">
        <f t="shared" si="18"/>
        <v>0</v>
      </c>
      <c r="N72" s="20">
        <f>ABS(G72)</f>
        <v>0</v>
      </c>
      <c r="O72" s="20">
        <f>ABS(I72)</f>
        <v>11.409835257311951</v>
      </c>
      <c r="P72" s="20">
        <f>ABS(K72)</f>
        <v>0</v>
      </c>
      <c r="Q72" s="20">
        <f t="shared" si="13"/>
        <v>0</v>
      </c>
    </row>
    <row r="73" spans="4:17" x14ac:dyDescent="0.35">
      <c r="D73" s="20">
        <f t="shared" si="8"/>
        <v>72</v>
      </c>
      <c r="E73" s="23">
        <f t="shared" si="9"/>
        <v>2.3030303030303005</v>
      </c>
      <c r="F73" s="20">
        <f t="shared" si="14"/>
        <v>5.2565570239320971</v>
      </c>
      <c r="G73" s="20">
        <f t="shared" si="15"/>
        <v>0</v>
      </c>
      <c r="H73" s="20">
        <f t="shared" si="19"/>
        <v>0</v>
      </c>
      <c r="I73" s="20">
        <f t="shared" si="16"/>
        <v>0</v>
      </c>
      <c r="J73" s="20">
        <f t="shared" si="19"/>
        <v>1</v>
      </c>
      <c r="K73" s="20">
        <f t="shared" si="17"/>
        <v>5.2565570239320971</v>
      </c>
      <c r="L73" s="20">
        <f t="shared" si="19"/>
        <v>0</v>
      </c>
      <c r="M73" s="20">
        <f t="shared" si="18"/>
        <v>0</v>
      </c>
      <c r="N73" s="20">
        <f>ABS(G73)</f>
        <v>0</v>
      </c>
      <c r="O73" s="20">
        <f>ABS(I73)</f>
        <v>0</v>
      </c>
      <c r="P73" s="20">
        <f>ABS(K73)</f>
        <v>5.2565570239320971</v>
      </c>
      <c r="Q73" s="20">
        <f t="shared" si="13"/>
        <v>0</v>
      </c>
    </row>
    <row r="74" spans="4:17" x14ac:dyDescent="0.35">
      <c r="D74" s="20">
        <f t="shared" si="8"/>
        <v>73</v>
      </c>
      <c r="E74" s="23">
        <f t="shared" si="9"/>
        <v>2.3636363636363611</v>
      </c>
      <c r="F74" s="20">
        <f t="shared" si="14"/>
        <v>11.611443417964724</v>
      </c>
      <c r="G74" s="20">
        <f t="shared" si="15"/>
        <v>0</v>
      </c>
      <c r="H74" s="20">
        <f t="shared" si="19"/>
        <v>0</v>
      </c>
      <c r="I74" s="20">
        <f t="shared" si="16"/>
        <v>0</v>
      </c>
      <c r="J74" s="20">
        <f t="shared" si="19"/>
        <v>0</v>
      </c>
      <c r="K74" s="20">
        <f t="shared" si="17"/>
        <v>0</v>
      </c>
      <c r="L74" s="20">
        <f t="shared" si="19"/>
        <v>1</v>
      </c>
      <c r="M74" s="20">
        <f t="shared" si="18"/>
        <v>11.611443417964724</v>
      </c>
      <c r="N74" s="20">
        <f>ABS(G74)</f>
        <v>0</v>
      </c>
      <c r="O74" s="20">
        <f>ABS(I74)</f>
        <v>0</v>
      </c>
      <c r="P74" s="20">
        <f>ABS(K74)</f>
        <v>0</v>
      </c>
      <c r="Q74" s="20">
        <f t="shared" si="13"/>
        <v>11.611443417964724</v>
      </c>
    </row>
    <row r="75" spans="4:17" x14ac:dyDescent="0.35">
      <c r="D75" s="20">
        <f t="shared" si="8"/>
        <v>74</v>
      </c>
      <c r="E75" s="23">
        <f t="shared" si="9"/>
        <v>2.4242424242424216</v>
      </c>
      <c r="F75" s="20">
        <f t="shared" si="14"/>
        <v>7.3592820244907333</v>
      </c>
      <c r="G75" s="20">
        <f t="shared" si="15"/>
        <v>0</v>
      </c>
      <c r="H75" s="20">
        <f t="shared" si="19"/>
        <v>1</v>
      </c>
      <c r="I75" s="20">
        <f t="shared" si="16"/>
        <v>7.3592820244907333</v>
      </c>
      <c r="J75" s="20">
        <f t="shared" si="19"/>
        <v>0</v>
      </c>
      <c r="K75" s="20">
        <f t="shared" si="17"/>
        <v>0</v>
      </c>
      <c r="L75" s="20">
        <f t="shared" si="19"/>
        <v>0</v>
      </c>
      <c r="M75" s="20">
        <f t="shared" si="18"/>
        <v>0</v>
      </c>
      <c r="N75" s="20">
        <f>ABS(G75)</f>
        <v>0</v>
      </c>
      <c r="O75" s="20">
        <f>ABS(I75)</f>
        <v>7.3592820244907333</v>
      </c>
      <c r="P75" s="20">
        <f>ABS(K75)</f>
        <v>0</v>
      </c>
      <c r="Q75" s="20">
        <f t="shared" si="13"/>
        <v>0</v>
      </c>
    </row>
    <row r="76" spans="4:17" x14ac:dyDescent="0.35">
      <c r="D76" s="20">
        <f t="shared" si="8"/>
        <v>75</v>
      </c>
      <c r="E76" s="23">
        <f t="shared" si="9"/>
        <v>2.4848484848484822</v>
      </c>
      <c r="F76" s="20">
        <f t="shared" si="14"/>
        <v>11.827355678653216</v>
      </c>
      <c r="G76" s="20">
        <f t="shared" si="15"/>
        <v>0</v>
      </c>
      <c r="H76" s="20">
        <f t="shared" si="19"/>
        <v>0</v>
      </c>
      <c r="I76" s="20">
        <f t="shared" si="16"/>
        <v>0</v>
      </c>
      <c r="J76" s="20">
        <f t="shared" si="19"/>
        <v>1</v>
      </c>
      <c r="K76" s="20">
        <f t="shared" si="17"/>
        <v>11.827355678653216</v>
      </c>
      <c r="L76" s="20">
        <f t="shared" si="19"/>
        <v>0</v>
      </c>
      <c r="M76" s="20">
        <f t="shared" si="18"/>
        <v>0</v>
      </c>
      <c r="N76" s="20">
        <f>ABS(G76)</f>
        <v>0</v>
      </c>
      <c r="O76" s="20">
        <f>ABS(I76)</f>
        <v>0</v>
      </c>
      <c r="P76" s="20">
        <f>ABS(K76)</f>
        <v>11.827355678653216</v>
      </c>
      <c r="Q76" s="20">
        <f t="shared" si="13"/>
        <v>0</v>
      </c>
    </row>
    <row r="77" spans="4:17" x14ac:dyDescent="0.35">
      <c r="D77" s="20">
        <f t="shared" si="8"/>
        <v>76</v>
      </c>
      <c r="E77" s="23">
        <f t="shared" si="9"/>
        <v>2.5454545454545427</v>
      </c>
      <c r="F77" s="20">
        <f t="shared" si="14"/>
        <v>8.252232630777538</v>
      </c>
      <c r="G77" s="20">
        <f t="shared" si="15"/>
        <v>0</v>
      </c>
      <c r="H77" s="20">
        <f t="shared" si="19"/>
        <v>0</v>
      </c>
      <c r="I77" s="20">
        <f t="shared" si="16"/>
        <v>0</v>
      </c>
      <c r="J77" s="20">
        <f t="shared" si="19"/>
        <v>0</v>
      </c>
      <c r="K77" s="20">
        <f t="shared" si="17"/>
        <v>0</v>
      </c>
      <c r="L77" s="20">
        <f t="shared" si="19"/>
        <v>1</v>
      </c>
      <c r="M77" s="20">
        <f t="shared" si="18"/>
        <v>8.252232630777538</v>
      </c>
      <c r="N77" s="20">
        <f>ABS(G77)</f>
        <v>0</v>
      </c>
      <c r="O77" s="20">
        <f>ABS(I77)</f>
        <v>0</v>
      </c>
      <c r="P77" s="20">
        <f>ABS(K77)</f>
        <v>0</v>
      </c>
      <c r="Q77" s="20">
        <f t="shared" si="13"/>
        <v>8.252232630777538</v>
      </c>
    </row>
    <row r="78" spans="4:17" x14ac:dyDescent="0.35">
      <c r="D78" s="20">
        <f t="shared" si="8"/>
        <v>77</v>
      </c>
      <c r="E78" s="23">
        <f t="shared" si="9"/>
        <v>2.6060606060606033</v>
      </c>
      <c r="F78" s="20">
        <f t="shared" si="14"/>
        <v>13.772621361412474</v>
      </c>
      <c r="G78" s="20">
        <f t="shared" si="15"/>
        <v>0</v>
      </c>
      <c r="H78" s="20">
        <f t="shared" si="19"/>
        <v>1</v>
      </c>
      <c r="I78" s="20">
        <f t="shared" si="16"/>
        <v>13.772621361412474</v>
      </c>
      <c r="J78" s="20">
        <f t="shared" si="19"/>
        <v>0</v>
      </c>
      <c r="K78" s="20">
        <f t="shared" si="17"/>
        <v>0</v>
      </c>
      <c r="L78" s="20">
        <f t="shared" si="19"/>
        <v>0</v>
      </c>
      <c r="M78" s="20">
        <f t="shared" si="18"/>
        <v>0</v>
      </c>
      <c r="N78" s="20">
        <f>ABS(G78)</f>
        <v>0</v>
      </c>
      <c r="O78" s="20">
        <f>ABS(I78)</f>
        <v>13.772621361412474</v>
      </c>
      <c r="P78" s="20">
        <f>ABS(K78)</f>
        <v>0</v>
      </c>
      <c r="Q78" s="20">
        <f t="shared" si="13"/>
        <v>0</v>
      </c>
    </row>
    <row r="79" spans="4:17" x14ac:dyDescent="0.35">
      <c r="D79" s="20">
        <f t="shared" si="8"/>
        <v>78</v>
      </c>
      <c r="E79" s="23">
        <f t="shared" si="9"/>
        <v>2.6666666666666639</v>
      </c>
      <c r="F79" s="20">
        <f t="shared" si="14"/>
        <v>7.800096742152852</v>
      </c>
      <c r="G79" s="20">
        <f t="shared" si="15"/>
        <v>0</v>
      </c>
      <c r="H79" s="20">
        <f t="shared" si="19"/>
        <v>0</v>
      </c>
      <c r="I79" s="20">
        <f t="shared" si="16"/>
        <v>0</v>
      </c>
      <c r="J79" s="20">
        <f t="shared" si="19"/>
        <v>1</v>
      </c>
      <c r="K79" s="20">
        <f t="shared" si="17"/>
        <v>7.800096742152852</v>
      </c>
      <c r="L79" s="20">
        <f t="shared" si="19"/>
        <v>0</v>
      </c>
      <c r="M79" s="20">
        <f t="shared" si="18"/>
        <v>0</v>
      </c>
      <c r="N79" s="20">
        <f>ABS(G79)</f>
        <v>0</v>
      </c>
      <c r="O79" s="20">
        <f>ABS(I79)</f>
        <v>0</v>
      </c>
      <c r="P79" s="20">
        <f>ABS(K79)</f>
        <v>7.800096742152852</v>
      </c>
      <c r="Q79" s="20">
        <f t="shared" si="13"/>
        <v>0</v>
      </c>
    </row>
    <row r="80" spans="4:17" x14ac:dyDescent="0.35">
      <c r="D80" s="20">
        <f t="shared" si="8"/>
        <v>79</v>
      </c>
      <c r="E80" s="23">
        <f t="shared" si="9"/>
        <v>2.7272727272727244</v>
      </c>
      <c r="F80" s="20">
        <f t="shared" si="14"/>
        <v>15.68217152899142</v>
      </c>
      <c r="G80" s="20">
        <f t="shared" si="15"/>
        <v>0</v>
      </c>
      <c r="H80" s="20">
        <f t="shared" si="19"/>
        <v>0</v>
      </c>
      <c r="I80" s="20">
        <f t="shared" si="16"/>
        <v>0</v>
      </c>
      <c r="J80" s="20">
        <f t="shared" si="19"/>
        <v>0</v>
      </c>
      <c r="K80" s="20">
        <f t="shared" si="17"/>
        <v>0</v>
      </c>
      <c r="L80" s="20">
        <f t="shared" si="19"/>
        <v>1</v>
      </c>
      <c r="M80" s="20">
        <f t="shared" si="18"/>
        <v>15.68217152899142</v>
      </c>
      <c r="N80" s="20">
        <f>ABS(G80)</f>
        <v>0</v>
      </c>
      <c r="O80" s="20">
        <f>ABS(I80)</f>
        <v>0</v>
      </c>
      <c r="P80" s="20">
        <f>ABS(K80)</f>
        <v>0</v>
      </c>
      <c r="Q80" s="20">
        <f t="shared" si="13"/>
        <v>15.68217152899142</v>
      </c>
    </row>
    <row r="81" spans="4:17" x14ac:dyDescent="0.35">
      <c r="D81" s="20">
        <f t="shared" si="8"/>
        <v>80</v>
      </c>
      <c r="E81" s="23">
        <f t="shared" si="9"/>
        <v>2.787878787878785</v>
      </c>
      <c r="F81" s="20">
        <f t="shared" si="14"/>
        <v>10.28114329586667</v>
      </c>
      <c r="G81" s="20">
        <f t="shared" si="15"/>
        <v>0</v>
      </c>
      <c r="H81" s="20">
        <f t="shared" si="19"/>
        <v>1</v>
      </c>
      <c r="I81" s="20">
        <f t="shared" si="16"/>
        <v>10.28114329586667</v>
      </c>
      <c r="J81" s="20">
        <f t="shared" si="19"/>
        <v>0</v>
      </c>
      <c r="K81" s="20">
        <f t="shared" si="17"/>
        <v>0</v>
      </c>
      <c r="L81" s="20">
        <f t="shared" si="19"/>
        <v>0</v>
      </c>
      <c r="M81" s="20">
        <f t="shared" si="18"/>
        <v>0</v>
      </c>
      <c r="N81" s="20">
        <f>ABS(G81)</f>
        <v>0</v>
      </c>
      <c r="O81" s="20">
        <f>ABS(I81)</f>
        <v>10.28114329586667</v>
      </c>
      <c r="P81" s="20">
        <f>ABS(K81)</f>
        <v>0</v>
      </c>
      <c r="Q81" s="20">
        <f t="shared" si="13"/>
        <v>0</v>
      </c>
    </row>
    <row r="82" spans="4:17" x14ac:dyDescent="0.35">
      <c r="D82" s="20">
        <f t="shared" si="8"/>
        <v>81</v>
      </c>
      <c r="E82" s="23">
        <f t="shared" si="9"/>
        <v>2.8484848484848455</v>
      </c>
      <c r="F82" s="20">
        <f t="shared" si="14"/>
        <v>11.772154689667639</v>
      </c>
      <c r="G82" s="20">
        <f t="shared" si="15"/>
        <v>0</v>
      </c>
      <c r="H82" s="20">
        <f t="shared" si="19"/>
        <v>0</v>
      </c>
      <c r="I82" s="20">
        <f t="shared" si="16"/>
        <v>0</v>
      </c>
      <c r="J82" s="20">
        <f t="shared" si="19"/>
        <v>1</v>
      </c>
      <c r="K82" s="20">
        <f t="shared" si="17"/>
        <v>11.772154689667639</v>
      </c>
      <c r="L82" s="20">
        <f t="shared" si="19"/>
        <v>0</v>
      </c>
      <c r="M82" s="20">
        <f t="shared" si="18"/>
        <v>0</v>
      </c>
      <c r="N82" s="20">
        <f>ABS(G82)</f>
        <v>0</v>
      </c>
      <c r="O82" s="20">
        <f>ABS(I82)</f>
        <v>0</v>
      </c>
      <c r="P82" s="20">
        <f>ABS(K82)</f>
        <v>11.772154689667639</v>
      </c>
      <c r="Q82" s="20">
        <f t="shared" si="13"/>
        <v>0</v>
      </c>
    </row>
    <row r="83" spans="4:17" x14ac:dyDescent="0.35">
      <c r="D83" s="20">
        <f t="shared" si="8"/>
        <v>82</v>
      </c>
      <c r="E83" s="23">
        <f t="shared" si="9"/>
        <v>2.9090909090909061</v>
      </c>
      <c r="F83" s="20">
        <f t="shared" si="14"/>
        <v>17.478356325928129</v>
      </c>
      <c r="G83" s="20">
        <f t="shared" si="15"/>
        <v>0</v>
      </c>
      <c r="H83" s="20">
        <f t="shared" si="19"/>
        <v>0</v>
      </c>
      <c r="I83" s="20">
        <f t="shared" si="16"/>
        <v>0</v>
      </c>
      <c r="J83" s="20">
        <f t="shared" si="19"/>
        <v>0</v>
      </c>
      <c r="K83" s="20">
        <f t="shared" si="17"/>
        <v>0</v>
      </c>
      <c r="L83" s="20">
        <f t="shared" si="19"/>
        <v>1</v>
      </c>
      <c r="M83" s="20">
        <f t="shared" si="18"/>
        <v>17.478356325928129</v>
      </c>
      <c r="N83" s="20">
        <f>ABS(G83)</f>
        <v>0</v>
      </c>
      <c r="O83" s="20">
        <f>ABS(I83)</f>
        <v>0</v>
      </c>
      <c r="P83" s="20">
        <f>ABS(K83)</f>
        <v>0</v>
      </c>
      <c r="Q83" s="20">
        <f t="shared" si="13"/>
        <v>17.478356325928129</v>
      </c>
    </row>
    <row r="84" spans="4:17" x14ac:dyDescent="0.35">
      <c r="D84" s="20">
        <f t="shared" si="8"/>
        <v>83</v>
      </c>
      <c r="E84" s="23">
        <f t="shared" si="9"/>
        <v>2.9696969696969666</v>
      </c>
      <c r="F84" s="20">
        <f t="shared" si="14"/>
        <v>12.130660097055628</v>
      </c>
      <c r="G84" s="20">
        <f t="shared" si="15"/>
        <v>0</v>
      </c>
      <c r="H84" s="20">
        <f t="shared" si="19"/>
        <v>1</v>
      </c>
      <c r="I84" s="20">
        <f t="shared" si="16"/>
        <v>12.130660097055628</v>
      </c>
      <c r="J84" s="20">
        <f t="shared" si="19"/>
        <v>0</v>
      </c>
      <c r="K84" s="20">
        <f t="shared" si="17"/>
        <v>0</v>
      </c>
      <c r="L84" s="20">
        <f t="shared" si="19"/>
        <v>0</v>
      </c>
      <c r="M84" s="20">
        <f t="shared" si="18"/>
        <v>0</v>
      </c>
      <c r="N84" s="20">
        <f>ABS(G84)</f>
        <v>0</v>
      </c>
      <c r="O84" s="20">
        <f>ABS(I84)</f>
        <v>12.130660097055628</v>
      </c>
      <c r="P84" s="20">
        <f>ABS(K84)</f>
        <v>0</v>
      </c>
      <c r="Q84" s="20">
        <f t="shared" si="13"/>
        <v>0</v>
      </c>
    </row>
    <row r="85" spans="4:17" x14ac:dyDescent="0.35">
      <c r="D85" s="20">
        <f t="shared" si="8"/>
        <v>84</v>
      </c>
      <c r="E85" s="23">
        <f t="shared" si="9"/>
        <v>3.0303030303030272</v>
      </c>
      <c r="F85" s="20">
        <f t="shared" si="14"/>
        <v>11.273415544552984</v>
      </c>
      <c r="G85" s="20">
        <f t="shared" si="15"/>
        <v>0</v>
      </c>
      <c r="H85" s="20">
        <f t="shared" si="19"/>
        <v>0</v>
      </c>
      <c r="I85" s="20">
        <f t="shared" si="16"/>
        <v>0</v>
      </c>
      <c r="J85" s="20">
        <f t="shared" si="19"/>
        <v>1</v>
      </c>
      <c r="K85" s="20">
        <f t="shared" si="17"/>
        <v>11.273415544552984</v>
      </c>
      <c r="L85" s="20">
        <f t="shared" si="19"/>
        <v>0</v>
      </c>
      <c r="M85" s="20">
        <f t="shared" si="18"/>
        <v>0</v>
      </c>
      <c r="N85" s="20">
        <f>ABS(G85)</f>
        <v>0</v>
      </c>
      <c r="O85" s="20">
        <f>ABS(I85)</f>
        <v>0</v>
      </c>
      <c r="P85" s="20">
        <f>ABS(K85)</f>
        <v>11.273415544552984</v>
      </c>
      <c r="Q85" s="20">
        <f t="shared" si="13"/>
        <v>0</v>
      </c>
    </row>
    <row r="86" spans="4:17" x14ac:dyDescent="0.35">
      <c r="D86" s="20">
        <f t="shared" si="8"/>
        <v>85</v>
      </c>
      <c r="E86" s="23">
        <f t="shared" si="9"/>
        <v>3.0909090909090877</v>
      </c>
      <c r="F86" s="20">
        <f t="shared" si="14"/>
        <v>17.418190769038208</v>
      </c>
      <c r="G86" s="20">
        <f t="shared" si="15"/>
        <v>0</v>
      </c>
      <c r="H86" s="20">
        <f t="shared" si="19"/>
        <v>0</v>
      </c>
      <c r="I86" s="20">
        <f t="shared" si="16"/>
        <v>0</v>
      </c>
      <c r="J86" s="20">
        <f t="shared" si="19"/>
        <v>0</v>
      </c>
      <c r="K86" s="20">
        <f t="shared" si="17"/>
        <v>0</v>
      </c>
      <c r="L86" s="20">
        <f t="shared" si="19"/>
        <v>1</v>
      </c>
      <c r="M86" s="20">
        <f t="shared" si="18"/>
        <v>17.418190769038208</v>
      </c>
      <c r="N86" s="20">
        <f>ABS(G86)</f>
        <v>0</v>
      </c>
      <c r="O86" s="20">
        <f>ABS(I86)</f>
        <v>0</v>
      </c>
      <c r="P86" s="20">
        <f>ABS(K86)</f>
        <v>0</v>
      </c>
      <c r="Q86" s="20">
        <f t="shared" si="13"/>
        <v>17.418190769038208</v>
      </c>
    </row>
    <row r="87" spans="4:17" x14ac:dyDescent="0.35">
      <c r="D87" s="20">
        <f t="shared" ref="D87:D150" si="20">IF(D86&lt;=$B$5,D86+1,"")</f>
        <v>86</v>
      </c>
      <c r="E87" s="23">
        <f t="shared" ref="E87:E150" si="21">IF(D86&lt;=$B$5,E86+$B$6,"")</f>
        <v>3.1515151515151483</v>
      </c>
      <c r="F87" s="20">
        <f t="shared" si="14"/>
        <v>19.736392728662505</v>
      </c>
      <c r="G87" s="20">
        <f t="shared" si="15"/>
        <v>0</v>
      </c>
      <c r="H87" s="20">
        <f t="shared" ref="H87:L102" si="22">IF(H86+H85=0,1,0)</f>
        <v>1</v>
      </c>
      <c r="I87" s="20">
        <f t="shared" si="16"/>
        <v>19.736392728662505</v>
      </c>
      <c r="J87" s="20">
        <f t="shared" si="22"/>
        <v>0</v>
      </c>
      <c r="K87" s="20">
        <f t="shared" si="17"/>
        <v>0</v>
      </c>
      <c r="L87" s="20">
        <f t="shared" si="22"/>
        <v>0</v>
      </c>
      <c r="M87" s="20">
        <f t="shared" si="18"/>
        <v>0</v>
      </c>
      <c r="N87" s="20">
        <f>ABS(G87)</f>
        <v>0</v>
      </c>
      <c r="O87" s="20">
        <f>ABS(I87)</f>
        <v>19.736392728662505</v>
      </c>
      <c r="P87" s="20">
        <f>ABS(K87)</f>
        <v>0</v>
      </c>
      <c r="Q87" s="20">
        <f t="shared" si="13"/>
        <v>0</v>
      </c>
    </row>
    <row r="88" spans="4:17" x14ac:dyDescent="0.35">
      <c r="D88" s="20">
        <f t="shared" si="20"/>
        <v>87</v>
      </c>
      <c r="E88" s="23">
        <f t="shared" si="21"/>
        <v>3.2121212121212088</v>
      </c>
      <c r="F88" s="20">
        <f t="shared" si="14"/>
        <v>16.811909644320842</v>
      </c>
      <c r="G88" s="20">
        <f t="shared" si="15"/>
        <v>0</v>
      </c>
      <c r="H88" s="20">
        <f t="shared" si="22"/>
        <v>0</v>
      </c>
      <c r="I88" s="20">
        <f t="shared" si="16"/>
        <v>0</v>
      </c>
      <c r="J88" s="20">
        <f t="shared" si="22"/>
        <v>1</v>
      </c>
      <c r="K88" s="20">
        <f t="shared" si="17"/>
        <v>16.811909644320842</v>
      </c>
      <c r="L88" s="20">
        <f t="shared" si="22"/>
        <v>0</v>
      </c>
      <c r="M88" s="20">
        <f t="shared" si="18"/>
        <v>0</v>
      </c>
      <c r="N88" s="20">
        <f>ABS(G88)</f>
        <v>0</v>
      </c>
      <c r="O88" s="20">
        <f>ABS(I88)</f>
        <v>0</v>
      </c>
      <c r="P88" s="20">
        <f>ABS(K88)</f>
        <v>16.811909644320842</v>
      </c>
      <c r="Q88" s="20">
        <f t="shared" si="13"/>
        <v>0</v>
      </c>
    </row>
    <row r="89" spans="4:17" x14ac:dyDescent="0.35">
      <c r="D89" s="20">
        <f t="shared" si="20"/>
        <v>88</v>
      </c>
      <c r="E89" s="23">
        <f t="shared" si="21"/>
        <v>3.2727272727272694</v>
      </c>
      <c r="F89" s="20">
        <f t="shared" si="14"/>
        <v>13.746742550035055</v>
      </c>
      <c r="G89" s="20">
        <f t="shared" si="15"/>
        <v>0</v>
      </c>
      <c r="H89" s="20">
        <f t="shared" si="22"/>
        <v>0</v>
      </c>
      <c r="I89" s="20">
        <f t="shared" si="16"/>
        <v>0</v>
      </c>
      <c r="J89" s="20">
        <f t="shared" si="22"/>
        <v>0</v>
      </c>
      <c r="K89" s="20">
        <f t="shared" si="17"/>
        <v>0</v>
      </c>
      <c r="L89" s="20">
        <f t="shared" si="22"/>
        <v>1</v>
      </c>
      <c r="M89" s="20">
        <f t="shared" si="18"/>
        <v>13.746742550035055</v>
      </c>
      <c r="N89" s="20">
        <f>ABS(G89)</f>
        <v>0</v>
      </c>
      <c r="O89" s="20">
        <f>ABS(I89)</f>
        <v>0</v>
      </c>
      <c r="P89" s="20">
        <f>ABS(K89)</f>
        <v>0</v>
      </c>
      <c r="Q89" s="20">
        <f t="shared" si="13"/>
        <v>13.746742550035055</v>
      </c>
    </row>
    <row r="90" spans="4:17" x14ac:dyDescent="0.35">
      <c r="D90" s="20">
        <f t="shared" si="20"/>
        <v>89</v>
      </c>
      <c r="E90" s="23">
        <f t="shared" si="21"/>
        <v>3.3333333333333299</v>
      </c>
      <c r="F90" s="20">
        <f t="shared" si="14"/>
        <v>13.095190134942664</v>
      </c>
      <c r="G90" s="20">
        <f t="shared" si="15"/>
        <v>0</v>
      </c>
      <c r="H90" s="20">
        <f t="shared" si="22"/>
        <v>1</v>
      </c>
      <c r="I90" s="20">
        <f t="shared" si="16"/>
        <v>13.095190134942664</v>
      </c>
      <c r="J90" s="20">
        <f t="shared" si="22"/>
        <v>0</v>
      </c>
      <c r="K90" s="20">
        <f t="shared" si="17"/>
        <v>0</v>
      </c>
      <c r="L90" s="20">
        <f t="shared" si="22"/>
        <v>0</v>
      </c>
      <c r="M90" s="20">
        <f t="shared" si="18"/>
        <v>0</v>
      </c>
      <c r="N90" s="20">
        <f>ABS(G90)</f>
        <v>0</v>
      </c>
      <c r="O90" s="20">
        <f>ABS(I90)</f>
        <v>13.095190134942664</v>
      </c>
      <c r="P90" s="20">
        <f>ABS(K90)</f>
        <v>0</v>
      </c>
      <c r="Q90" s="20">
        <f t="shared" si="13"/>
        <v>0</v>
      </c>
    </row>
    <row r="91" spans="4:17" x14ac:dyDescent="0.35">
      <c r="D91" s="20">
        <f t="shared" si="20"/>
        <v>90</v>
      </c>
      <c r="E91" s="23">
        <f t="shared" si="21"/>
        <v>3.3939393939393905</v>
      </c>
      <c r="F91" s="20">
        <f t="shared" si="14"/>
        <v>14.157331188140281</v>
      </c>
      <c r="G91" s="20">
        <f t="shared" si="15"/>
        <v>0</v>
      </c>
      <c r="H91" s="20">
        <f t="shared" si="22"/>
        <v>0</v>
      </c>
      <c r="I91" s="20">
        <f t="shared" si="16"/>
        <v>0</v>
      </c>
      <c r="J91" s="20">
        <f t="shared" si="22"/>
        <v>1</v>
      </c>
      <c r="K91" s="20">
        <f t="shared" si="17"/>
        <v>14.157331188140281</v>
      </c>
      <c r="L91" s="20">
        <f t="shared" si="22"/>
        <v>0</v>
      </c>
      <c r="M91" s="20">
        <f t="shared" si="18"/>
        <v>0</v>
      </c>
      <c r="N91" s="20">
        <f>ABS(G91)</f>
        <v>0</v>
      </c>
      <c r="O91" s="20">
        <f>ABS(I91)</f>
        <v>0</v>
      </c>
      <c r="P91" s="20">
        <f>ABS(K91)</f>
        <v>14.157331188140281</v>
      </c>
      <c r="Q91" s="20">
        <f t="shared" si="13"/>
        <v>0</v>
      </c>
    </row>
    <row r="92" spans="4:17" x14ac:dyDescent="0.35">
      <c r="D92" s="20">
        <f t="shared" si="20"/>
        <v>91</v>
      </c>
      <c r="E92" s="23">
        <f t="shared" si="21"/>
        <v>3.454545454545451</v>
      </c>
      <c r="F92" s="20">
        <f t="shared" si="14"/>
        <v>15.55210665673842</v>
      </c>
      <c r="G92" s="20">
        <f t="shared" si="15"/>
        <v>0</v>
      </c>
      <c r="H92" s="20">
        <f t="shared" si="22"/>
        <v>0</v>
      </c>
      <c r="I92" s="20">
        <f t="shared" si="16"/>
        <v>0</v>
      </c>
      <c r="J92" s="20">
        <f t="shared" si="22"/>
        <v>0</v>
      </c>
      <c r="K92" s="20">
        <f t="shared" si="17"/>
        <v>0</v>
      </c>
      <c r="L92" s="20">
        <f t="shared" si="22"/>
        <v>1</v>
      </c>
      <c r="M92" s="20">
        <f t="shared" si="18"/>
        <v>15.55210665673842</v>
      </c>
      <c r="N92" s="20">
        <f>ABS(G92)</f>
        <v>0</v>
      </c>
      <c r="O92" s="20">
        <f>ABS(I92)</f>
        <v>0</v>
      </c>
      <c r="P92" s="20">
        <f>ABS(K92)</f>
        <v>0</v>
      </c>
      <c r="Q92" s="20">
        <f t="shared" si="13"/>
        <v>15.55210665673842</v>
      </c>
    </row>
    <row r="93" spans="4:17" x14ac:dyDescent="0.35">
      <c r="D93" s="20">
        <f t="shared" si="20"/>
        <v>92</v>
      </c>
      <c r="E93" s="23">
        <f t="shared" si="21"/>
        <v>3.5151515151515116</v>
      </c>
      <c r="F93" s="20">
        <f t="shared" si="14"/>
        <v>16.462352635772184</v>
      </c>
      <c r="G93" s="20">
        <f t="shared" si="15"/>
        <v>0</v>
      </c>
      <c r="H93" s="20">
        <f t="shared" si="22"/>
        <v>1</v>
      </c>
      <c r="I93" s="20">
        <f t="shared" si="16"/>
        <v>16.462352635772184</v>
      </c>
      <c r="J93" s="20">
        <f t="shared" si="22"/>
        <v>0</v>
      </c>
      <c r="K93" s="20">
        <f t="shared" si="17"/>
        <v>0</v>
      </c>
      <c r="L93" s="20">
        <f t="shared" si="22"/>
        <v>0</v>
      </c>
      <c r="M93" s="20">
        <f t="shared" si="18"/>
        <v>0</v>
      </c>
      <c r="N93" s="20">
        <f>ABS(G93)</f>
        <v>0</v>
      </c>
      <c r="O93" s="20">
        <f>ABS(I93)</f>
        <v>16.462352635772184</v>
      </c>
      <c r="P93" s="20">
        <f>ABS(K93)</f>
        <v>0</v>
      </c>
      <c r="Q93" s="20">
        <f t="shared" si="13"/>
        <v>0</v>
      </c>
    </row>
    <row r="94" spans="4:17" x14ac:dyDescent="0.35">
      <c r="D94" s="20">
        <f t="shared" si="20"/>
        <v>93</v>
      </c>
      <c r="E94" s="23">
        <f t="shared" si="21"/>
        <v>3.5757575757575721</v>
      </c>
      <c r="F94" s="20">
        <f t="shared" si="14"/>
        <v>16.643959953194543</v>
      </c>
      <c r="G94" s="20">
        <f t="shared" si="15"/>
        <v>0</v>
      </c>
      <c r="H94" s="20">
        <f t="shared" si="22"/>
        <v>0</v>
      </c>
      <c r="I94" s="20">
        <f t="shared" si="16"/>
        <v>0</v>
      </c>
      <c r="J94" s="20">
        <f t="shared" si="22"/>
        <v>1</v>
      </c>
      <c r="K94" s="20">
        <f t="shared" si="17"/>
        <v>16.643959953194543</v>
      </c>
      <c r="L94" s="20">
        <f t="shared" si="22"/>
        <v>0</v>
      </c>
      <c r="M94" s="20">
        <f t="shared" si="18"/>
        <v>0</v>
      </c>
      <c r="N94" s="20">
        <f>ABS(G94)</f>
        <v>0</v>
      </c>
      <c r="O94" s="20">
        <f>ABS(I94)</f>
        <v>0</v>
      </c>
      <c r="P94" s="20">
        <f>ABS(K94)</f>
        <v>16.643959953194543</v>
      </c>
      <c r="Q94" s="20">
        <f t="shared" si="13"/>
        <v>0</v>
      </c>
    </row>
    <row r="95" spans="4:17" x14ac:dyDescent="0.35">
      <c r="D95" s="20">
        <f t="shared" si="20"/>
        <v>94</v>
      </c>
      <c r="E95" s="23">
        <f t="shared" si="21"/>
        <v>3.6363636363636327</v>
      </c>
      <c r="F95" s="20">
        <f t="shared" si="14"/>
        <v>16.327886999523749</v>
      </c>
      <c r="G95" s="20">
        <f t="shared" si="15"/>
        <v>0</v>
      </c>
      <c r="H95" s="20">
        <f t="shared" si="22"/>
        <v>0</v>
      </c>
      <c r="I95" s="20">
        <f t="shared" si="16"/>
        <v>0</v>
      </c>
      <c r="J95" s="20">
        <f t="shared" si="22"/>
        <v>0</v>
      </c>
      <c r="K95" s="20">
        <f t="shared" si="17"/>
        <v>0</v>
      </c>
      <c r="L95" s="20">
        <f t="shared" si="22"/>
        <v>1</v>
      </c>
      <c r="M95" s="20">
        <f t="shared" si="18"/>
        <v>16.327886999523749</v>
      </c>
      <c r="N95" s="20">
        <f>ABS(G95)</f>
        <v>0</v>
      </c>
      <c r="O95" s="20">
        <f>ABS(I95)</f>
        <v>0</v>
      </c>
      <c r="P95" s="20">
        <f>ABS(K95)</f>
        <v>0</v>
      </c>
      <c r="Q95" s="20">
        <f t="shared" si="13"/>
        <v>16.327886999523749</v>
      </c>
    </row>
    <row r="96" spans="4:17" x14ac:dyDescent="0.35">
      <c r="D96" s="20">
        <f t="shared" si="20"/>
        <v>95</v>
      </c>
      <c r="E96" s="23">
        <f t="shared" si="21"/>
        <v>3.6969696969696932</v>
      </c>
      <c r="F96" s="20">
        <f t="shared" si="14"/>
        <v>16.46613993494779</v>
      </c>
      <c r="G96" s="20">
        <f t="shared" si="15"/>
        <v>0</v>
      </c>
      <c r="H96" s="20">
        <f t="shared" si="22"/>
        <v>1</v>
      </c>
      <c r="I96" s="20">
        <f t="shared" si="16"/>
        <v>16.46613993494779</v>
      </c>
      <c r="J96" s="20">
        <f t="shared" si="22"/>
        <v>0</v>
      </c>
      <c r="K96" s="20">
        <f t="shared" si="17"/>
        <v>0</v>
      </c>
      <c r="L96" s="20">
        <f t="shared" si="22"/>
        <v>0</v>
      </c>
      <c r="M96" s="20">
        <f t="shared" si="18"/>
        <v>0</v>
      </c>
      <c r="N96" s="20">
        <f>ABS(G96)</f>
        <v>0</v>
      </c>
      <c r="O96" s="20">
        <f>ABS(I96)</f>
        <v>16.46613993494779</v>
      </c>
      <c r="P96" s="20">
        <f>ABS(K96)</f>
        <v>0</v>
      </c>
      <c r="Q96" s="20">
        <f t="shared" si="13"/>
        <v>0</v>
      </c>
    </row>
    <row r="97" spans="4:17" x14ac:dyDescent="0.35">
      <c r="D97" s="20">
        <f t="shared" si="20"/>
        <v>96</v>
      </c>
      <c r="E97" s="23">
        <f t="shared" si="21"/>
        <v>3.7575757575757538</v>
      </c>
      <c r="F97" s="20">
        <f t="shared" si="14"/>
        <v>18.783057075262995</v>
      </c>
      <c r="G97" s="20">
        <f t="shared" si="15"/>
        <v>0</v>
      </c>
      <c r="H97" s="20">
        <f t="shared" si="22"/>
        <v>0</v>
      </c>
      <c r="I97" s="20">
        <f t="shared" si="16"/>
        <v>0</v>
      </c>
      <c r="J97" s="20">
        <f t="shared" si="22"/>
        <v>1</v>
      </c>
      <c r="K97" s="20">
        <f t="shared" si="17"/>
        <v>18.783057075262995</v>
      </c>
      <c r="L97" s="20">
        <f t="shared" si="22"/>
        <v>0</v>
      </c>
      <c r="M97" s="20">
        <f t="shared" si="18"/>
        <v>0</v>
      </c>
      <c r="N97" s="20">
        <f>ABS(G97)</f>
        <v>0</v>
      </c>
      <c r="O97" s="20">
        <f>ABS(I97)</f>
        <v>0</v>
      </c>
      <c r="P97" s="20">
        <f>ABS(K97)</f>
        <v>18.783057075262995</v>
      </c>
      <c r="Q97" s="20">
        <f t="shared" si="13"/>
        <v>0</v>
      </c>
    </row>
    <row r="98" spans="4:17" x14ac:dyDescent="0.35">
      <c r="D98" s="20">
        <f t="shared" si="20"/>
        <v>97</v>
      </c>
      <c r="E98" s="23">
        <f t="shared" si="21"/>
        <v>3.8181818181818143</v>
      </c>
      <c r="F98" s="20">
        <f t="shared" si="14"/>
        <v>23.942978553473665</v>
      </c>
      <c r="G98" s="20">
        <f t="shared" si="15"/>
        <v>0</v>
      </c>
      <c r="H98" s="20">
        <f t="shared" si="22"/>
        <v>0</v>
      </c>
      <c r="I98" s="20">
        <f t="shared" si="16"/>
        <v>0</v>
      </c>
      <c r="J98" s="20">
        <f t="shared" si="22"/>
        <v>0</v>
      </c>
      <c r="K98" s="20">
        <f t="shared" si="17"/>
        <v>0</v>
      </c>
      <c r="L98" s="20">
        <f t="shared" si="22"/>
        <v>1</v>
      </c>
      <c r="M98" s="20">
        <f t="shared" si="18"/>
        <v>23.942978553473665</v>
      </c>
      <c r="N98" s="20">
        <f>ABS(G98)</f>
        <v>0</v>
      </c>
      <c r="O98" s="20">
        <f>ABS(I98)</f>
        <v>0</v>
      </c>
      <c r="P98" s="20">
        <f>ABS(K98)</f>
        <v>0</v>
      </c>
      <c r="Q98" s="20">
        <f t="shared" si="13"/>
        <v>23.942978553473665</v>
      </c>
    </row>
    <row r="99" spans="4:17" x14ac:dyDescent="0.35">
      <c r="D99" s="20">
        <f t="shared" si="20"/>
        <v>98</v>
      </c>
      <c r="E99" s="23">
        <f t="shared" si="21"/>
        <v>3.8787878787878749</v>
      </c>
      <c r="F99" s="20">
        <f t="shared" si="14"/>
        <v>27.727736226337697</v>
      </c>
      <c r="G99" s="20">
        <f t="shared" si="15"/>
        <v>0</v>
      </c>
      <c r="H99" s="20">
        <f t="shared" si="22"/>
        <v>1</v>
      </c>
      <c r="I99" s="20">
        <f t="shared" si="16"/>
        <v>27.727736226337697</v>
      </c>
      <c r="J99" s="20">
        <f t="shared" si="22"/>
        <v>0</v>
      </c>
      <c r="K99" s="20">
        <f t="shared" si="17"/>
        <v>0</v>
      </c>
      <c r="L99" s="20">
        <f t="shared" si="22"/>
        <v>0</v>
      </c>
      <c r="M99" s="20">
        <f t="shared" si="18"/>
        <v>0</v>
      </c>
      <c r="N99" s="20">
        <f>ABS(G99)</f>
        <v>0</v>
      </c>
      <c r="O99" s="20">
        <f>ABS(I99)</f>
        <v>27.727736226337697</v>
      </c>
      <c r="P99" s="20">
        <f>ABS(K99)</f>
        <v>0</v>
      </c>
      <c r="Q99" s="20">
        <f t="shared" si="13"/>
        <v>0</v>
      </c>
    </row>
    <row r="100" spans="4:17" x14ac:dyDescent="0.35">
      <c r="D100" s="20">
        <f t="shared" si="20"/>
        <v>99</v>
      </c>
      <c r="E100" s="23">
        <f t="shared" si="21"/>
        <v>3.9393939393939355</v>
      </c>
      <c r="F100" s="20">
        <f t="shared" si="14"/>
        <v>23.795239001743337</v>
      </c>
      <c r="G100" s="20">
        <f t="shared" si="15"/>
        <v>0</v>
      </c>
      <c r="H100" s="20">
        <f t="shared" si="22"/>
        <v>0</v>
      </c>
      <c r="I100" s="20">
        <f t="shared" si="16"/>
        <v>0</v>
      </c>
      <c r="J100" s="20">
        <f t="shared" si="22"/>
        <v>1</v>
      </c>
      <c r="K100" s="20">
        <f t="shared" si="17"/>
        <v>23.795239001743337</v>
      </c>
      <c r="L100" s="20">
        <f t="shared" si="22"/>
        <v>0</v>
      </c>
      <c r="M100" s="20">
        <f t="shared" si="18"/>
        <v>0</v>
      </c>
      <c r="N100" s="20">
        <f>ABS(G100)</f>
        <v>0</v>
      </c>
      <c r="O100" s="20">
        <f>ABS(I100)</f>
        <v>0</v>
      </c>
      <c r="P100" s="20">
        <f>ABS(K100)</f>
        <v>23.795239001743337</v>
      </c>
      <c r="Q100" s="20">
        <f t="shared" si="13"/>
        <v>0</v>
      </c>
    </row>
    <row r="101" spans="4:17" x14ac:dyDescent="0.35">
      <c r="D101" s="20">
        <f t="shared" si="20"/>
        <v>100</v>
      </c>
      <c r="E101" s="23">
        <f t="shared" si="21"/>
        <v>3.999999999999996</v>
      </c>
      <c r="F101" s="20">
        <f t="shared" si="14"/>
        <v>19.442239957579829</v>
      </c>
      <c r="G101" s="20">
        <f t="shared" si="15"/>
        <v>19.442239957579829</v>
      </c>
      <c r="H101" s="20">
        <f t="shared" si="22"/>
        <v>0</v>
      </c>
      <c r="I101" s="20">
        <f t="shared" si="16"/>
        <v>0</v>
      </c>
      <c r="J101" s="20">
        <f t="shared" si="22"/>
        <v>0</v>
      </c>
      <c r="K101" s="20">
        <f t="shared" si="17"/>
        <v>0</v>
      </c>
      <c r="L101" s="20">
        <f t="shared" si="22"/>
        <v>1</v>
      </c>
      <c r="M101" s="20">
        <f t="shared" si="18"/>
        <v>0</v>
      </c>
      <c r="N101" s="20">
        <f>ABS(G101)</f>
        <v>19.442239957579829</v>
      </c>
      <c r="O101" s="20">
        <f>ABS(I101)</f>
        <v>0</v>
      </c>
      <c r="P101" s="20">
        <f>ABS(K101)</f>
        <v>0</v>
      </c>
      <c r="Q101" s="20">
        <f t="shared" si="13"/>
        <v>0</v>
      </c>
    </row>
    <row r="102" spans="4:17" x14ac:dyDescent="0.35">
      <c r="D102" s="20" t="str">
        <f t="shared" si="20"/>
        <v/>
      </c>
      <c r="E102" s="23" t="str">
        <f t="shared" si="21"/>
        <v/>
      </c>
      <c r="F102" s="20" t="str">
        <f t="shared" si="14"/>
        <v/>
      </c>
      <c r="G102" s="20">
        <f t="shared" si="15"/>
        <v>0</v>
      </c>
      <c r="H102" s="20">
        <f t="shared" si="22"/>
        <v>1</v>
      </c>
      <c r="I102" s="20">
        <f t="shared" si="16"/>
        <v>0</v>
      </c>
      <c r="J102" s="20">
        <f t="shared" si="22"/>
        <v>0</v>
      </c>
      <c r="K102" s="20">
        <f t="shared" si="17"/>
        <v>0</v>
      </c>
      <c r="L102" s="20">
        <f t="shared" si="22"/>
        <v>0</v>
      </c>
      <c r="M102" s="20">
        <f t="shared" si="18"/>
        <v>0</v>
      </c>
      <c r="N102" s="20">
        <f>ABS(G102)</f>
        <v>0</v>
      </c>
      <c r="O102" s="20">
        <f>ABS(I102)</f>
        <v>0</v>
      </c>
      <c r="P102" s="20">
        <f>ABS(K102)</f>
        <v>0</v>
      </c>
      <c r="Q102" s="20">
        <f t="shared" si="13"/>
        <v>0</v>
      </c>
    </row>
    <row r="103" spans="4:17" x14ac:dyDescent="0.35">
      <c r="D103" s="20" t="str">
        <f t="shared" si="20"/>
        <v/>
      </c>
      <c r="E103" s="23" t="str">
        <f t="shared" si="21"/>
        <v/>
      </c>
      <c r="F103" s="20" t="str">
        <f t="shared" si="14"/>
        <v/>
      </c>
      <c r="G103" s="20">
        <f t="shared" si="15"/>
        <v>0</v>
      </c>
      <c r="H103" s="20">
        <f t="shared" ref="H103:L118" si="23">IF(H102+H101=0,1,0)</f>
        <v>0</v>
      </c>
      <c r="I103" s="20">
        <f t="shared" si="16"/>
        <v>0</v>
      </c>
      <c r="J103" s="20">
        <f t="shared" si="23"/>
        <v>1</v>
      </c>
      <c r="K103" s="20">
        <f t="shared" si="17"/>
        <v>0</v>
      </c>
      <c r="L103" s="20">
        <f t="shared" si="23"/>
        <v>0</v>
      </c>
      <c r="M103" s="20">
        <f t="shared" si="18"/>
        <v>0</v>
      </c>
      <c r="N103" s="20">
        <f>ABS(G103)</f>
        <v>0</v>
      </c>
      <c r="O103" s="20">
        <f>ABS(I103)</f>
        <v>0</v>
      </c>
      <c r="P103" s="20">
        <f>ABS(K103)</f>
        <v>0</v>
      </c>
      <c r="Q103" s="20">
        <f t="shared" si="13"/>
        <v>0</v>
      </c>
    </row>
    <row r="104" spans="4:17" x14ac:dyDescent="0.35">
      <c r="D104" s="20" t="str">
        <f t="shared" si="20"/>
        <v/>
      </c>
      <c r="E104" s="23" t="str">
        <f t="shared" si="21"/>
        <v/>
      </c>
      <c r="F104" s="20" t="str">
        <f t="shared" si="14"/>
        <v/>
      </c>
      <c r="G104" s="20">
        <f t="shared" si="15"/>
        <v>0</v>
      </c>
      <c r="H104" s="20">
        <f t="shared" si="23"/>
        <v>0</v>
      </c>
      <c r="I104" s="20">
        <f t="shared" si="16"/>
        <v>0</v>
      </c>
      <c r="J104" s="20">
        <f t="shared" si="23"/>
        <v>0</v>
      </c>
      <c r="K104" s="20">
        <f t="shared" si="17"/>
        <v>0</v>
      </c>
      <c r="L104" s="20">
        <f t="shared" si="23"/>
        <v>1</v>
      </c>
      <c r="M104" s="20">
        <f t="shared" si="18"/>
        <v>0</v>
      </c>
      <c r="N104" s="20">
        <f>ABS(G104)</f>
        <v>0</v>
      </c>
      <c r="O104" s="20">
        <f>ABS(I104)</f>
        <v>0</v>
      </c>
      <c r="P104" s="20">
        <f>ABS(K104)</f>
        <v>0</v>
      </c>
      <c r="Q104" s="20">
        <f t="shared" si="13"/>
        <v>0</v>
      </c>
    </row>
    <row r="105" spans="4:17" x14ac:dyDescent="0.35">
      <c r="D105" s="20" t="str">
        <f t="shared" si="20"/>
        <v/>
      </c>
      <c r="E105" s="23" t="str">
        <f t="shared" si="21"/>
        <v/>
      </c>
      <c r="F105" s="20" t="str">
        <f t="shared" si="14"/>
        <v/>
      </c>
      <c r="G105" s="20">
        <f t="shared" si="15"/>
        <v>0</v>
      </c>
      <c r="H105" s="20">
        <f t="shared" si="23"/>
        <v>1</v>
      </c>
      <c r="I105" s="20">
        <f t="shared" si="16"/>
        <v>0</v>
      </c>
      <c r="J105" s="20">
        <f t="shared" si="23"/>
        <v>0</v>
      </c>
      <c r="K105" s="20">
        <f t="shared" si="17"/>
        <v>0</v>
      </c>
      <c r="L105" s="20">
        <f t="shared" si="23"/>
        <v>0</v>
      </c>
      <c r="M105" s="20">
        <f t="shared" si="18"/>
        <v>0</v>
      </c>
      <c r="N105" s="20">
        <f>ABS(G105)</f>
        <v>0</v>
      </c>
      <c r="O105" s="20">
        <f>ABS(I105)</f>
        <v>0</v>
      </c>
      <c r="P105" s="20">
        <f>ABS(K105)</f>
        <v>0</v>
      </c>
      <c r="Q105" s="20">
        <f t="shared" si="13"/>
        <v>0</v>
      </c>
    </row>
    <row r="106" spans="4:17" x14ac:dyDescent="0.35">
      <c r="D106" s="20" t="str">
        <f t="shared" si="20"/>
        <v/>
      </c>
      <c r="E106" s="23" t="str">
        <f t="shared" si="21"/>
        <v/>
      </c>
      <c r="F106" s="20" t="str">
        <f t="shared" si="14"/>
        <v/>
      </c>
      <c r="G106" s="20">
        <f t="shared" si="15"/>
        <v>0</v>
      </c>
      <c r="H106" s="20">
        <f t="shared" si="23"/>
        <v>0</v>
      </c>
      <c r="I106" s="20">
        <f t="shared" si="16"/>
        <v>0</v>
      </c>
      <c r="J106" s="20">
        <f t="shared" si="23"/>
        <v>1</v>
      </c>
      <c r="K106" s="20">
        <f t="shared" si="17"/>
        <v>0</v>
      </c>
      <c r="L106" s="20">
        <f t="shared" si="23"/>
        <v>0</v>
      </c>
      <c r="M106" s="20">
        <f t="shared" si="18"/>
        <v>0</v>
      </c>
      <c r="N106" s="20">
        <f>ABS(G106)</f>
        <v>0</v>
      </c>
      <c r="O106" s="20">
        <f>ABS(I106)</f>
        <v>0</v>
      </c>
      <c r="P106" s="20">
        <f>ABS(K106)</f>
        <v>0</v>
      </c>
      <c r="Q106" s="20">
        <f t="shared" si="13"/>
        <v>0</v>
      </c>
    </row>
    <row r="107" spans="4:17" x14ac:dyDescent="0.35">
      <c r="D107" s="20" t="str">
        <f t="shared" si="20"/>
        <v/>
      </c>
      <c r="E107" s="23" t="str">
        <f t="shared" si="21"/>
        <v/>
      </c>
      <c r="F107" s="20" t="str">
        <f t="shared" si="14"/>
        <v/>
      </c>
      <c r="G107" s="20">
        <f t="shared" si="15"/>
        <v>0</v>
      </c>
      <c r="H107" s="20">
        <f t="shared" si="23"/>
        <v>0</v>
      </c>
      <c r="I107" s="20">
        <f t="shared" si="16"/>
        <v>0</v>
      </c>
      <c r="J107" s="20">
        <f t="shared" si="23"/>
        <v>0</v>
      </c>
      <c r="K107" s="20">
        <f t="shared" si="17"/>
        <v>0</v>
      </c>
      <c r="L107" s="20">
        <f t="shared" si="23"/>
        <v>1</v>
      </c>
      <c r="M107" s="20">
        <f t="shared" si="18"/>
        <v>0</v>
      </c>
      <c r="N107" s="20">
        <f>ABS(G107)</f>
        <v>0</v>
      </c>
      <c r="O107" s="20">
        <f>ABS(I107)</f>
        <v>0</v>
      </c>
      <c r="P107" s="20">
        <f>ABS(K107)</f>
        <v>0</v>
      </c>
      <c r="Q107" s="20">
        <f t="shared" si="13"/>
        <v>0</v>
      </c>
    </row>
    <row r="108" spans="4:17" x14ac:dyDescent="0.35">
      <c r="D108" s="20" t="str">
        <f t="shared" si="20"/>
        <v/>
      </c>
      <c r="E108" s="23" t="str">
        <f t="shared" si="21"/>
        <v/>
      </c>
      <c r="F108" s="20" t="str">
        <f t="shared" si="14"/>
        <v/>
      </c>
      <c r="G108" s="20">
        <f t="shared" si="15"/>
        <v>0</v>
      </c>
      <c r="H108" s="20">
        <f t="shared" si="23"/>
        <v>1</v>
      </c>
      <c r="I108" s="20">
        <f t="shared" si="16"/>
        <v>0</v>
      </c>
      <c r="J108" s="20">
        <f t="shared" si="23"/>
        <v>0</v>
      </c>
      <c r="K108" s="20">
        <f t="shared" si="17"/>
        <v>0</v>
      </c>
      <c r="L108" s="20">
        <f t="shared" si="23"/>
        <v>0</v>
      </c>
      <c r="M108" s="20">
        <f t="shared" si="18"/>
        <v>0</v>
      </c>
      <c r="N108" s="20">
        <f>ABS(G108)</f>
        <v>0</v>
      </c>
      <c r="O108" s="20">
        <f>ABS(I108)</f>
        <v>0</v>
      </c>
      <c r="P108" s="20">
        <f>ABS(K108)</f>
        <v>0</v>
      </c>
      <c r="Q108" s="20">
        <f t="shared" si="13"/>
        <v>0</v>
      </c>
    </row>
    <row r="109" spans="4:17" x14ac:dyDescent="0.35">
      <c r="D109" s="20" t="str">
        <f t="shared" si="20"/>
        <v/>
      </c>
      <c r="E109" s="23" t="str">
        <f t="shared" si="21"/>
        <v/>
      </c>
      <c r="F109" s="20" t="str">
        <f t="shared" si="14"/>
        <v/>
      </c>
      <c r="G109" s="20">
        <f t="shared" si="15"/>
        <v>0</v>
      </c>
      <c r="H109" s="20">
        <f t="shared" si="23"/>
        <v>0</v>
      </c>
      <c r="I109" s="20">
        <f t="shared" si="16"/>
        <v>0</v>
      </c>
      <c r="J109" s="20">
        <f t="shared" si="23"/>
        <v>1</v>
      </c>
      <c r="K109" s="20">
        <f t="shared" si="17"/>
        <v>0</v>
      </c>
      <c r="L109" s="20">
        <f t="shared" si="23"/>
        <v>0</v>
      </c>
      <c r="M109" s="20">
        <f t="shared" si="18"/>
        <v>0</v>
      </c>
      <c r="N109" s="20">
        <f>ABS(G109)</f>
        <v>0</v>
      </c>
      <c r="O109" s="20">
        <f>ABS(I109)</f>
        <v>0</v>
      </c>
      <c r="P109" s="20">
        <f>ABS(K109)</f>
        <v>0</v>
      </c>
      <c r="Q109" s="20">
        <f t="shared" si="13"/>
        <v>0</v>
      </c>
    </row>
    <row r="110" spans="4:17" x14ac:dyDescent="0.35">
      <c r="D110" s="20" t="str">
        <f t="shared" si="20"/>
        <v/>
      </c>
      <c r="E110" s="23" t="str">
        <f t="shared" si="21"/>
        <v/>
      </c>
      <c r="F110" s="20" t="str">
        <f t="shared" si="14"/>
        <v/>
      </c>
      <c r="G110" s="20">
        <f t="shared" si="15"/>
        <v>0</v>
      </c>
      <c r="H110" s="20">
        <f t="shared" si="23"/>
        <v>0</v>
      </c>
      <c r="I110" s="20">
        <f t="shared" si="16"/>
        <v>0</v>
      </c>
      <c r="J110" s="20">
        <f t="shared" si="23"/>
        <v>0</v>
      </c>
      <c r="K110" s="20">
        <f t="shared" si="17"/>
        <v>0</v>
      </c>
      <c r="L110" s="20">
        <f t="shared" si="23"/>
        <v>1</v>
      </c>
      <c r="M110" s="20">
        <f t="shared" si="18"/>
        <v>0</v>
      </c>
      <c r="N110" s="20">
        <f>ABS(G110)</f>
        <v>0</v>
      </c>
      <c r="O110" s="20">
        <f>ABS(I110)</f>
        <v>0</v>
      </c>
      <c r="P110" s="20">
        <f>ABS(K110)</f>
        <v>0</v>
      </c>
      <c r="Q110" s="20">
        <f t="shared" si="13"/>
        <v>0</v>
      </c>
    </row>
    <row r="111" spans="4:17" x14ac:dyDescent="0.35">
      <c r="D111" s="20" t="str">
        <f t="shared" si="20"/>
        <v/>
      </c>
      <c r="E111" s="23" t="str">
        <f t="shared" si="21"/>
        <v/>
      </c>
      <c r="F111" s="20" t="str">
        <f t="shared" si="14"/>
        <v/>
      </c>
      <c r="G111" s="20">
        <f t="shared" si="15"/>
        <v>0</v>
      </c>
      <c r="H111" s="20">
        <f t="shared" si="23"/>
        <v>1</v>
      </c>
      <c r="I111" s="20">
        <f t="shared" si="16"/>
        <v>0</v>
      </c>
      <c r="J111" s="20">
        <f t="shared" si="23"/>
        <v>0</v>
      </c>
      <c r="K111" s="20">
        <f t="shared" si="17"/>
        <v>0</v>
      </c>
      <c r="L111" s="20">
        <f t="shared" si="23"/>
        <v>0</v>
      </c>
      <c r="M111" s="20">
        <f t="shared" si="18"/>
        <v>0</v>
      </c>
      <c r="N111" s="20">
        <f>ABS(G111)</f>
        <v>0</v>
      </c>
      <c r="O111" s="20">
        <f>ABS(I111)</f>
        <v>0</v>
      </c>
      <c r="P111" s="20">
        <f>ABS(K111)</f>
        <v>0</v>
      </c>
      <c r="Q111" s="20">
        <f t="shared" si="13"/>
        <v>0</v>
      </c>
    </row>
    <row r="112" spans="4:17" x14ac:dyDescent="0.35">
      <c r="D112" s="20" t="str">
        <f t="shared" si="20"/>
        <v/>
      </c>
      <c r="E112" s="23" t="str">
        <f t="shared" si="21"/>
        <v/>
      </c>
      <c r="F112" s="20" t="str">
        <f t="shared" si="14"/>
        <v/>
      </c>
      <c r="G112" s="20">
        <f t="shared" si="15"/>
        <v>0</v>
      </c>
      <c r="H112" s="20">
        <f t="shared" si="23"/>
        <v>0</v>
      </c>
      <c r="I112" s="20">
        <f t="shared" si="16"/>
        <v>0</v>
      </c>
      <c r="J112" s="20">
        <f t="shared" si="23"/>
        <v>1</v>
      </c>
      <c r="K112" s="20">
        <f t="shared" si="17"/>
        <v>0</v>
      </c>
      <c r="L112" s="20">
        <f t="shared" si="23"/>
        <v>0</v>
      </c>
      <c r="M112" s="20">
        <f t="shared" si="18"/>
        <v>0</v>
      </c>
      <c r="N112" s="20">
        <f>ABS(G112)</f>
        <v>0</v>
      </c>
      <c r="O112" s="20">
        <f>ABS(I112)</f>
        <v>0</v>
      </c>
      <c r="P112" s="20">
        <f>ABS(K112)</f>
        <v>0</v>
      </c>
      <c r="Q112" s="20">
        <f t="shared" si="13"/>
        <v>0</v>
      </c>
    </row>
    <row r="113" spans="4:17" x14ac:dyDescent="0.35">
      <c r="D113" s="20" t="str">
        <f t="shared" si="20"/>
        <v/>
      </c>
      <c r="E113" s="23" t="str">
        <f t="shared" si="21"/>
        <v/>
      </c>
      <c r="F113" s="20" t="str">
        <f t="shared" si="14"/>
        <v/>
      </c>
      <c r="G113" s="20">
        <f t="shared" si="15"/>
        <v>0</v>
      </c>
      <c r="H113" s="20">
        <f t="shared" si="23"/>
        <v>0</v>
      </c>
      <c r="I113" s="20">
        <f t="shared" si="16"/>
        <v>0</v>
      </c>
      <c r="J113" s="20">
        <f t="shared" si="23"/>
        <v>0</v>
      </c>
      <c r="K113" s="20">
        <f t="shared" si="17"/>
        <v>0</v>
      </c>
      <c r="L113" s="20">
        <f t="shared" si="23"/>
        <v>1</v>
      </c>
      <c r="M113" s="20">
        <f t="shared" si="18"/>
        <v>0</v>
      </c>
      <c r="N113" s="20">
        <f>ABS(G113)</f>
        <v>0</v>
      </c>
      <c r="O113" s="20">
        <f>ABS(I113)</f>
        <v>0</v>
      </c>
      <c r="P113" s="20">
        <f>ABS(K113)</f>
        <v>0</v>
      </c>
      <c r="Q113" s="20">
        <f t="shared" si="13"/>
        <v>0</v>
      </c>
    </row>
    <row r="114" spans="4:17" x14ac:dyDescent="0.35">
      <c r="D114" s="20" t="str">
        <f t="shared" si="20"/>
        <v/>
      </c>
      <c r="E114" s="23" t="str">
        <f t="shared" si="21"/>
        <v/>
      </c>
      <c r="F114" s="20" t="str">
        <f t="shared" si="14"/>
        <v/>
      </c>
      <c r="G114" s="20">
        <f t="shared" si="15"/>
        <v>0</v>
      </c>
      <c r="H114" s="20">
        <f t="shared" si="23"/>
        <v>1</v>
      </c>
      <c r="I114" s="20">
        <f t="shared" si="16"/>
        <v>0</v>
      </c>
      <c r="J114" s="20">
        <f t="shared" si="23"/>
        <v>0</v>
      </c>
      <c r="K114" s="20">
        <f t="shared" si="17"/>
        <v>0</v>
      </c>
      <c r="L114" s="20">
        <f t="shared" si="23"/>
        <v>0</v>
      </c>
      <c r="M114" s="20">
        <f t="shared" si="18"/>
        <v>0</v>
      </c>
      <c r="N114" s="20">
        <f>ABS(G114)</f>
        <v>0</v>
      </c>
      <c r="O114" s="20">
        <f>ABS(I114)</f>
        <v>0</v>
      </c>
      <c r="P114" s="20">
        <f>ABS(K114)</f>
        <v>0</v>
      </c>
      <c r="Q114" s="20">
        <f t="shared" si="13"/>
        <v>0</v>
      </c>
    </row>
    <row r="115" spans="4:17" x14ac:dyDescent="0.35">
      <c r="D115" s="20" t="str">
        <f t="shared" si="20"/>
        <v/>
      </c>
      <c r="E115" s="23" t="str">
        <f t="shared" si="21"/>
        <v/>
      </c>
      <c r="F115" s="20" t="str">
        <f t="shared" si="14"/>
        <v/>
      </c>
      <c r="G115" s="20">
        <f t="shared" si="15"/>
        <v>0</v>
      </c>
      <c r="H115" s="20">
        <f t="shared" si="23"/>
        <v>0</v>
      </c>
      <c r="I115" s="20">
        <f t="shared" si="16"/>
        <v>0</v>
      </c>
      <c r="J115" s="20">
        <f t="shared" si="23"/>
        <v>1</v>
      </c>
      <c r="K115" s="20">
        <f t="shared" si="17"/>
        <v>0</v>
      </c>
      <c r="L115" s="20">
        <f t="shared" si="23"/>
        <v>0</v>
      </c>
      <c r="M115" s="20">
        <f t="shared" si="18"/>
        <v>0</v>
      </c>
      <c r="N115" s="20">
        <f>ABS(G115)</f>
        <v>0</v>
      </c>
      <c r="O115" s="20">
        <f>ABS(I115)</f>
        <v>0</v>
      </c>
      <c r="P115" s="20">
        <f>ABS(K115)</f>
        <v>0</v>
      </c>
      <c r="Q115" s="20">
        <f t="shared" si="13"/>
        <v>0</v>
      </c>
    </row>
    <row r="116" spans="4:17" x14ac:dyDescent="0.35">
      <c r="D116" s="20" t="str">
        <f t="shared" si="20"/>
        <v/>
      </c>
      <c r="E116" s="23" t="str">
        <f t="shared" si="21"/>
        <v/>
      </c>
      <c r="F116" s="20" t="str">
        <f t="shared" si="14"/>
        <v/>
      </c>
      <c r="G116" s="20">
        <f t="shared" si="15"/>
        <v>0</v>
      </c>
      <c r="H116" s="20">
        <f t="shared" si="23"/>
        <v>0</v>
      </c>
      <c r="I116" s="20">
        <f t="shared" si="16"/>
        <v>0</v>
      </c>
      <c r="J116" s="20">
        <f t="shared" si="23"/>
        <v>0</v>
      </c>
      <c r="K116" s="20">
        <f t="shared" si="17"/>
        <v>0</v>
      </c>
      <c r="L116" s="20">
        <f t="shared" si="23"/>
        <v>1</v>
      </c>
      <c r="M116" s="20">
        <f t="shared" si="18"/>
        <v>0</v>
      </c>
      <c r="N116" s="20">
        <f>ABS(G116)</f>
        <v>0</v>
      </c>
      <c r="O116" s="20">
        <f>ABS(I116)</f>
        <v>0</v>
      </c>
      <c r="P116" s="20">
        <f>ABS(K116)</f>
        <v>0</v>
      </c>
      <c r="Q116" s="20">
        <f t="shared" si="13"/>
        <v>0</v>
      </c>
    </row>
    <row r="117" spans="4:17" x14ac:dyDescent="0.35">
      <c r="D117" s="20" t="str">
        <f t="shared" si="20"/>
        <v/>
      </c>
      <c r="E117" s="23" t="str">
        <f t="shared" si="21"/>
        <v/>
      </c>
      <c r="F117" s="20" t="str">
        <f t="shared" si="14"/>
        <v/>
      </c>
      <c r="G117" s="20">
        <f t="shared" si="15"/>
        <v>0</v>
      </c>
      <c r="H117" s="20">
        <f t="shared" si="23"/>
        <v>1</v>
      </c>
      <c r="I117" s="20">
        <f t="shared" si="16"/>
        <v>0</v>
      </c>
      <c r="J117" s="20">
        <f t="shared" si="23"/>
        <v>0</v>
      </c>
      <c r="K117" s="20">
        <f t="shared" si="17"/>
        <v>0</v>
      </c>
      <c r="L117" s="20">
        <f t="shared" si="23"/>
        <v>0</v>
      </c>
      <c r="M117" s="20">
        <f t="shared" si="18"/>
        <v>0</v>
      </c>
      <c r="N117" s="20">
        <f>ABS(G117)</f>
        <v>0</v>
      </c>
      <c r="O117" s="20">
        <f>ABS(I117)</f>
        <v>0</v>
      </c>
      <c r="P117" s="20">
        <f>ABS(K117)</f>
        <v>0</v>
      </c>
      <c r="Q117" s="20">
        <f t="shared" si="13"/>
        <v>0</v>
      </c>
    </row>
    <row r="118" spans="4:17" x14ac:dyDescent="0.35">
      <c r="D118" s="20" t="str">
        <f t="shared" si="20"/>
        <v/>
      </c>
      <c r="E118" s="23" t="str">
        <f t="shared" si="21"/>
        <v/>
      </c>
      <c r="F118" s="20" t="str">
        <f t="shared" si="14"/>
        <v/>
      </c>
      <c r="G118" s="20">
        <f t="shared" si="15"/>
        <v>0</v>
      </c>
      <c r="H118" s="20">
        <f t="shared" si="23"/>
        <v>0</v>
      </c>
      <c r="I118" s="20">
        <f t="shared" si="16"/>
        <v>0</v>
      </c>
      <c r="J118" s="20">
        <f t="shared" si="23"/>
        <v>1</v>
      </c>
      <c r="K118" s="20">
        <f t="shared" si="17"/>
        <v>0</v>
      </c>
      <c r="L118" s="20">
        <f t="shared" si="23"/>
        <v>0</v>
      </c>
      <c r="M118" s="20">
        <f t="shared" si="18"/>
        <v>0</v>
      </c>
      <c r="N118" s="20">
        <f>ABS(G118)</f>
        <v>0</v>
      </c>
      <c r="O118" s="20">
        <f>ABS(I118)</f>
        <v>0</v>
      </c>
      <c r="P118" s="20">
        <f>ABS(K118)</f>
        <v>0</v>
      </c>
      <c r="Q118" s="20">
        <f t="shared" si="13"/>
        <v>0</v>
      </c>
    </row>
    <row r="119" spans="4:17" x14ac:dyDescent="0.35">
      <c r="D119" s="20" t="str">
        <f t="shared" si="20"/>
        <v/>
      </c>
      <c r="E119" s="23" t="str">
        <f t="shared" si="21"/>
        <v/>
      </c>
      <c r="F119" s="20" t="str">
        <f t="shared" si="14"/>
        <v/>
      </c>
      <c r="G119" s="20">
        <f t="shared" si="15"/>
        <v>0</v>
      </c>
      <c r="H119" s="20">
        <f t="shared" ref="H119:L134" si="24">IF(H118+H117=0,1,0)</f>
        <v>0</v>
      </c>
      <c r="I119" s="20">
        <f t="shared" si="16"/>
        <v>0</v>
      </c>
      <c r="J119" s="20">
        <f t="shared" si="24"/>
        <v>0</v>
      </c>
      <c r="K119" s="20">
        <f t="shared" si="17"/>
        <v>0</v>
      </c>
      <c r="L119" s="20">
        <f t="shared" si="24"/>
        <v>1</v>
      </c>
      <c r="M119" s="20">
        <f t="shared" si="18"/>
        <v>0</v>
      </c>
      <c r="N119" s="20">
        <f>ABS(G119)</f>
        <v>0</v>
      </c>
      <c r="O119" s="20">
        <f>ABS(I119)</f>
        <v>0</v>
      </c>
      <c r="P119" s="20">
        <f>ABS(K119)</f>
        <v>0</v>
      </c>
      <c r="Q119" s="20">
        <f t="shared" si="13"/>
        <v>0</v>
      </c>
    </row>
    <row r="120" spans="4:17" x14ac:dyDescent="0.35">
      <c r="D120" s="20" t="str">
        <f t="shared" si="20"/>
        <v/>
      </c>
      <c r="E120" s="23" t="str">
        <f t="shared" si="21"/>
        <v/>
      </c>
      <c r="F120" s="20" t="str">
        <f t="shared" si="14"/>
        <v/>
      </c>
      <c r="G120" s="20">
        <f t="shared" si="15"/>
        <v>0</v>
      </c>
      <c r="H120" s="20">
        <f t="shared" si="24"/>
        <v>1</v>
      </c>
      <c r="I120" s="20">
        <f t="shared" si="16"/>
        <v>0</v>
      </c>
      <c r="J120" s="20">
        <f t="shared" si="24"/>
        <v>0</v>
      </c>
      <c r="K120" s="20">
        <f t="shared" si="17"/>
        <v>0</v>
      </c>
      <c r="L120" s="20">
        <f t="shared" si="24"/>
        <v>0</v>
      </c>
      <c r="M120" s="20">
        <f t="shared" si="18"/>
        <v>0</v>
      </c>
      <c r="N120" s="20">
        <f>ABS(G120)</f>
        <v>0</v>
      </c>
      <c r="O120" s="20">
        <f>ABS(I120)</f>
        <v>0</v>
      </c>
      <c r="P120" s="20">
        <f>ABS(K120)</f>
        <v>0</v>
      </c>
      <c r="Q120" s="20">
        <f t="shared" si="13"/>
        <v>0</v>
      </c>
    </row>
    <row r="121" spans="4:17" x14ac:dyDescent="0.35">
      <c r="D121" s="20" t="str">
        <f t="shared" si="20"/>
        <v/>
      </c>
      <c r="E121" s="23" t="str">
        <f t="shared" si="21"/>
        <v/>
      </c>
      <c r="F121" s="20" t="str">
        <f t="shared" si="14"/>
        <v/>
      </c>
      <c r="G121" s="20">
        <f t="shared" si="15"/>
        <v>0</v>
      </c>
      <c r="H121" s="20">
        <f t="shared" si="24"/>
        <v>0</v>
      </c>
      <c r="I121" s="20">
        <f t="shared" si="16"/>
        <v>0</v>
      </c>
      <c r="J121" s="20">
        <f t="shared" si="24"/>
        <v>1</v>
      </c>
      <c r="K121" s="20">
        <f t="shared" si="17"/>
        <v>0</v>
      </c>
      <c r="L121" s="20">
        <f t="shared" si="24"/>
        <v>0</v>
      </c>
      <c r="M121" s="20">
        <f t="shared" si="18"/>
        <v>0</v>
      </c>
      <c r="N121" s="20">
        <f>ABS(G121)</f>
        <v>0</v>
      </c>
      <c r="O121" s="20">
        <f>ABS(I121)</f>
        <v>0</v>
      </c>
      <c r="P121" s="20">
        <f>ABS(K121)</f>
        <v>0</v>
      </c>
      <c r="Q121" s="20">
        <f t="shared" si="13"/>
        <v>0</v>
      </c>
    </row>
    <row r="122" spans="4:17" x14ac:dyDescent="0.35">
      <c r="D122" s="20" t="str">
        <f t="shared" si="20"/>
        <v/>
      </c>
      <c r="E122" s="23" t="str">
        <f t="shared" si="21"/>
        <v/>
      </c>
      <c r="F122" s="20" t="str">
        <f t="shared" si="14"/>
        <v/>
      </c>
      <c r="G122" s="20">
        <f t="shared" si="15"/>
        <v>0</v>
      </c>
      <c r="H122" s="20">
        <f t="shared" si="24"/>
        <v>0</v>
      </c>
      <c r="I122" s="20">
        <f t="shared" si="16"/>
        <v>0</v>
      </c>
      <c r="J122" s="20">
        <f t="shared" si="24"/>
        <v>0</v>
      </c>
      <c r="K122" s="20">
        <f t="shared" si="17"/>
        <v>0</v>
      </c>
      <c r="L122" s="20">
        <f t="shared" si="24"/>
        <v>1</v>
      </c>
      <c r="M122" s="20">
        <f t="shared" si="18"/>
        <v>0</v>
      </c>
      <c r="N122" s="20">
        <f>ABS(G122)</f>
        <v>0</v>
      </c>
      <c r="O122" s="20">
        <f>ABS(I122)</f>
        <v>0</v>
      </c>
      <c r="P122" s="20">
        <f>ABS(K122)</f>
        <v>0</v>
      </c>
      <c r="Q122" s="20">
        <f t="shared" si="13"/>
        <v>0</v>
      </c>
    </row>
    <row r="123" spans="4:17" x14ac:dyDescent="0.35">
      <c r="D123" s="20" t="str">
        <f t="shared" si="20"/>
        <v/>
      </c>
      <c r="E123" s="23" t="str">
        <f t="shared" si="21"/>
        <v/>
      </c>
      <c r="F123" s="20" t="str">
        <f t="shared" si="14"/>
        <v/>
      </c>
      <c r="G123" s="20">
        <f t="shared" si="15"/>
        <v>0</v>
      </c>
      <c r="H123" s="20">
        <f t="shared" si="24"/>
        <v>1</v>
      </c>
      <c r="I123" s="20">
        <f t="shared" si="16"/>
        <v>0</v>
      </c>
      <c r="J123" s="20">
        <f t="shared" si="24"/>
        <v>0</v>
      </c>
      <c r="K123" s="20">
        <f t="shared" si="17"/>
        <v>0</v>
      </c>
      <c r="L123" s="20">
        <f t="shared" si="24"/>
        <v>0</v>
      </c>
      <c r="M123" s="20">
        <f t="shared" si="18"/>
        <v>0</v>
      </c>
      <c r="N123" s="20">
        <f>ABS(G123)</f>
        <v>0</v>
      </c>
      <c r="O123" s="20">
        <f>ABS(I123)</f>
        <v>0</v>
      </c>
      <c r="P123" s="20">
        <f>ABS(K123)</f>
        <v>0</v>
      </c>
      <c r="Q123" s="20">
        <f t="shared" si="13"/>
        <v>0</v>
      </c>
    </row>
    <row r="124" spans="4:17" x14ac:dyDescent="0.35">
      <c r="D124" s="20" t="str">
        <f t="shared" si="20"/>
        <v/>
      </c>
      <c r="E124" s="23" t="str">
        <f t="shared" si="21"/>
        <v/>
      </c>
      <c r="F124" s="20" t="str">
        <f t="shared" si="14"/>
        <v/>
      </c>
      <c r="G124" s="20">
        <f t="shared" si="15"/>
        <v>0</v>
      </c>
      <c r="H124" s="20">
        <f t="shared" si="24"/>
        <v>0</v>
      </c>
      <c r="I124" s="20">
        <f t="shared" si="16"/>
        <v>0</v>
      </c>
      <c r="J124" s="20">
        <f t="shared" si="24"/>
        <v>1</v>
      </c>
      <c r="K124" s="20">
        <f t="shared" si="17"/>
        <v>0</v>
      </c>
      <c r="L124" s="20">
        <f t="shared" si="24"/>
        <v>0</v>
      </c>
      <c r="M124" s="20">
        <f t="shared" si="18"/>
        <v>0</v>
      </c>
      <c r="N124" s="20">
        <f>ABS(G124)</f>
        <v>0</v>
      </c>
      <c r="O124" s="20">
        <f>ABS(I124)</f>
        <v>0</v>
      </c>
      <c r="P124" s="20">
        <f>ABS(K124)</f>
        <v>0</v>
      </c>
      <c r="Q124" s="20">
        <f t="shared" si="13"/>
        <v>0</v>
      </c>
    </row>
    <row r="125" spans="4:17" x14ac:dyDescent="0.35">
      <c r="D125" s="20" t="str">
        <f t="shared" si="20"/>
        <v/>
      </c>
      <c r="E125" s="23" t="str">
        <f t="shared" si="21"/>
        <v/>
      </c>
      <c r="F125" s="20" t="str">
        <f t="shared" si="14"/>
        <v/>
      </c>
      <c r="G125" s="20">
        <f t="shared" si="15"/>
        <v>0</v>
      </c>
      <c r="H125" s="20">
        <f t="shared" si="24"/>
        <v>0</v>
      </c>
      <c r="I125" s="20">
        <f t="shared" si="16"/>
        <v>0</v>
      </c>
      <c r="J125" s="20">
        <f t="shared" si="24"/>
        <v>0</v>
      </c>
      <c r="K125" s="20">
        <f t="shared" si="17"/>
        <v>0</v>
      </c>
      <c r="L125" s="20">
        <f t="shared" si="24"/>
        <v>1</v>
      </c>
      <c r="M125" s="20">
        <f t="shared" si="18"/>
        <v>0</v>
      </c>
      <c r="N125" s="20">
        <f>ABS(G125)</f>
        <v>0</v>
      </c>
      <c r="O125" s="20">
        <f>ABS(I125)</f>
        <v>0</v>
      </c>
      <c r="P125" s="20">
        <f>ABS(K125)</f>
        <v>0</v>
      </c>
      <c r="Q125" s="20">
        <f t="shared" si="13"/>
        <v>0</v>
      </c>
    </row>
    <row r="126" spans="4:17" x14ac:dyDescent="0.35">
      <c r="D126" s="20" t="str">
        <f t="shared" si="20"/>
        <v/>
      </c>
      <c r="E126" s="23" t="str">
        <f t="shared" si="21"/>
        <v/>
      </c>
      <c r="F126" s="20" t="str">
        <f t="shared" si="14"/>
        <v/>
      </c>
      <c r="G126" s="20">
        <f t="shared" si="15"/>
        <v>0</v>
      </c>
      <c r="H126" s="20">
        <f t="shared" si="24"/>
        <v>1</v>
      </c>
      <c r="I126" s="20">
        <f t="shared" si="16"/>
        <v>0</v>
      </c>
      <c r="J126" s="20">
        <f t="shared" si="24"/>
        <v>0</v>
      </c>
      <c r="K126" s="20">
        <f t="shared" si="17"/>
        <v>0</v>
      </c>
      <c r="L126" s="20">
        <f t="shared" si="24"/>
        <v>0</v>
      </c>
      <c r="M126" s="20">
        <f t="shared" si="18"/>
        <v>0</v>
      </c>
      <c r="N126" s="20">
        <f>ABS(G126)</f>
        <v>0</v>
      </c>
      <c r="O126" s="20">
        <f>ABS(I126)</f>
        <v>0</v>
      </c>
      <c r="P126" s="20">
        <f>ABS(K126)</f>
        <v>0</v>
      </c>
      <c r="Q126" s="20">
        <f t="shared" si="13"/>
        <v>0</v>
      </c>
    </row>
    <row r="127" spans="4:17" x14ac:dyDescent="0.35">
      <c r="D127" s="20" t="str">
        <f t="shared" si="20"/>
        <v/>
      </c>
      <c r="E127" s="23" t="str">
        <f t="shared" si="21"/>
        <v/>
      </c>
      <c r="F127" s="20" t="str">
        <f t="shared" si="14"/>
        <v/>
      </c>
      <c r="G127" s="20">
        <f t="shared" si="15"/>
        <v>0</v>
      </c>
      <c r="H127" s="20">
        <f t="shared" si="24"/>
        <v>0</v>
      </c>
      <c r="I127" s="20">
        <f t="shared" si="16"/>
        <v>0</v>
      </c>
      <c r="J127" s="20">
        <f t="shared" si="24"/>
        <v>1</v>
      </c>
      <c r="K127" s="20">
        <f t="shared" si="17"/>
        <v>0</v>
      </c>
      <c r="L127" s="20">
        <f t="shared" si="24"/>
        <v>0</v>
      </c>
      <c r="M127" s="20">
        <f t="shared" si="18"/>
        <v>0</v>
      </c>
      <c r="N127" s="20">
        <f>ABS(G127)</f>
        <v>0</v>
      </c>
      <c r="O127" s="20">
        <f>ABS(I127)</f>
        <v>0</v>
      </c>
      <c r="P127" s="20">
        <f>ABS(K127)</f>
        <v>0</v>
      </c>
      <c r="Q127" s="20">
        <f t="shared" si="13"/>
        <v>0</v>
      </c>
    </row>
    <row r="128" spans="4:17" x14ac:dyDescent="0.35">
      <c r="D128" s="20" t="str">
        <f t="shared" si="20"/>
        <v/>
      </c>
      <c r="E128" s="23" t="str">
        <f t="shared" si="21"/>
        <v/>
      </c>
      <c r="F128" s="20" t="str">
        <f t="shared" si="14"/>
        <v/>
      </c>
      <c r="G128" s="20">
        <f t="shared" si="15"/>
        <v>0</v>
      </c>
      <c r="H128" s="20">
        <f t="shared" si="24"/>
        <v>0</v>
      </c>
      <c r="I128" s="20">
        <f t="shared" si="16"/>
        <v>0</v>
      </c>
      <c r="J128" s="20">
        <f t="shared" si="24"/>
        <v>0</v>
      </c>
      <c r="K128" s="20">
        <f t="shared" si="17"/>
        <v>0</v>
      </c>
      <c r="L128" s="20">
        <f t="shared" si="24"/>
        <v>1</v>
      </c>
      <c r="M128" s="20">
        <f t="shared" si="18"/>
        <v>0</v>
      </c>
      <c r="N128" s="20">
        <f>ABS(G128)</f>
        <v>0</v>
      </c>
      <c r="O128" s="20">
        <f>ABS(I128)</f>
        <v>0</v>
      </c>
      <c r="P128" s="20">
        <f>ABS(K128)</f>
        <v>0</v>
      </c>
      <c r="Q128" s="20">
        <f t="shared" si="13"/>
        <v>0</v>
      </c>
    </row>
    <row r="129" spans="4:17" x14ac:dyDescent="0.35">
      <c r="D129" s="20" t="str">
        <f t="shared" si="20"/>
        <v/>
      </c>
      <c r="E129" s="23" t="str">
        <f t="shared" si="21"/>
        <v/>
      </c>
      <c r="F129" s="20" t="str">
        <f t="shared" si="14"/>
        <v/>
      </c>
      <c r="G129" s="20">
        <f t="shared" si="15"/>
        <v>0</v>
      </c>
      <c r="H129" s="20">
        <f t="shared" si="24"/>
        <v>1</v>
      </c>
      <c r="I129" s="20">
        <f t="shared" si="16"/>
        <v>0</v>
      </c>
      <c r="J129" s="20">
        <f t="shared" si="24"/>
        <v>0</v>
      </c>
      <c r="K129" s="20">
        <f t="shared" si="17"/>
        <v>0</v>
      </c>
      <c r="L129" s="20">
        <f t="shared" si="24"/>
        <v>0</v>
      </c>
      <c r="M129" s="20">
        <f t="shared" si="18"/>
        <v>0</v>
      </c>
      <c r="N129" s="20">
        <f>ABS(G129)</f>
        <v>0</v>
      </c>
      <c r="O129" s="20">
        <f>ABS(I129)</f>
        <v>0</v>
      </c>
      <c r="P129" s="20">
        <f>ABS(K129)</f>
        <v>0</v>
      </c>
      <c r="Q129" s="20">
        <f t="shared" si="13"/>
        <v>0</v>
      </c>
    </row>
    <row r="130" spans="4:17" x14ac:dyDescent="0.35">
      <c r="D130" s="20" t="str">
        <f t="shared" si="20"/>
        <v/>
      </c>
      <c r="E130" s="23" t="str">
        <f t="shared" si="21"/>
        <v/>
      </c>
      <c r="F130" s="20" t="str">
        <f t="shared" si="14"/>
        <v/>
      </c>
      <c r="G130" s="20">
        <f t="shared" si="15"/>
        <v>0</v>
      </c>
      <c r="H130" s="20">
        <f t="shared" si="24"/>
        <v>0</v>
      </c>
      <c r="I130" s="20">
        <f t="shared" si="16"/>
        <v>0</v>
      </c>
      <c r="J130" s="20">
        <f t="shared" si="24"/>
        <v>1</v>
      </c>
      <c r="K130" s="20">
        <f t="shared" si="17"/>
        <v>0</v>
      </c>
      <c r="L130" s="20">
        <f t="shared" si="24"/>
        <v>0</v>
      </c>
      <c r="M130" s="20">
        <f t="shared" si="18"/>
        <v>0</v>
      </c>
      <c r="N130" s="20">
        <f>ABS(G130)</f>
        <v>0</v>
      </c>
      <c r="O130" s="20">
        <f>ABS(I130)</f>
        <v>0</v>
      </c>
      <c r="P130" s="20">
        <f>ABS(K130)</f>
        <v>0</v>
      </c>
      <c r="Q130" s="20">
        <f t="shared" ref="Q130:Q193" si="25">ABS(M130)</f>
        <v>0</v>
      </c>
    </row>
    <row r="131" spans="4:17" x14ac:dyDescent="0.35">
      <c r="D131" s="20" t="str">
        <f t="shared" si="20"/>
        <v/>
      </c>
      <c r="E131" s="23" t="str">
        <f t="shared" si="21"/>
        <v/>
      </c>
      <c r="F131" s="20" t="str">
        <f t="shared" si="14"/>
        <v/>
      </c>
      <c r="G131" s="20">
        <f t="shared" si="15"/>
        <v>0</v>
      </c>
      <c r="H131" s="20">
        <f t="shared" si="24"/>
        <v>0</v>
      </c>
      <c r="I131" s="20">
        <f t="shared" si="16"/>
        <v>0</v>
      </c>
      <c r="J131" s="20">
        <f t="shared" si="24"/>
        <v>0</v>
      </c>
      <c r="K131" s="20">
        <f t="shared" si="17"/>
        <v>0</v>
      </c>
      <c r="L131" s="20">
        <f t="shared" si="24"/>
        <v>1</v>
      </c>
      <c r="M131" s="20">
        <f t="shared" si="18"/>
        <v>0</v>
      </c>
      <c r="N131" s="20">
        <f>ABS(G131)</f>
        <v>0</v>
      </c>
      <c r="O131" s="20">
        <f>ABS(I131)</f>
        <v>0</v>
      </c>
      <c r="P131" s="20">
        <f>ABS(K131)</f>
        <v>0</v>
      </c>
      <c r="Q131" s="20">
        <f t="shared" si="25"/>
        <v>0</v>
      </c>
    </row>
    <row r="132" spans="4:17" x14ac:dyDescent="0.35">
      <c r="D132" s="20" t="str">
        <f t="shared" si="20"/>
        <v/>
      </c>
      <c r="E132" s="23" t="str">
        <f t="shared" si="21"/>
        <v/>
      </c>
      <c r="F132" s="20" t="str">
        <f t="shared" ref="F132:F195" si="26">IF(D131&lt;=$B$5,((3*E132^2)-(4*E132)*(SIN(1.4*E132^3)^2))/((0.4*E132^2+1)^(1/4)),"")</f>
        <v/>
      </c>
      <c r="G132" s="20">
        <f t="shared" ref="G132:G195" si="27">IF(D132=$B$5+1,F132,0)</f>
        <v>0</v>
      </c>
      <c r="H132" s="20">
        <f t="shared" si="24"/>
        <v>1</v>
      </c>
      <c r="I132" s="20">
        <f t="shared" ref="I132:I195" si="28">IF(D131&lt;$B$5,F132*H132,0)</f>
        <v>0</v>
      </c>
      <c r="J132" s="20">
        <f t="shared" si="24"/>
        <v>0</v>
      </c>
      <c r="K132" s="20">
        <f t="shared" ref="K132:K195" si="29">IF(D131&lt;$B$5,F132*J132,0)</f>
        <v>0</v>
      </c>
      <c r="L132" s="20">
        <f t="shared" si="24"/>
        <v>0</v>
      </c>
      <c r="M132" s="20">
        <f t="shared" ref="M132:M195" si="30">IF(D131&lt;$B$5,F132*L132,0)</f>
        <v>0</v>
      </c>
      <c r="N132" s="20">
        <f>ABS(G132)</f>
        <v>0</v>
      </c>
      <c r="O132" s="20">
        <f>ABS(I132)</f>
        <v>0</v>
      </c>
      <c r="P132" s="20">
        <f>ABS(K132)</f>
        <v>0</v>
      </c>
      <c r="Q132" s="20">
        <f t="shared" si="25"/>
        <v>0</v>
      </c>
    </row>
    <row r="133" spans="4:17" x14ac:dyDescent="0.35">
      <c r="D133" s="20" t="str">
        <f t="shared" si="20"/>
        <v/>
      </c>
      <c r="E133" s="23" t="str">
        <f t="shared" si="21"/>
        <v/>
      </c>
      <c r="F133" s="20" t="str">
        <f t="shared" si="26"/>
        <v/>
      </c>
      <c r="G133" s="20">
        <f t="shared" si="27"/>
        <v>0</v>
      </c>
      <c r="H133" s="20">
        <f t="shared" si="24"/>
        <v>0</v>
      </c>
      <c r="I133" s="20">
        <f t="shared" si="28"/>
        <v>0</v>
      </c>
      <c r="J133" s="20">
        <f t="shared" si="24"/>
        <v>1</v>
      </c>
      <c r="K133" s="20">
        <f t="shared" si="29"/>
        <v>0</v>
      </c>
      <c r="L133" s="20">
        <f t="shared" si="24"/>
        <v>0</v>
      </c>
      <c r="M133" s="20">
        <f t="shared" si="30"/>
        <v>0</v>
      </c>
      <c r="N133" s="20">
        <f>ABS(G133)</f>
        <v>0</v>
      </c>
      <c r="O133" s="20">
        <f>ABS(I133)</f>
        <v>0</v>
      </c>
      <c r="P133" s="20">
        <f>ABS(K133)</f>
        <v>0</v>
      </c>
      <c r="Q133" s="20">
        <f t="shared" si="25"/>
        <v>0</v>
      </c>
    </row>
    <row r="134" spans="4:17" x14ac:dyDescent="0.35">
      <c r="D134" s="20" t="str">
        <f t="shared" si="20"/>
        <v/>
      </c>
      <c r="E134" s="23" t="str">
        <f t="shared" si="21"/>
        <v/>
      </c>
      <c r="F134" s="20" t="str">
        <f t="shared" si="26"/>
        <v/>
      </c>
      <c r="G134" s="20">
        <f t="shared" si="27"/>
        <v>0</v>
      </c>
      <c r="H134" s="20">
        <f t="shared" si="24"/>
        <v>0</v>
      </c>
      <c r="I134" s="20">
        <f t="shared" si="28"/>
        <v>0</v>
      </c>
      <c r="J134" s="20">
        <f t="shared" si="24"/>
        <v>0</v>
      </c>
      <c r="K134" s="20">
        <f t="shared" si="29"/>
        <v>0</v>
      </c>
      <c r="L134" s="20">
        <f t="shared" si="24"/>
        <v>1</v>
      </c>
      <c r="M134" s="20">
        <f t="shared" si="30"/>
        <v>0</v>
      </c>
      <c r="N134" s="20">
        <f>ABS(G134)</f>
        <v>0</v>
      </c>
      <c r="O134" s="20">
        <f>ABS(I134)</f>
        <v>0</v>
      </c>
      <c r="P134" s="20">
        <f>ABS(K134)</f>
        <v>0</v>
      </c>
      <c r="Q134" s="20">
        <f t="shared" si="25"/>
        <v>0</v>
      </c>
    </row>
    <row r="135" spans="4:17" x14ac:dyDescent="0.35">
      <c r="D135" s="20" t="str">
        <f t="shared" si="20"/>
        <v/>
      </c>
      <c r="E135" s="23" t="str">
        <f t="shared" si="21"/>
        <v/>
      </c>
      <c r="F135" s="20" t="str">
        <f t="shared" si="26"/>
        <v/>
      </c>
      <c r="G135" s="20">
        <f t="shared" si="27"/>
        <v>0</v>
      </c>
      <c r="H135" s="20">
        <f t="shared" ref="H135:L150" si="31">IF(H134+H133=0,1,0)</f>
        <v>1</v>
      </c>
      <c r="I135" s="20">
        <f t="shared" si="28"/>
        <v>0</v>
      </c>
      <c r="J135" s="20">
        <f t="shared" si="31"/>
        <v>0</v>
      </c>
      <c r="K135" s="20">
        <f t="shared" si="29"/>
        <v>0</v>
      </c>
      <c r="L135" s="20">
        <f t="shared" si="31"/>
        <v>0</v>
      </c>
      <c r="M135" s="20">
        <f t="shared" si="30"/>
        <v>0</v>
      </c>
      <c r="N135" s="20">
        <f>ABS(G135)</f>
        <v>0</v>
      </c>
      <c r="O135" s="20">
        <f>ABS(I135)</f>
        <v>0</v>
      </c>
      <c r="P135" s="20">
        <f>ABS(K135)</f>
        <v>0</v>
      </c>
      <c r="Q135" s="20">
        <f t="shared" si="25"/>
        <v>0</v>
      </c>
    </row>
    <row r="136" spans="4:17" x14ac:dyDescent="0.35">
      <c r="D136" s="20" t="str">
        <f t="shared" si="20"/>
        <v/>
      </c>
      <c r="E136" s="23" t="str">
        <f t="shared" si="21"/>
        <v/>
      </c>
      <c r="F136" s="20" t="str">
        <f t="shared" si="26"/>
        <v/>
      </c>
      <c r="G136" s="20">
        <f t="shared" si="27"/>
        <v>0</v>
      </c>
      <c r="H136" s="20">
        <f t="shared" si="31"/>
        <v>0</v>
      </c>
      <c r="I136" s="20">
        <f t="shared" si="28"/>
        <v>0</v>
      </c>
      <c r="J136" s="20">
        <f t="shared" si="31"/>
        <v>1</v>
      </c>
      <c r="K136" s="20">
        <f t="shared" si="29"/>
        <v>0</v>
      </c>
      <c r="L136" s="20">
        <f t="shared" si="31"/>
        <v>0</v>
      </c>
      <c r="M136" s="20">
        <f t="shared" si="30"/>
        <v>0</v>
      </c>
      <c r="N136" s="20">
        <f>ABS(G136)</f>
        <v>0</v>
      </c>
      <c r="O136" s="20">
        <f>ABS(I136)</f>
        <v>0</v>
      </c>
      <c r="P136" s="20">
        <f>ABS(K136)</f>
        <v>0</v>
      </c>
      <c r="Q136" s="20">
        <f t="shared" si="25"/>
        <v>0</v>
      </c>
    </row>
    <row r="137" spans="4:17" x14ac:dyDescent="0.35">
      <c r="D137" s="20" t="str">
        <f t="shared" si="20"/>
        <v/>
      </c>
      <c r="E137" s="23" t="str">
        <f t="shared" si="21"/>
        <v/>
      </c>
      <c r="F137" s="20" t="str">
        <f t="shared" si="26"/>
        <v/>
      </c>
      <c r="G137" s="20">
        <f t="shared" si="27"/>
        <v>0</v>
      </c>
      <c r="H137" s="20">
        <f t="shared" si="31"/>
        <v>0</v>
      </c>
      <c r="I137" s="20">
        <f t="shared" si="28"/>
        <v>0</v>
      </c>
      <c r="J137" s="20">
        <f t="shared" si="31"/>
        <v>0</v>
      </c>
      <c r="K137" s="20">
        <f t="shared" si="29"/>
        <v>0</v>
      </c>
      <c r="L137" s="20">
        <f t="shared" si="31"/>
        <v>1</v>
      </c>
      <c r="M137" s="20">
        <f t="shared" si="30"/>
        <v>0</v>
      </c>
      <c r="N137" s="20">
        <f>ABS(G137)</f>
        <v>0</v>
      </c>
      <c r="O137" s="20">
        <f>ABS(I137)</f>
        <v>0</v>
      </c>
      <c r="P137" s="20">
        <f>ABS(K137)</f>
        <v>0</v>
      </c>
      <c r="Q137" s="20">
        <f t="shared" si="25"/>
        <v>0</v>
      </c>
    </row>
    <row r="138" spans="4:17" x14ac:dyDescent="0.35">
      <c r="D138" s="20" t="str">
        <f t="shared" si="20"/>
        <v/>
      </c>
      <c r="E138" s="23" t="str">
        <f t="shared" si="21"/>
        <v/>
      </c>
      <c r="F138" s="20" t="str">
        <f t="shared" si="26"/>
        <v/>
      </c>
      <c r="G138" s="20">
        <f t="shared" si="27"/>
        <v>0</v>
      </c>
      <c r="H138" s="20">
        <f t="shared" si="31"/>
        <v>1</v>
      </c>
      <c r="I138" s="20">
        <f t="shared" si="28"/>
        <v>0</v>
      </c>
      <c r="J138" s="20">
        <f t="shared" si="31"/>
        <v>0</v>
      </c>
      <c r="K138" s="20">
        <f t="shared" si="29"/>
        <v>0</v>
      </c>
      <c r="L138" s="20">
        <f t="shared" si="31"/>
        <v>0</v>
      </c>
      <c r="M138" s="20">
        <f t="shared" si="30"/>
        <v>0</v>
      </c>
      <c r="N138" s="20">
        <f>ABS(G138)</f>
        <v>0</v>
      </c>
      <c r="O138" s="20">
        <f>ABS(I138)</f>
        <v>0</v>
      </c>
      <c r="P138" s="20">
        <f>ABS(K138)</f>
        <v>0</v>
      </c>
      <c r="Q138" s="20">
        <f t="shared" si="25"/>
        <v>0</v>
      </c>
    </row>
    <row r="139" spans="4:17" x14ac:dyDescent="0.35">
      <c r="D139" s="20" t="str">
        <f t="shared" si="20"/>
        <v/>
      </c>
      <c r="E139" s="23" t="str">
        <f t="shared" si="21"/>
        <v/>
      </c>
      <c r="F139" s="20" t="str">
        <f t="shared" si="26"/>
        <v/>
      </c>
      <c r="G139" s="20">
        <f t="shared" si="27"/>
        <v>0</v>
      </c>
      <c r="H139" s="20">
        <f t="shared" si="31"/>
        <v>0</v>
      </c>
      <c r="I139" s="20">
        <f t="shared" si="28"/>
        <v>0</v>
      </c>
      <c r="J139" s="20">
        <f t="shared" si="31"/>
        <v>1</v>
      </c>
      <c r="K139" s="20">
        <f t="shared" si="29"/>
        <v>0</v>
      </c>
      <c r="L139" s="20">
        <f t="shared" si="31"/>
        <v>0</v>
      </c>
      <c r="M139" s="20">
        <f t="shared" si="30"/>
        <v>0</v>
      </c>
      <c r="N139" s="20">
        <f>ABS(G139)</f>
        <v>0</v>
      </c>
      <c r="O139" s="20">
        <f>ABS(I139)</f>
        <v>0</v>
      </c>
      <c r="P139" s="20">
        <f>ABS(K139)</f>
        <v>0</v>
      </c>
      <c r="Q139" s="20">
        <f t="shared" si="25"/>
        <v>0</v>
      </c>
    </row>
    <row r="140" spans="4:17" x14ac:dyDescent="0.35">
      <c r="D140" s="20" t="str">
        <f t="shared" si="20"/>
        <v/>
      </c>
      <c r="E140" s="23" t="str">
        <f t="shared" si="21"/>
        <v/>
      </c>
      <c r="F140" s="20" t="str">
        <f t="shared" si="26"/>
        <v/>
      </c>
      <c r="G140" s="20">
        <f t="shared" si="27"/>
        <v>0</v>
      </c>
      <c r="H140" s="20">
        <f t="shared" si="31"/>
        <v>0</v>
      </c>
      <c r="I140" s="20">
        <f t="shared" si="28"/>
        <v>0</v>
      </c>
      <c r="J140" s="20">
        <f t="shared" si="31"/>
        <v>0</v>
      </c>
      <c r="K140" s="20">
        <f t="shared" si="29"/>
        <v>0</v>
      </c>
      <c r="L140" s="20">
        <f t="shared" si="31"/>
        <v>1</v>
      </c>
      <c r="M140" s="20">
        <f t="shared" si="30"/>
        <v>0</v>
      </c>
      <c r="N140" s="20">
        <f>ABS(G140)</f>
        <v>0</v>
      </c>
      <c r="O140" s="20">
        <f>ABS(I140)</f>
        <v>0</v>
      </c>
      <c r="P140" s="20">
        <f>ABS(K140)</f>
        <v>0</v>
      </c>
      <c r="Q140" s="20">
        <f t="shared" si="25"/>
        <v>0</v>
      </c>
    </row>
    <row r="141" spans="4:17" x14ac:dyDescent="0.35">
      <c r="D141" s="20" t="str">
        <f t="shared" si="20"/>
        <v/>
      </c>
      <c r="E141" s="23" t="str">
        <f t="shared" si="21"/>
        <v/>
      </c>
      <c r="F141" s="20" t="str">
        <f t="shared" si="26"/>
        <v/>
      </c>
      <c r="G141" s="20">
        <f t="shared" si="27"/>
        <v>0</v>
      </c>
      <c r="H141" s="20">
        <f t="shared" si="31"/>
        <v>1</v>
      </c>
      <c r="I141" s="20">
        <f t="shared" si="28"/>
        <v>0</v>
      </c>
      <c r="J141" s="20">
        <f t="shared" si="31"/>
        <v>0</v>
      </c>
      <c r="K141" s="20">
        <f t="shared" si="29"/>
        <v>0</v>
      </c>
      <c r="L141" s="20">
        <f t="shared" si="31"/>
        <v>0</v>
      </c>
      <c r="M141" s="20">
        <f t="shared" si="30"/>
        <v>0</v>
      </c>
      <c r="N141" s="20">
        <f>ABS(G141)</f>
        <v>0</v>
      </c>
      <c r="O141" s="20">
        <f>ABS(I141)</f>
        <v>0</v>
      </c>
      <c r="P141" s="20">
        <f>ABS(K141)</f>
        <v>0</v>
      </c>
      <c r="Q141" s="20">
        <f t="shared" si="25"/>
        <v>0</v>
      </c>
    </row>
    <row r="142" spans="4:17" x14ac:dyDescent="0.35">
      <c r="D142" s="20" t="str">
        <f t="shared" si="20"/>
        <v/>
      </c>
      <c r="E142" s="23" t="str">
        <f t="shared" si="21"/>
        <v/>
      </c>
      <c r="F142" s="20" t="str">
        <f t="shared" si="26"/>
        <v/>
      </c>
      <c r="G142" s="20">
        <f t="shared" si="27"/>
        <v>0</v>
      </c>
      <c r="H142" s="20">
        <f t="shared" si="31"/>
        <v>0</v>
      </c>
      <c r="I142" s="20">
        <f t="shared" si="28"/>
        <v>0</v>
      </c>
      <c r="J142" s="20">
        <f t="shared" si="31"/>
        <v>1</v>
      </c>
      <c r="K142" s="20">
        <f t="shared" si="29"/>
        <v>0</v>
      </c>
      <c r="L142" s="20">
        <f t="shared" si="31"/>
        <v>0</v>
      </c>
      <c r="M142" s="20">
        <f t="shared" si="30"/>
        <v>0</v>
      </c>
      <c r="N142" s="20">
        <f>ABS(G142)</f>
        <v>0</v>
      </c>
      <c r="O142" s="20">
        <f>ABS(I142)</f>
        <v>0</v>
      </c>
      <c r="P142" s="20">
        <f>ABS(K142)</f>
        <v>0</v>
      </c>
      <c r="Q142" s="20">
        <f t="shared" si="25"/>
        <v>0</v>
      </c>
    </row>
    <row r="143" spans="4:17" x14ac:dyDescent="0.35">
      <c r="D143" s="20" t="str">
        <f t="shared" si="20"/>
        <v/>
      </c>
      <c r="E143" s="23" t="str">
        <f t="shared" si="21"/>
        <v/>
      </c>
      <c r="F143" s="20" t="str">
        <f t="shared" si="26"/>
        <v/>
      </c>
      <c r="G143" s="20">
        <f t="shared" si="27"/>
        <v>0</v>
      </c>
      <c r="H143" s="20">
        <f t="shared" si="31"/>
        <v>0</v>
      </c>
      <c r="I143" s="20">
        <f t="shared" si="28"/>
        <v>0</v>
      </c>
      <c r="J143" s="20">
        <f t="shared" si="31"/>
        <v>0</v>
      </c>
      <c r="K143" s="20">
        <f t="shared" si="29"/>
        <v>0</v>
      </c>
      <c r="L143" s="20">
        <f t="shared" si="31"/>
        <v>1</v>
      </c>
      <c r="M143" s="20">
        <f t="shared" si="30"/>
        <v>0</v>
      </c>
      <c r="N143" s="20">
        <f>ABS(G143)</f>
        <v>0</v>
      </c>
      <c r="O143" s="20">
        <f>ABS(I143)</f>
        <v>0</v>
      </c>
      <c r="P143" s="20">
        <f>ABS(K143)</f>
        <v>0</v>
      </c>
      <c r="Q143" s="20">
        <f t="shared" si="25"/>
        <v>0</v>
      </c>
    </row>
    <row r="144" spans="4:17" x14ac:dyDescent="0.35">
      <c r="D144" s="20" t="str">
        <f t="shared" si="20"/>
        <v/>
      </c>
      <c r="E144" s="23" t="str">
        <f t="shared" si="21"/>
        <v/>
      </c>
      <c r="F144" s="20" t="str">
        <f t="shared" si="26"/>
        <v/>
      </c>
      <c r="G144" s="20">
        <f t="shared" si="27"/>
        <v>0</v>
      </c>
      <c r="H144" s="20">
        <f t="shared" si="31"/>
        <v>1</v>
      </c>
      <c r="I144" s="20">
        <f t="shared" si="28"/>
        <v>0</v>
      </c>
      <c r="J144" s="20">
        <f t="shared" si="31"/>
        <v>0</v>
      </c>
      <c r="K144" s="20">
        <f t="shared" si="29"/>
        <v>0</v>
      </c>
      <c r="L144" s="20">
        <f t="shared" si="31"/>
        <v>0</v>
      </c>
      <c r="M144" s="20">
        <f t="shared" si="30"/>
        <v>0</v>
      </c>
      <c r="N144" s="20">
        <f>ABS(G144)</f>
        <v>0</v>
      </c>
      <c r="O144" s="20">
        <f>ABS(I144)</f>
        <v>0</v>
      </c>
      <c r="P144" s="20">
        <f>ABS(K144)</f>
        <v>0</v>
      </c>
      <c r="Q144" s="20">
        <f t="shared" si="25"/>
        <v>0</v>
      </c>
    </row>
    <row r="145" spans="4:17" x14ac:dyDescent="0.35">
      <c r="D145" s="20" t="str">
        <f t="shared" si="20"/>
        <v/>
      </c>
      <c r="E145" s="23" t="str">
        <f t="shared" si="21"/>
        <v/>
      </c>
      <c r="F145" s="20" t="str">
        <f t="shared" si="26"/>
        <v/>
      </c>
      <c r="G145" s="20">
        <f t="shared" si="27"/>
        <v>0</v>
      </c>
      <c r="H145" s="20">
        <f t="shared" si="31"/>
        <v>0</v>
      </c>
      <c r="I145" s="20">
        <f t="shared" si="28"/>
        <v>0</v>
      </c>
      <c r="J145" s="20">
        <f t="shared" si="31"/>
        <v>1</v>
      </c>
      <c r="K145" s="20">
        <f t="shared" si="29"/>
        <v>0</v>
      </c>
      <c r="L145" s="20">
        <f t="shared" si="31"/>
        <v>0</v>
      </c>
      <c r="M145" s="20">
        <f t="shared" si="30"/>
        <v>0</v>
      </c>
      <c r="N145" s="20">
        <f>ABS(G145)</f>
        <v>0</v>
      </c>
      <c r="O145" s="20">
        <f>ABS(I145)</f>
        <v>0</v>
      </c>
      <c r="P145" s="20">
        <f>ABS(K145)</f>
        <v>0</v>
      </c>
      <c r="Q145" s="20">
        <f t="shared" si="25"/>
        <v>0</v>
      </c>
    </row>
    <row r="146" spans="4:17" x14ac:dyDescent="0.35">
      <c r="D146" s="20" t="str">
        <f t="shared" si="20"/>
        <v/>
      </c>
      <c r="E146" s="23" t="str">
        <f t="shared" si="21"/>
        <v/>
      </c>
      <c r="F146" s="20" t="str">
        <f t="shared" si="26"/>
        <v/>
      </c>
      <c r="G146" s="20">
        <f t="shared" si="27"/>
        <v>0</v>
      </c>
      <c r="H146" s="20">
        <f t="shared" si="31"/>
        <v>0</v>
      </c>
      <c r="I146" s="20">
        <f t="shared" si="28"/>
        <v>0</v>
      </c>
      <c r="J146" s="20">
        <f t="shared" si="31"/>
        <v>0</v>
      </c>
      <c r="K146" s="20">
        <f t="shared" si="29"/>
        <v>0</v>
      </c>
      <c r="L146" s="20">
        <f t="shared" si="31"/>
        <v>1</v>
      </c>
      <c r="M146" s="20">
        <f t="shared" si="30"/>
        <v>0</v>
      </c>
      <c r="N146" s="20">
        <f>ABS(G146)</f>
        <v>0</v>
      </c>
      <c r="O146" s="20">
        <f>ABS(I146)</f>
        <v>0</v>
      </c>
      <c r="P146" s="20">
        <f>ABS(K146)</f>
        <v>0</v>
      </c>
      <c r="Q146" s="20">
        <f t="shared" si="25"/>
        <v>0</v>
      </c>
    </row>
    <row r="147" spans="4:17" x14ac:dyDescent="0.35">
      <c r="D147" s="20" t="str">
        <f t="shared" si="20"/>
        <v/>
      </c>
      <c r="E147" s="23" t="str">
        <f t="shared" si="21"/>
        <v/>
      </c>
      <c r="F147" s="20" t="str">
        <f t="shared" si="26"/>
        <v/>
      </c>
      <c r="G147" s="20">
        <f t="shared" si="27"/>
        <v>0</v>
      </c>
      <c r="H147" s="20">
        <f t="shared" si="31"/>
        <v>1</v>
      </c>
      <c r="I147" s="20">
        <f t="shared" si="28"/>
        <v>0</v>
      </c>
      <c r="J147" s="20">
        <f t="shared" si="31"/>
        <v>0</v>
      </c>
      <c r="K147" s="20">
        <f t="shared" si="29"/>
        <v>0</v>
      </c>
      <c r="L147" s="20">
        <f t="shared" si="31"/>
        <v>0</v>
      </c>
      <c r="M147" s="20">
        <f t="shared" si="30"/>
        <v>0</v>
      </c>
      <c r="N147" s="20">
        <f>ABS(G147)</f>
        <v>0</v>
      </c>
      <c r="O147" s="20">
        <f>ABS(I147)</f>
        <v>0</v>
      </c>
      <c r="P147" s="20">
        <f>ABS(K147)</f>
        <v>0</v>
      </c>
      <c r="Q147" s="20">
        <f t="shared" si="25"/>
        <v>0</v>
      </c>
    </row>
    <row r="148" spans="4:17" x14ac:dyDescent="0.35">
      <c r="D148" s="20" t="str">
        <f t="shared" si="20"/>
        <v/>
      </c>
      <c r="E148" s="23" t="str">
        <f t="shared" si="21"/>
        <v/>
      </c>
      <c r="F148" s="20" t="str">
        <f t="shared" si="26"/>
        <v/>
      </c>
      <c r="G148" s="20">
        <f t="shared" si="27"/>
        <v>0</v>
      </c>
      <c r="H148" s="20">
        <f t="shared" si="31"/>
        <v>0</v>
      </c>
      <c r="I148" s="20">
        <f t="shared" si="28"/>
        <v>0</v>
      </c>
      <c r="J148" s="20">
        <f t="shared" si="31"/>
        <v>1</v>
      </c>
      <c r="K148" s="20">
        <f t="shared" si="29"/>
        <v>0</v>
      </c>
      <c r="L148" s="20">
        <f t="shared" si="31"/>
        <v>0</v>
      </c>
      <c r="M148" s="20">
        <f t="shared" si="30"/>
        <v>0</v>
      </c>
      <c r="N148" s="20">
        <f>ABS(G148)</f>
        <v>0</v>
      </c>
      <c r="O148" s="20">
        <f>ABS(I148)</f>
        <v>0</v>
      </c>
      <c r="P148" s="20">
        <f>ABS(K148)</f>
        <v>0</v>
      </c>
      <c r="Q148" s="20">
        <f t="shared" si="25"/>
        <v>0</v>
      </c>
    </row>
    <row r="149" spans="4:17" x14ac:dyDescent="0.35">
      <c r="D149" s="20" t="str">
        <f t="shared" si="20"/>
        <v/>
      </c>
      <c r="E149" s="23" t="str">
        <f t="shared" si="21"/>
        <v/>
      </c>
      <c r="F149" s="20" t="str">
        <f t="shared" si="26"/>
        <v/>
      </c>
      <c r="G149" s="20">
        <f t="shared" si="27"/>
        <v>0</v>
      </c>
      <c r="H149" s="20">
        <f t="shared" si="31"/>
        <v>0</v>
      </c>
      <c r="I149" s="20">
        <f t="shared" si="28"/>
        <v>0</v>
      </c>
      <c r="J149" s="20">
        <f t="shared" si="31"/>
        <v>0</v>
      </c>
      <c r="K149" s="20">
        <f t="shared" si="29"/>
        <v>0</v>
      </c>
      <c r="L149" s="20">
        <f t="shared" si="31"/>
        <v>1</v>
      </c>
      <c r="M149" s="20">
        <f t="shared" si="30"/>
        <v>0</v>
      </c>
      <c r="N149" s="20">
        <f>ABS(G149)</f>
        <v>0</v>
      </c>
      <c r="O149" s="20">
        <f>ABS(I149)</f>
        <v>0</v>
      </c>
      <c r="P149" s="20">
        <f>ABS(K149)</f>
        <v>0</v>
      </c>
      <c r="Q149" s="20">
        <f t="shared" si="25"/>
        <v>0</v>
      </c>
    </row>
    <row r="150" spans="4:17" x14ac:dyDescent="0.35">
      <c r="D150" s="20" t="str">
        <f t="shared" si="20"/>
        <v/>
      </c>
      <c r="E150" s="23" t="str">
        <f t="shared" si="21"/>
        <v/>
      </c>
      <c r="F150" s="20" t="str">
        <f t="shared" si="26"/>
        <v/>
      </c>
      <c r="G150" s="20">
        <f t="shared" si="27"/>
        <v>0</v>
      </c>
      <c r="H150" s="20">
        <f t="shared" si="31"/>
        <v>1</v>
      </c>
      <c r="I150" s="20">
        <f t="shared" si="28"/>
        <v>0</v>
      </c>
      <c r="J150" s="20">
        <f t="shared" si="31"/>
        <v>0</v>
      </c>
      <c r="K150" s="20">
        <f t="shared" si="29"/>
        <v>0</v>
      </c>
      <c r="L150" s="20">
        <f t="shared" si="31"/>
        <v>0</v>
      </c>
      <c r="M150" s="20">
        <f t="shared" si="30"/>
        <v>0</v>
      </c>
      <c r="N150" s="20">
        <f>ABS(G150)</f>
        <v>0</v>
      </c>
      <c r="O150" s="20">
        <f>ABS(I150)</f>
        <v>0</v>
      </c>
      <c r="P150" s="20">
        <f>ABS(K150)</f>
        <v>0</v>
      </c>
      <c r="Q150" s="20">
        <f t="shared" si="25"/>
        <v>0</v>
      </c>
    </row>
    <row r="151" spans="4:17" x14ac:dyDescent="0.35">
      <c r="D151" s="20" t="str">
        <f t="shared" ref="D151:D214" si="32">IF(D150&lt;=$B$5,D150+1,"")</f>
        <v/>
      </c>
      <c r="E151" s="23" t="str">
        <f t="shared" ref="E151:E214" si="33">IF(D150&lt;=$B$5,E150+$B$6,"")</f>
        <v/>
      </c>
      <c r="F151" s="20" t="str">
        <f t="shared" si="26"/>
        <v/>
      </c>
      <c r="G151" s="20">
        <f t="shared" si="27"/>
        <v>0</v>
      </c>
      <c r="H151" s="20">
        <f t="shared" ref="H151:L166" si="34">IF(H150+H149=0,1,0)</f>
        <v>0</v>
      </c>
      <c r="I151" s="20">
        <f t="shared" si="28"/>
        <v>0</v>
      </c>
      <c r="J151" s="20">
        <f t="shared" si="34"/>
        <v>1</v>
      </c>
      <c r="K151" s="20">
        <f t="shared" si="29"/>
        <v>0</v>
      </c>
      <c r="L151" s="20">
        <f t="shared" si="34"/>
        <v>0</v>
      </c>
      <c r="M151" s="20">
        <f t="shared" si="30"/>
        <v>0</v>
      </c>
      <c r="N151" s="20">
        <f>ABS(G151)</f>
        <v>0</v>
      </c>
      <c r="O151" s="20">
        <f>ABS(I151)</f>
        <v>0</v>
      </c>
      <c r="P151" s="20">
        <f>ABS(K151)</f>
        <v>0</v>
      </c>
      <c r="Q151" s="20">
        <f t="shared" si="25"/>
        <v>0</v>
      </c>
    </row>
    <row r="152" spans="4:17" x14ac:dyDescent="0.35">
      <c r="D152" s="20" t="str">
        <f t="shared" si="32"/>
        <v/>
      </c>
      <c r="E152" s="23" t="str">
        <f t="shared" si="33"/>
        <v/>
      </c>
      <c r="F152" s="20" t="str">
        <f t="shared" si="26"/>
        <v/>
      </c>
      <c r="G152" s="20">
        <f t="shared" si="27"/>
        <v>0</v>
      </c>
      <c r="H152" s="20">
        <f t="shared" si="34"/>
        <v>0</v>
      </c>
      <c r="I152" s="20">
        <f t="shared" si="28"/>
        <v>0</v>
      </c>
      <c r="J152" s="20">
        <f t="shared" si="34"/>
        <v>0</v>
      </c>
      <c r="K152" s="20">
        <f t="shared" si="29"/>
        <v>0</v>
      </c>
      <c r="L152" s="20">
        <f t="shared" si="34"/>
        <v>1</v>
      </c>
      <c r="M152" s="20">
        <f t="shared" si="30"/>
        <v>0</v>
      </c>
      <c r="N152" s="20">
        <f>ABS(G152)</f>
        <v>0</v>
      </c>
      <c r="O152" s="20">
        <f>ABS(I152)</f>
        <v>0</v>
      </c>
      <c r="P152" s="20">
        <f>ABS(K152)</f>
        <v>0</v>
      </c>
      <c r="Q152" s="20">
        <f t="shared" si="25"/>
        <v>0</v>
      </c>
    </row>
    <row r="153" spans="4:17" x14ac:dyDescent="0.35">
      <c r="D153" s="20" t="str">
        <f t="shared" si="32"/>
        <v/>
      </c>
      <c r="E153" s="23" t="str">
        <f t="shared" si="33"/>
        <v/>
      </c>
      <c r="F153" s="20" t="str">
        <f t="shared" si="26"/>
        <v/>
      </c>
      <c r="G153" s="20">
        <f t="shared" si="27"/>
        <v>0</v>
      </c>
      <c r="H153" s="20">
        <f t="shared" si="34"/>
        <v>1</v>
      </c>
      <c r="I153" s="20">
        <f t="shared" si="28"/>
        <v>0</v>
      </c>
      <c r="J153" s="20">
        <f t="shared" si="34"/>
        <v>0</v>
      </c>
      <c r="K153" s="20">
        <f t="shared" si="29"/>
        <v>0</v>
      </c>
      <c r="L153" s="20">
        <f t="shared" si="34"/>
        <v>0</v>
      </c>
      <c r="M153" s="20">
        <f t="shared" si="30"/>
        <v>0</v>
      </c>
      <c r="N153" s="20">
        <f>ABS(G153)</f>
        <v>0</v>
      </c>
      <c r="O153" s="20">
        <f>ABS(I153)</f>
        <v>0</v>
      </c>
      <c r="P153" s="20">
        <f>ABS(K153)</f>
        <v>0</v>
      </c>
      <c r="Q153" s="20">
        <f t="shared" si="25"/>
        <v>0</v>
      </c>
    </row>
    <row r="154" spans="4:17" x14ac:dyDescent="0.35">
      <c r="D154" s="20" t="str">
        <f t="shared" si="32"/>
        <v/>
      </c>
      <c r="E154" s="23" t="str">
        <f t="shared" si="33"/>
        <v/>
      </c>
      <c r="F154" s="20" t="str">
        <f t="shared" si="26"/>
        <v/>
      </c>
      <c r="G154" s="20">
        <f t="shared" si="27"/>
        <v>0</v>
      </c>
      <c r="H154" s="20">
        <f t="shared" si="34"/>
        <v>0</v>
      </c>
      <c r="I154" s="20">
        <f t="shared" si="28"/>
        <v>0</v>
      </c>
      <c r="J154" s="20">
        <f t="shared" si="34"/>
        <v>1</v>
      </c>
      <c r="K154" s="20">
        <f t="shared" si="29"/>
        <v>0</v>
      </c>
      <c r="L154" s="20">
        <f t="shared" si="34"/>
        <v>0</v>
      </c>
      <c r="M154" s="20">
        <f t="shared" si="30"/>
        <v>0</v>
      </c>
      <c r="N154" s="20">
        <f>ABS(G154)</f>
        <v>0</v>
      </c>
      <c r="O154" s="20">
        <f>ABS(I154)</f>
        <v>0</v>
      </c>
      <c r="P154" s="20">
        <f>ABS(K154)</f>
        <v>0</v>
      </c>
      <c r="Q154" s="20">
        <f t="shared" si="25"/>
        <v>0</v>
      </c>
    </row>
    <row r="155" spans="4:17" x14ac:dyDescent="0.35">
      <c r="D155" s="20" t="str">
        <f t="shared" si="32"/>
        <v/>
      </c>
      <c r="E155" s="23" t="str">
        <f t="shared" si="33"/>
        <v/>
      </c>
      <c r="F155" s="20" t="str">
        <f t="shared" si="26"/>
        <v/>
      </c>
      <c r="G155" s="20">
        <f t="shared" si="27"/>
        <v>0</v>
      </c>
      <c r="H155" s="20">
        <f t="shared" si="34"/>
        <v>0</v>
      </c>
      <c r="I155" s="20">
        <f t="shared" si="28"/>
        <v>0</v>
      </c>
      <c r="J155" s="20">
        <f t="shared" si="34"/>
        <v>0</v>
      </c>
      <c r="K155" s="20">
        <f t="shared" si="29"/>
        <v>0</v>
      </c>
      <c r="L155" s="20">
        <f t="shared" si="34"/>
        <v>1</v>
      </c>
      <c r="M155" s="20">
        <f t="shared" si="30"/>
        <v>0</v>
      </c>
      <c r="N155" s="20">
        <f>ABS(G155)</f>
        <v>0</v>
      </c>
      <c r="O155" s="20">
        <f>ABS(I155)</f>
        <v>0</v>
      </c>
      <c r="P155" s="20">
        <f>ABS(K155)</f>
        <v>0</v>
      </c>
      <c r="Q155" s="20">
        <f t="shared" si="25"/>
        <v>0</v>
      </c>
    </row>
    <row r="156" spans="4:17" x14ac:dyDescent="0.35">
      <c r="D156" s="20" t="str">
        <f t="shared" si="32"/>
        <v/>
      </c>
      <c r="E156" s="23" t="str">
        <f t="shared" si="33"/>
        <v/>
      </c>
      <c r="F156" s="20" t="str">
        <f t="shared" si="26"/>
        <v/>
      </c>
      <c r="G156" s="20">
        <f t="shared" si="27"/>
        <v>0</v>
      </c>
      <c r="H156" s="20">
        <f t="shared" si="34"/>
        <v>1</v>
      </c>
      <c r="I156" s="20">
        <f t="shared" si="28"/>
        <v>0</v>
      </c>
      <c r="J156" s="20">
        <f t="shared" si="34"/>
        <v>0</v>
      </c>
      <c r="K156" s="20">
        <f t="shared" si="29"/>
        <v>0</v>
      </c>
      <c r="L156" s="20">
        <f t="shared" si="34"/>
        <v>0</v>
      </c>
      <c r="M156" s="20">
        <f t="shared" si="30"/>
        <v>0</v>
      </c>
      <c r="N156" s="20">
        <f>ABS(G156)</f>
        <v>0</v>
      </c>
      <c r="O156" s="20">
        <f>ABS(I156)</f>
        <v>0</v>
      </c>
      <c r="P156" s="20">
        <f>ABS(K156)</f>
        <v>0</v>
      </c>
      <c r="Q156" s="20">
        <f t="shared" si="25"/>
        <v>0</v>
      </c>
    </row>
    <row r="157" spans="4:17" x14ac:dyDescent="0.35">
      <c r="D157" s="20" t="str">
        <f t="shared" si="32"/>
        <v/>
      </c>
      <c r="E157" s="23" t="str">
        <f t="shared" si="33"/>
        <v/>
      </c>
      <c r="F157" s="20" t="str">
        <f t="shared" si="26"/>
        <v/>
      </c>
      <c r="G157" s="20">
        <f t="shared" si="27"/>
        <v>0</v>
      </c>
      <c r="H157" s="20">
        <f t="shared" si="34"/>
        <v>0</v>
      </c>
      <c r="I157" s="20">
        <f t="shared" si="28"/>
        <v>0</v>
      </c>
      <c r="J157" s="20">
        <f t="shared" si="34"/>
        <v>1</v>
      </c>
      <c r="K157" s="20">
        <f t="shared" si="29"/>
        <v>0</v>
      </c>
      <c r="L157" s="20">
        <f t="shared" si="34"/>
        <v>0</v>
      </c>
      <c r="M157" s="20">
        <f t="shared" si="30"/>
        <v>0</v>
      </c>
      <c r="N157" s="20">
        <f>ABS(G157)</f>
        <v>0</v>
      </c>
      <c r="O157" s="20">
        <f>ABS(I157)</f>
        <v>0</v>
      </c>
      <c r="P157" s="20">
        <f>ABS(K157)</f>
        <v>0</v>
      </c>
      <c r="Q157" s="20">
        <f t="shared" si="25"/>
        <v>0</v>
      </c>
    </row>
    <row r="158" spans="4:17" x14ac:dyDescent="0.35">
      <c r="D158" s="20" t="str">
        <f t="shared" si="32"/>
        <v/>
      </c>
      <c r="E158" s="23" t="str">
        <f t="shared" si="33"/>
        <v/>
      </c>
      <c r="F158" s="20" t="str">
        <f t="shared" si="26"/>
        <v/>
      </c>
      <c r="G158" s="20">
        <f t="shared" si="27"/>
        <v>0</v>
      </c>
      <c r="H158" s="20">
        <f t="shared" si="34"/>
        <v>0</v>
      </c>
      <c r="I158" s="20">
        <f t="shared" si="28"/>
        <v>0</v>
      </c>
      <c r="J158" s="20">
        <f t="shared" si="34"/>
        <v>0</v>
      </c>
      <c r="K158" s="20">
        <f t="shared" si="29"/>
        <v>0</v>
      </c>
      <c r="L158" s="20">
        <f t="shared" si="34"/>
        <v>1</v>
      </c>
      <c r="M158" s="20">
        <f t="shared" si="30"/>
        <v>0</v>
      </c>
      <c r="N158" s="20">
        <f>ABS(G158)</f>
        <v>0</v>
      </c>
      <c r="O158" s="20">
        <f>ABS(I158)</f>
        <v>0</v>
      </c>
      <c r="P158" s="20">
        <f>ABS(K158)</f>
        <v>0</v>
      </c>
      <c r="Q158" s="20">
        <f t="shared" si="25"/>
        <v>0</v>
      </c>
    </row>
    <row r="159" spans="4:17" x14ac:dyDescent="0.35">
      <c r="D159" s="20" t="str">
        <f t="shared" si="32"/>
        <v/>
      </c>
      <c r="E159" s="23" t="str">
        <f t="shared" si="33"/>
        <v/>
      </c>
      <c r="F159" s="20" t="str">
        <f t="shared" si="26"/>
        <v/>
      </c>
      <c r="G159" s="20">
        <f t="shared" si="27"/>
        <v>0</v>
      </c>
      <c r="H159" s="20">
        <f t="shared" si="34"/>
        <v>1</v>
      </c>
      <c r="I159" s="20">
        <f t="shared" si="28"/>
        <v>0</v>
      </c>
      <c r="J159" s="20">
        <f t="shared" si="34"/>
        <v>0</v>
      </c>
      <c r="K159" s="20">
        <f t="shared" si="29"/>
        <v>0</v>
      </c>
      <c r="L159" s="20">
        <f t="shared" si="34"/>
        <v>0</v>
      </c>
      <c r="M159" s="20">
        <f t="shared" si="30"/>
        <v>0</v>
      </c>
      <c r="N159" s="20">
        <f>ABS(G159)</f>
        <v>0</v>
      </c>
      <c r="O159" s="20">
        <f>ABS(I159)</f>
        <v>0</v>
      </c>
      <c r="P159" s="20">
        <f>ABS(K159)</f>
        <v>0</v>
      </c>
      <c r="Q159" s="20">
        <f t="shared" si="25"/>
        <v>0</v>
      </c>
    </row>
    <row r="160" spans="4:17" x14ac:dyDescent="0.35">
      <c r="D160" s="20" t="str">
        <f t="shared" si="32"/>
        <v/>
      </c>
      <c r="E160" s="23" t="str">
        <f t="shared" si="33"/>
        <v/>
      </c>
      <c r="F160" s="20" t="str">
        <f t="shared" si="26"/>
        <v/>
      </c>
      <c r="G160" s="20">
        <f t="shared" si="27"/>
        <v>0</v>
      </c>
      <c r="H160" s="20">
        <f t="shared" si="34"/>
        <v>0</v>
      </c>
      <c r="I160" s="20">
        <f t="shared" si="28"/>
        <v>0</v>
      </c>
      <c r="J160" s="20">
        <f t="shared" si="34"/>
        <v>1</v>
      </c>
      <c r="K160" s="20">
        <f t="shared" si="29"/>
        <v>0</v>
      </c>
      <c r="L160" s="20">
        <f t="shared" si="34"/>
        <v>0</v>
      </c>
      <c r="M160" s="20">
        <f t="shared" si="30"/>
        <v>0</v>
      </c>
      <c r="N160" s="20">
        <f>ABS(G160)</f>
        <v>0</v>
      </c>
      <c r="O160" s="20">
        <f>ABS(I160)</f>
        <v>0</v>
      </c>
      <c r="P160" s="20">
        <f>ABS(K160)</f>
        <v>0</v>
      </c>
      <c r="Q160" s="20">
        <f t="shared" si="25"/>
        <v>0</v>
      </c>
    </row>
    <row r="161" spans="4:17" x14ac:dyDescent="0.35">
      <c r="D161" s="20" t="str">
        <f t="shared" si="32"/>
        <v/>
      </c>
      <c r="E161" s="23" t="str">
        <f t="shared" si="33"/>
        <v/>
      </c>
      <c r="F161" s="20" t="str">
        <f t="shared" si="26"/>
        <v/>
      </c>
      <c r="G161" s="20">
        <f t="shared" si="27"/>
        <v>0</v>
      </c>
      <c r="H161" s="20">
        <f t="shared" si="34"/>
        <v>0</v>
      </c>
      <c r="I161" s="20">
        <f t="shared" si="28"/>
        <v>0</v>
      </c>
      <c r="J161" s="20">
        <f t="shared" si="34"/>
        <v>0</v>
      </c>
      <c r="K161" s="20">
        <f t="shared" si="29"/>
        <v>0</v>
      </c>
      <c r="L161" s="20">
        <f t="shared" si="34"/>
        <v>1</v>
      </c>
      <c r="M161" s="20">
        <f t="shared" si="30"/>
        <v>0</v>
      </c>
      <c r="N161" s="20">
        <f>ABS(G161)</f>
        <v>0</v>
      </c>
      <c r="O161" s="20">
        <f>ABS(I161)</f>
        <v>0</v>
      </c>
      <c r="P161" s="20">
        <f>ABS(K161)</f>
        <v>0</v>
      </c>
      <c r="Q161" s="20">
        <f t="shared" si="25"/>
        <v>0</v>
      </c>
    </row>
    <row r="162" spans="4:17" x14ac:dyDescent="0.35">
      <c r="D162" s="20" t="str">
        <f t="shared" si="32"/>
        <v/>
      </c>
      <c r="E162" s="23" t="str">
        <f t="shared" si="33"/>
        <v/>
      </c>
      <c r="F162" s="20" t="str">
        <f t="shared" si="26"/>
        <v/>
      </c>
      <c r="G162" s="20">
        <f t="shared" si="27"/>
        <v>0</v>
      </c>
      <c r="H162" s="20">
        <f t="shared" si="34"/>
        <v>1</v>
      </c>
      <c r="I162" s="20">
        <f t="shared" si="28"/>
        <v>0</v>
      </c>
      <c r="J162" s="20">
        <f t="shared" si="34"/>
        <v>0</v>
      </c>
      <c r="K162" s="20">
        <f t="shared" si="29"/>
        <v>0</v>
      </c>
      <c r="L162" s="20">
        <f t="shared" si="34"/>
        <v>0</v>
      </c>
      <c r="M162" s="20">
        <f t="shared" si="30"/>
        <v>0</v>
      </c>
      <c r="N162" s="20">
        <f>ABS(G162)</f>
        <v>0</v>
      </c>
      <c r="O162" s="20">
        <f>ABS(I162)</f>
        <v>0</v>
      </c>
      <c r="P162" s="20">
        <f>ABS(K162)</f>
        <v>0</v>
      </c>
      <c r="Q162" s="20">
        <f t="shared" si="25"/>
        <v>0</v>
      </c>
    </row>
    <row r="163" spans="4:17" x14ac:dyDescent="0.35">
      <c r="D163" s="20" t="str">
        <f t="shared" si="32"/>
        <v/>
      </c>
      <c r="E163" s="23" t="str">
        <f t="shared" si="33"/>
        <v/>
      </c>
      <c r="F163" s="20" t="str">
        <f t="shared" si="26"/>
        <v/>
      </c>
      <c r="G163" s="20">
        <f t="shared" si="27"/>
        <v>0</v>
      </c>
      <c r="H163" s="20">
        <f t="shared" si="34"/>
        <v>0</v>
      </c>
      <c r="I163" s="20">
        <f t="shared" si="28"/>
        <v>0</v>
      </c>
      <c r="J163" s="20">
        <f t="shared" si="34"/>
        <v>1</v>
      </c>
      <c r="K163" s="20">
        <f t="shared" si="29"/>
        <v>0</v>
      </c>
      <c r="L163" s="20">
        <f t="shared" si="34"/>
        <v>0</v>
      </c>
      <c r="M163" s="20">
        <f t="shared" si="30"/>
        <v>0</v>
      </c>
      <c r="N163" s="20">
        <f>ABS(G163)</f>
        <v>0</v>
      </c>
      <c r="O163" s="20">
        <f>ABS(I163)</f>
        <v>0</v>
      </c>
      <c r="P163" s="20">
        <f>ABS(K163)</f>
        <v>0</v>
      </c>
      <c r="Q163" s="20">
        <f t="shared" si="25"/>
        <v>0</v>
      </c>
    </row>
    <row r="164" spans="4:17" x14ac:dyDescent="0.35">
      <c r="D164" s="20" t="str">
        <f t="shared" si="32"/>
        <v/>
      </c>
      <c r="E164" s="23" t="str">
        <f t="shared" si="33"/>
        <v/>
      </c>
      <c r="F164" s="20" t="str">
        <f t="shared" si="26"/>
        <v/>
      </c>
      <c r="G164" s="20">
        <f t="shared" si="27"/>
        <v>0</v>
      </c>
      <c r="H164" s="20">
        <f t="shared" si="34"/>
        <v>0</v>
      </c>
      <c r="I164" s="20">
        <f t="shared" si="28"/>
        <v>0</v>
      </c>
      <c r="J164" s="20">
        <f t="shared" si="34"/>
        <v>0</v>
      </c>
      <c r="K164" s="20">
        <f t="shared" si="29"/>
        <v>0</v>
      </c>
      <c r="L164" s="20">
        <f t="shared" si="34"/>
        <v>1</v>
      </c>
      <c r="M164" s="20">
        <f t="shared" si="30"/>
        <v>0</v>
      </c>
      <c r="N164" s="20">
        <f>ABS(G164)</f>
        <v>0</v>
      </c>
      <c r="O164" s="20">
        <f>ABS(I164)</f>
        <v>0</v>
      </c>
      <c r="P164" s="20">
        <f>ABS(K164)</f>
        <v>0</v>
      </c>
      <c r="Q164" s="20">
        <f t="shared" si="25"/>
        <v>0</v>
      </c>
    </row>
    <row r="165" spans="4:17" x14ac:dyDescent="0.35">
      <c r="D165" s="20" t="str">
        <f t="shared" si="32"/>
        <v/>
      </c>
      <c r="E165" s="23" t="str">
        <f t="shared" si="33"/>
        <v/>
      </c>
      <c r="F165" s="20" t="str">
        <f t="shared" si="26"/>
        <v/>
      </c>
      <c r="G165" s="20">
        <f t="shared" si="27"/>
        <v>0</v>
      </c>
      <c r="H165" s="20">
        <f t="shared" si="34"/>
        <v>1</v>
      </c>
      <c r="I165" s="20">
        <f t="shared" si="28"/>
        <v>0</v>
      </c>
      <c r="J165" s="20">
        <f t="shared" si="34"/>
        <v>0</v>
      </c>
      <c r="K165" s="20">
        <f t="shared" si="29"/>
        <v>0</v>
      </c>
      <c r="L165" s="20">
        <f t="shared" si="34"/>
        <v>0</v>
      </c>
      <c r="M165" s="20">
        <f t="shared" si="30"/>
        <v>0</v>
      </c>
      <c r="N165" s="20">
        <f>ABS(G165)</f>
        <v>0</v>
      </c>
      <c r="O165" s="20">
        <f>ABS(I165)</f>
        <v>0</v>
      </c>
      <c r="P165" s="20">
        <f>ABS(K165)</f>
        <v>0</v>
      </c>
      <c r="Q165" s="20">
        <f t="shared" si="25"/>
        <v>0</v>
      </c>
    </row>
    <row r="166" spans="4:17" x14ac:dyDescent="0.35">
      <c r="D166" s="20" t="str">
        <f t="shared" si="32"/>
        <v/>
      </c>
      <c r="E166" s="23" t="str">
        <f t="shared" si="33"/>
        <v/>
      </c>
      <c r="F166" s="20" t="str">
        <f t="shared" si="26"/>
        <v/>
      </c>
      <c r="G166" s="20">
        <f t="shared" si="27"/>
        <v>0</v>
      </c>
      <c r="H166" s="20">
        <f t="shared" si="34"/>
        <v>0</v>
      </c>
      <c r="I166" s="20">
        <f t="shared" si="28"/>
        <v>0</v>
      </c>
      <c r="J166" s="20">
        <f t="shared" si="34"/>
        <v>1</v>
      </c>
      <c r="K166" s="20">
        <f t="shared" si="29"/>
        <v>0</v>
      </c>
      <c r="L166" s="20">
        <f t="shared" si="34"/>
        <v>0</v>
      </c>
      <c r="M166" s="20">
        <f t="shared" si="30"/>
        <v>0</v>
      </c>
      <c r="N166" s="20">
        <f>ABS(G166)</f>
        <v>0</v>
      </c>
      <c r="O166" s="20">
        <f>ABS(I166)</f>
        <v>0</v>
      </c>
      <c r="P166" s="20">
        <f>ABS(K166)</f>
        <v>0</v>
      </c>
      <c r="Q166" s="20">
        <f t="shared" si="25"/>
        <v>0</v>
      </c>
    </row>
    <row r="167" spans="4:17" x14ac:dyDescent="0.35">
      <c r="D167" s="20" t="str">
        <f t="shared" si="32"/>
        <v/>
      </c>
      <c r="E167" s="23" t="str">
        <f t="shared" si="33"/>
        <v/>
      </c>
      <c r="F167" s="20" t="str">
        <f t="shared" si="26"/>
        <v/>
      </c>
      <c r="G167" s="20">
        <f t="shared" si="27"/>
        <v>0</v>
      </c>
      <c r="H167" s="20">
        <f t="shared" ref="H167:L182" si="35">IF(H166+H165=0,1,0)</f>
        <v>0</v>
      </c>
      <c r="I167" s="20">
        <f t="shared" si="28"/>
        <v>0</v>
      </c>
      <c r="J167" s="20">
        <f t="shared" si="35"/>
        <v>0</v>
      </c>
      <c r="K167" s="20">
        <f t="shared" si="29"/>
        <v>0</v>
      </c>
      <c r="L167" s="20">
        <f t="shared" si="35"/>
        <v>1</v>
      </c>
      <c r="M167" s="20">
        <f t="shared" si="30"/>
        <v>0</v>
      </c>
      <c r="N167" s="20">
        <f>ABS(G167)</f>
        <v>0</v>
      </c>
      <c r="O167" s="20">
        <f>ABS(I167)</f>
        <v>0</v>
      </c>
      <c r="P167" s="20">
        <f>ABS(K167)</f>
        <v>0</v>
      </c>
      <c r="Q167" s="20">
        <f t="shared" si="25"/>
        <v>0</v>
      </c>
    </row>
    <row r="168" spans="4:17" x14ac:dyDescent="0.35">
      <c r="D168" s="20" t="str">
        <f t="shared" si="32"/>
        <v/>
      </c>
      <c r="E168" s="23" t="str">
        <f t="shared" si="33"/>
        <v/>
      </c>
      <c r="F168" s="20" t="str">
        <f t="shared" si="26"/>
        <v/>
      </c>
      <c r="G168" s="20">
        <f t="shared" si="27"/>
        <v>0</v>
      </c>
      <c r="H168" s="20">
        <f t="shared" si="35"/>
        <v>1</v>
      </c>
      <c r="I168" s="20">
        <f t="shared" si="28"/>
        <v>0</v>
      </c>
      <c r="J168" s="20">
        <f t="shared" si="35"/>
        <v>0</v>
      </c>
      <c r="K168" s="20">
        <f t="shared" si="29"/>
        <v>0</v>
      </c>
      <c r="L168" s="20">
        <f t="shared" si="35"/>
        <v>0</v>
      </c>
      <c r="M168" s="20">
        <f t="shared" si="30"/>
        <v>0</v>
      </c>
      <c r="N168" s="20">
        <f>ABS(G168)</f>
        <v>0</v>
      </c>
      <c r="O168" s="20">
        <f>ABS(I168)</f>
        <v>0</v>
      </c>
      <c r="P168" s="20">
        <f>ABS(K168)</f>
        <v>0</v>
      </c>
      <c r="Q168" s="20">
        <f t="shared" si="25"/>
        <v>0</v>
      </c>
    </row>
    <row r="169" spans="4:17" x14ac:dyDescent="0.35">
      <c r="D169" s="20" t="str">
        <f t="shared" si="32"/>
        <v/>
      </c>
      <c r="E169" s="23" t="str">
        <f t="shared" si="33"/>
        <v/>
      </c>
      <c r="F169" s="20" t="str">
        <f t="shared" si="26"/>
        <v/>
      </c>
      <c r="G169" s="20">
        <f t="shared" si="27"/>
        <v>0</v>
      </c>
      <c r="H169" s="20">
        <f t="shared" si="35"/>
        <v>0</v>
      </c>
      <c r="I169" s="20">
        <f t="shared" si="28"/>
        <v>0</v>
      </c>
      <c r="J169" s="20">
        <f t="shared" si="35"/>
        <v>1</v>
      </c>
      <c r="K169" s="20">
        <f t="shared" si="29"/>
        <v>0</v>
      </c>
      <c r="L169" s="20">
        <f t="shared" si="35"/>
        <v>0</v>
      </c>
      <c r="M169" s="20">
        <f t="shared" si="30"/>
        <v>0</v>
      </c>
      <c r="N169" s="20">
        <f>ABS(G169)</f>
        <v>0</v>
      </c>
      <c r="O169" s="20">
        <f>ABS(I169)</f>
        <v>0</v>
      </c>
      <c r="P169" s="20">
        <f>ABS(K169)</f>
        <v>0</v>
      </c>
      <c r="Q169" s="20">
        <f t="shared" si="25"/>
        <v>0</v>
      </c>
    </row>
    <row r="170" spans="4:17" x14ac:dyDescent="0.35">
      <c r="D170" s="20" t="str">
        <f t="shared" si="32"/>
        <v/>
      </c>
      <c r="E170" s="23" t="str">
        <f t="shared" si="33"/>
        <v/>
      </c>
      <c r="F170" s="20" t="str">
        <f t="shared" si="26"/>
        <v/>
      </c>
      <c r="G170" s="20">
        <f t="shared" si="27"/>
        <v>0</v>
      </c>
      <c r="H170" s="20">
        <f t="shared" si="35"/>
        <v>0</v>
      </c>
      <c r="I170" s="20">
        <f t="shared" si="28"/>
        <v>0</v>
      </c>
      <c r="J170" s="20">
        <f t="shared" si="35"/>
        <v>0</v>
      </c>
      <c r="K170" s="20">
        <f t="shared" si="29"/>
        <v>0</v>
      </c>
      <c r="L170" s="20">
        <f t="shared" si="35"/>
        <v>1</v>
      </c>
      <c r="M170" s="20">
        <f t="shared" si="30"/>
        <v>0</v>
      </c>
      <c r="N170" s="20">
        <f>ABS(G170)</f>
        <v>0</v>
      </c>
      <c r="O170" s="20">
        <f>ABS(I170)</f>
        <v>0</v>
      </c>
      <c r="P170" s="20">
        <f>ABS(K170)</f>
        <v>0</v>
      </c>
      <c r="Q170" s="20">
        <f t="shared" si="25"/>
        <v>0</v>
      </c>
    </row>
    <row r="171" spans="4:17" x14ac:dyDescent="0.35">
      <c r="D171" s="20" t="str">
        <f t="shared" si="32"/>
        <v/>
      </c>
      <c r="E171" s="23" t="str">
        <f t="shared" si="33"/>
        <v/>
      </c>
      <c r="F171" s="20" t="str">
        <f t="shared" si="26"/>
        <v/>
      </c>
      <c r="G171" s="20">
        <f t="shared" si="27"/>
        <v>0</v>
      </c>
      <c r="H171" s="20">
        <f t="shared" si="35"/>
        <v>1</v>
      </c>
      <c r="I171" s="20">
        <f t="shared" si="28"/>
        <v>0</v>
      </c>
      <c r="J171" s="20">
        <f t="shared" si="35"/>
        <v>0</v>
      </c>
      <c r="K171" s="20">
        <f t="shared" si="29"/>
        <v>0</v>
      </c>
      <c r="L171" s="20">
        <f t="shared" si="35"/>
        <v>0</v>
      </c>
      <c r="M171" s="20">
        <f t="shared" si="30"/>
        <v>0</v>
      </c>
      <c r="N171" s="20">
        <f>ABS(G171)</f>
        <v>0</v>
      </c>
      <c r="O171" s="20">
        <f>ABS(I171)</f>
        <v>0</v>
      </c>
      <c r="P171" s="20">
        <f>ABS(K171)</f>
        <v>0</v>
      </c>
      <c r="Q171" s="20">
        <f t="shared" si="25"/>
        <v>0</v>
      </c>
    </row>
    <row r="172" spans="4:17" x14ac:dyDescent="0.35">
      <c r="D172" s="20" t="str">
        <f t="shared" si="32"/>
        <v/>
      </c>
      <c r="E172" s="23" t="str">
        <f t="shared" si="33"/>
        <v/>
      </c>
      <c r="F172" s="20" t="str">
        <f t="shared" si="26"/>
        <v/>
      </c>
      <c r="G172" s="20">
        <f t="shared" si="27"/>
        <v>0</v>
      </c>
      <c r="H172" s="20">
        <f t="shared" si="35"/>
        <v>0</v>
      </c>
      <c r="I172" s="20">
        <f t="shared" si="28"/>
        <v>0</v>
      </c>
      <c r="J172" s="20">
        <f t="shared" si="35"/>
        <v>1</v>
      </c>
      <c r="K172" s="20">
        <f t="shared" si="29"/>
        <v>0</v>
      </c>
      <c r="L172" s="20">
        <f t="shared" si="35"/>
        <v>0</v>
      </c>
      <c r="M172" s="20">
        <f t="shared" si="30"/>
        <v>0</v>
      </c>
      <c r="N172" s="20">
        <f>ABS(G172)</f>
        <v>0</v>
      </c>
      <c r="O172" s="20">
        <f>ABS(I172)</f>
        <v>0</v>
      </c>
      <c r="P172" s="20">
        <f>ABS(K172)</f>
        <v>0</v>
      </c>
      <c r="Q172" s="20">
        <f t="shared" si="25"/>
        <v>0</v>
      </c>
    </row>
    <row r="173" spans="4:17" x14ac:dyDescent="0.35">
      <c r="D173" s="20" t="str">
        <f t="shared" si="32"/>
        <v/>
      </c>
      <c r="E173" s="23" t="str">
        <f t="shared" si="33"/>
        <v/>
      </c>
      <c r="F173" s="20" t="str">
        <f t="shared" si="26"/>
        <v/>
      </c>
      <c r="G173" s="20">
        <f t="shared" si="27"/>
        <v>0</v>
      </c>
      <c r="H173" s="20">
        <f t="shared" si="35"/>
        <v>0</v>
      </c>
      <c r="I173" s="20">
        <f t="shared" si="28"/>
        <v>0</v>
      </c>
      <c r="J173" s="20">
        <f t="shared" si="35"/>
        <v>0</v>
      </c>
      <c r="K173" s="20">
        <f t="shared" si="29"/>
        <v>0</v>
      </c>
      <c r="L173" s="20">
        <f t="shared" si="35"/>
        <v>1</v>
      </c>
      <c r="M173" s="20">
        <f t="shared" si="30"/>
        <v>0</v>
      </c>
      <c r="N173" s="20">
        <f>ABS(G173)</f>
        <v>0</v>
      </c>
      <c r="O173" s="20">
        <f>ABS(I173)</f>
        <v>0</v>
      </c>
      <c r="P173" s="20">
        <f>ABS(K173)</f>
        <v>0</v>
      </c>
      <c r="Q173" s="20">
        <f t="shared" si="25"/>
        <v>0</v>
      </c>
    </row>
    <row r="174" spans="4:17" x14ac:dyDescent="0.35">
      <c r="D174" s="20" t="str">
        <f t="shared" si="32"/>
        <v/>
      </c>
      <c r="E174" s="23" t="str">
        <f t="shared" si="33"/>
        <v/>
      </c>
      <c r="F174" s="20" t="str">
        <f t="shared" si="26"/>
        <v/>
      </c>
      <c r="G174" s="20">
        <f t="shared" si="27"/>
        <v>0</v>
      </c>
      <c r="H174" s="20">
        <f t="shared" si="35"/>
        <v>1</v>
      </c>
      <c r="I174" s="20">
        <f t="shared" si="28"/>
        <v>0</v>
      </c>
      <c r="J174" s="20">
        <f t="shared" si="35"/>
        <v>0</v>
      </c>
      <c r="K174" s="20">
        <f t="shared" si="29"/>
        <v>0</v>
      </c>
      <c r="L174" s="20">
        <f t="shared" si="35"/>
        <v>0</v>
      </c>
      <c r="M174" s="20">
        <f t="shared" si="30"/>
        <v>0</v>
      </c>
      <c r="N174" s="20">
        <f>ABS(G174)</f>
        <v>0</v>
      </c>
      <c r="O174" s="20">
        <f>ABS(I174)</f>
        <v>0</v>
      </c>
      <c r="P174" s="20">
        <f>ABS(K174)</f>
        <v>0</v>
      </c>
      <c r="Q174" s="20">
        <f t="shared" si="25"/>
        <v>0</v>
      </c>
    </row>
    <row r="175" spans="4:17" x14ac:dyDescent="0.35">
      <c r="D175" s="20" t="str">
        <f t="shared" si="32"/>
        <v/>
      </c>
      <c r="E175" s="23" t="str">
        <f t="shared" si="33"/>
        <v/>
      </c>
      <c r="F175" s="20" t="str">
        <f t="shared" si="26"/>
        <v/>
      </c>
      <c r="G175" s="20">
        <f t="shared" si="27"/>
        <v>0</v>
      </c>
      <c r="H175" s="20">
        <f t="shared" si="35"/>
        <v>0</v>
      </c>
      <c r="I175" s="20">
        <f t="shared" si="28"/>
        <v>0</v>
      </c>
      <c r="J175" s="20">
        <f t="shared" si="35"/>
        <v>1</v>
      </c>
      <c r="K175" s="20">
        <f t="shared" si="29"/>
        <v>0</v>
      </c>
      <c r="L175" s="20">
        <f t="shared" si="35"/>
        <v>0</v>
      </c>
      <c r="M175" s="20">
        <f t="shared" si="30"/>
        <v>0</v>
      </c>
      <c r="N175" s="20">
        <f>ABS(G175)</f>
        <v>0</v>
      </c>
      <c r="O175" s="20">
        <f>ABS(I175)</f>
        <v>0</v>
      </c>
      <c r="P175" s="20">
        <f>ABS(K175)</f>
        <v>0</v>
      </c>
      <c r="Q175" s="20">
        <f t="shared" si="25"/>
        <v>0</v>
      </c>
    </row>
    <row r="176" spans="4:17" x14ac:dyDescent="0.35">
      <c r="D176" s="20" t="str">
        <f t="shared" si="32"/>
        <v/>
      </c>
      <c r="E176" s="23" t="str">
        <f t="shared" si="33"/>
        <v/>
      </c>
      <c r="F176" s="20" t="str">
        <f t="shared" si="26"/>
        <v/>
      </c>
      <c r="G176" s="20">
        <f t="shared" si="27"/>
        <v>0</v>
      </c>
      <c r="H176" s="20">
        <f t="shared" si="35"/>
        <v>0</v>
      </c>
      <c r="I176" s="20">
        <f t="shared" si="28"/>
        <v>0</v>
      </c>
      <c r="J176" s="20">
        <f t="shared" si="35"/>
        <v>0</v>
      </c>
      <c r="K176" s="20">
        <f t="shared" si="29"/>
        <v>0</v>
      </c>
      <c r="L176" s="20">
        <f t="shared" si="35"/>
        <v>1</v>
      </c>
      <c r="M176" s="20">
        <f t="shared" si="30"/>
        <v>0</v>
      </c>
      <c r="N176" s="20">
        <f>ABS(G176)</f>
        <v>0</v>
      </c>
      <c r="O176" s="20">
        <f>ABS(I176)</f>
        <v>0</v>
      </c>
      <c r="P176" s="20">
        <f>ABS(K176)</f>
        <v>0</v>
      </c>
      <c r="Q176" s="20">
        <f t="shared" si="25"/>
        <v>0</v>
      </c>
    </row>
    <row r="177" spans="4:17" x14ac:dyDescent="0.35">
      <c r="D177" s="20" t="str">
        <f t="shared" si="32"/>
        <v/>
      </c>
      <c r="E177" s="23" t="str">
        <f t="shared" si="33"/>
        <v/>
      </c>
      <c r="F177" s="20" t="str">
        <f t="shared" si="26"/>
        <v/>
      </c>
      <c r="G177" s="20">
        <f t="shared" si="27"/>
        <v>0</v>
      </c>
      <c r="H177" s="20">
        <f t="shared" si="35"/>
        <v>1</v>
      </c>
      <c r="I177" s="20">
        <f t="shared" si="28"/>
        <v>0</v>
      </c>
      <c r="J177" s="20">
        <f t="shared" si="35"/>
        <v>0</v>
      </c>
      <c r="K177" s="20">
        <f t="shared" si="29"/>
        <v>0</v>
      </c>
      <c r="L177" s="20">
        <f t="shared" si="35"/>
        <v>0</v>
      </c>
      <c r="M177" s="20">
        <f t="shared" si="30"/>
        <v>0</v>
      </c>
      <c r="N177" s="20">
        <f>ABS(G177)</f>
        <v>0</v>
      </c>
      <c r="O177" s="20">
        <f>ABS(I177)</f>
        <v>0</v>
      </c>
      <c r="P177" s="20">
        <f>ABS(K177)</f>
        <v>0</v>
      </c>
      <c r="Q177" s="20">
        <f t="shared" si="25"/>
        <v>0</v>
      </c>
    </row>
    <row r="178" spans="4:17" x14ac:dyDescent="0.35">
      <c r="D178" s="20" t="str">
        <f t="shared" si="32"/>
        <v/>
      </c>
      <c r="E178" s="23" t="str">
        <f t="shared" si="33"/>
        <v/>
      </c>
      <c r="F178" s="20" t="str">
        <f t="shared" si="26"/>
        <v/>
      </c>
      <c r="G178" s="20">
        <f t="shared" si="27"/>
        <v>0</v>
      </c>
      <c r="H178" s="20">
        <f t="shared" si="35"/>
        <v>0</v>
      </c>
      <c r="I178" s="20">
        <f t="shared" si="28"/>
        <v>0</v>
      </c>
      <c r="J178" s="20">
        <f t="shared" si="35"/>
        <v>1</v>
      </c>
      <c r="K178" s="20">
        <f t="shared" si="29"/>
        <v>0</v>
      </c>
      <c r="L178" s="20">
        <f t="shared" si="35"/>
        <v>0</v>
      </c>
      <c r="M178" s="20">
        <f t="shared" si="30"/>
        <v>0</v>
      </c>
      <c r="N178" s="20">
        <f>ABS(G178)</f>
        <v>0</v>
      </c>
      <c r="O178" s="20">
        <f>ABS(I178)</f>
        <v>0</v>
      </c>
      <c r="P178" s="20">
        <f>ABS(K178)</f>
        <v>0</v>
      </c>
      <c r="Q178" s="20">
        <f t="shared" si="25"/>
        <v>0</v>
      </c>
    </row>
    <row r="179" spans="4:17" x14ac:dyDescent="0.35">
      <c r="D179" s="20" t="str">
        <f t="shared" si="32"/>
        <v/>
      </c>
      <c r="E179" s="23" t="str">
        <f t="shared" si="33"/>
        <v/>
      </c>
      <c r="F179" s="20" t="str">
        <f t="shared" si="26"/>
        <v/>
      </c>
      <c r="G179" s="20">
        <f t="shared" si="27"/>
        <v>0</v>
      </c>
      <c r="H179" s="20">
        <f t="shared" si="35"/>
        <v>0</v>
      </c>
      <c r="I179" s="20">
        <f t="shared" si="28"/>
        <v>0</v>
      </c>
      <c r="J179" s="20">
        <f t="shared" si="35"/>
        <v>0</v>
      </c>
      <c r="K179" s="20">
        <f t="shared" si="29"/>
        <v>0</v>
      </c>
      <c r="L179" s="20">
        <f t="shared" si="35"/>
        <v>1</v>
      </c>
      <c r="M179" s="20">
        <f t="shared" si="30"/>
        <v>0</v>
      </c>
      <c r="N179" s="20">
        <f>ABS(G179)</f>
        <v>0</v>
      </c>
      <c r="O179" s="20">
        <f>ABS(I179)</f>
        <v>0</v>
      </c>
      <c r="P179" s="20">
        <f>ABS(K179)</f>
        <v>0</v>
      </c>
      <c r="Q179" s="20">
        <f t="shared" si="25"/>
        <v>0</v>
      </c>
    </row>
    <row r="180" spans="4:17" x14ac:dyDescent="0.35">
      <c r="D180" s="20" t="str">
        <f t="shared" si="32"/>
        <v/>
      </c>
      <c r="E180" s="23" t="str">
        <f t="shared" si="33"/>
        <v/>
      </c>
      <c r="F180" s="20" t="str">
        <f t="shared" si="26"/>
        <v/>
      </c>
      <c r="G180" s="20">
        <f t="shared" si="27"/>
        <v>0</v>
      </c>
      <c r="H180" s="20">
        <f t="shared" si="35"/>
        <v>1</v>
      </c>
      <c r="I180" s="20">
        <f t="shared" si="28"/>
        <v>0</v>
      </c>
      <c r="J180" s="20">
        <f t="shared" si="35"/>
        <v>0</v>
      </c>
      <c r="K180" s="20">
        <f t="shared" si="29"/>
        <v>0</v>
      </c>
      <c r="L180" s="20">
        <f t="shared" si="35"/>
        <v>0</v>
      </c>
      <c r="M180" s="20">
        <f t="shared" si="30"/>
        <v>0</v>
      </c>
      <c r="N180" s="20">
        <f>ABS(G180)</f>
        <v>0</v>
      </c>
      <c r="O180" s="20">
        <f>ABS(I180)</f>
        <v>0</v>
      </c>
      <c r="P180" s="20">
        <f>ABS(K180)</f>
        <v>0</v>
      </c>
      <c r="Q180" s="20">
        <f t="shared" si="25"/>
        <v>0</v>
      </c>
    </row>
    <row r="181" spans="4:17" x14ac:dyDescent="0.35">
      <c r="D181" s="20" t="str">
        <f t="shared" si="32"/>
        <v/>
      </c>
      <c r="E181" s="23" t="str">
        <f t="shared" si="33"/>
        <v/>
      </c>
      <c r="F181" s="20" t="str">
        <f t="shared" si="26"/>
        <v/>
      </c>
      <c r="G181" s="20">
        <f t="shared" si="27"/>
        <v>0</v>
      </c>
      <c r="H181" s="20">
        <f t="shared" si="35"/>
        <v>0</v>
      </c>
      <c r="I181" s="20">
        <f t="shared" si="28"/>
        <v>0</v>
      </c>
      <c r="J181" s="20">
        <f t="shared" si="35"/>
        <v>1</v>
      </c>
      <c r="K181" s="20">
        <f t="shared" si="29"/>
        <v>0</v>
      </c>
      <c r="L181" s="20">
        <f t="shared" si="35"/>
        <v>0</v>
      </c>
      <c r="M181" s="20">
        <f t="shared" si="30"/>
        <v>0</v>
      </c>
      <c r="N181" s="20">
        <f>ABS(G181)</f>
        <v>0</v>
      </c>
      <c r="O181" s="20">
        <f>ABS(I181)</f>
        <v>0</v>
      </c>
      <c r="P181" s="20">
        <f>ABS(K181)</f>
        <v>0</v>
      </c>
      <c r="Q181" s="20">
        <f t="shared" si="25"/>
        <v>0</v>
      </c>
    </row>
    <row r="182" spans="4:17" x14ac:dyDescent="0.35">
      <c r="D182" s="20" t="str">
        <f t="shared" si="32"/>
        <v/>
      </c>
      <c r="E182" s="23" t="str">
        <f t="shared" si="33"/>
        <v/>
      </c>
      <c r="F182" s="20" t="str">
        <f t="shared" si="26"/>
        <v/>
      </c>
      <c r="G182" s="20">
        <f t="shared" si="27"/>
        <v>0</v>
      </c>
      <c r="H182" s="20">
        <f t="shared" si="35"/>
        <v>0</v>
      </c>
      <c r="I182" s="20">
        <f t="shared" si="28"/>
        <v>0</v>
      </c>
      <c r="J182" s="20">
        <f t="shared" si="35"/>
        <v>0</v>
      </c>
      <c r="K182" s="20">
        <f t="shared" si="29"/>
        <v>0</v>
      </c>
      <c r="L182" s="20">
        <f t="shared" si="35"/>
        <v>1</v>
      </c>
      <c r="M182" s="20">
        <f t="shared" si="30"/>
        <v>0</v>
      </c>
      <c r="N182" s="20">
        <f>ABS(G182)</f>
        <v>0</v>
      </c>
      <c r="O182" s="20">
        <f>ABS(I182)</f>
        <v>0</v>
      </c>
      <c r="P182" s="20">
        <f>ABS(K182)</f>
        <v>0</v>
      </c>
      <c r="Q182" s="20">
        <f t="shared" si="25"/>
        <v>0</v>
      </c>
    </row>
    <row r="183" spans="4:17" x14ac:dyDescent="0.35">
      <c r="D183" s="20" t="str">
        <f t="shared" si="32"/>
        <v/>
      </c>
      <c r="E183" s="23" t="str">
        <f t="shared" si="33"/>
        <v/>
      </c>
      <c r="F183" s="20" t="str">
        <f t="shared" si="26"/>
        <v/>
      </c>
      <c r="G183" s="20">
        <f t="shared" si="27"/>
        <v>0</v>
      </c>
      <c r="H183" s="20">
        <f t="shared" ref="H183:L198" si="36">IF(H182+H181=0,1,0)</f>
        <v>1</v>
      </c>
      <c r="I183" s="20">
        <f t="shared" si="28"/>
        <v>0</v>
      </c>
      <c r="J183" s="20">
        <f t="shared" si="36"/>
        <v>0</v>
      </c>
      <c r="K183" s="20">
        <f t="shared" si="29"/>
        <v>0</v>
      </c>
      <c r="L183" s="20">
        <f t="shared" si="36"/>
        <v>0</v>
      </c>
      <c r="M183" s="20">
        <f t="shared" si="30"/>
        <v>0</v>
      </c>
      <c r="N183" s="20">
        <f>ABS(G183)</f>
        <v>0</v>
      </c>
      <c r="O183" s="20">
        <f>ABS(I183)</f>
        <v>0</v>
      </c>
      <c r="P183" s="20">
        <f>ABS(K183)</f>
        <v>0</v>
      </c>
      <c r="Q183" s="20">
        <f t="shared" si="25"/>
        <v>0</v>
      </c>
    </row>
    <row r="184" spans="4:17" x14ac:dyDescent="0.35">
      <c r="D184" s="20" t="str">
        <f t="shared" si="32"/>
        <v/>
      </c>
      <c r="E184" s="23" t="str">
        <f t="shared" si="33"/>
        <v/>
      </c>
      <c r="F184" s="20" t="str">
        <f t="shared" si="26"/>
        <v/>
      </c>
      <c r="G184" s="20">
        <f t="shared" si="27"/>
        <v>0</v>
      </c>
      <c r="H184" s="20">
        <f t="shared" si="36"/>
        <v>0</v>
      </c>
      <c r="I184" s="20">
        <f t="shared" si="28"/>
        <v>0</v>
      </c>
      <c r="J184" s="20">
        <f t="shared" si="36"/>
        <v>1</v>
      </c>
      <c r="K184" s="20">
        <f t="shared" si="29"/>
        <v>0</v>
      </c>
      <c r="L184" s="20">
        <f t="shared" si="36"/>
        <v>0</v>
      </c>
      <c r="M184" s="20">
        <f t="shared" si="30"/>
        <v>0</v>
      </c>
      <c r="N184" s="20">
        <f>ABS(G184)</f>
        <v>0</v>
      </c>
      <c r="O184" s="20">
        <f>ABS(I184)</f>
        <v>0</v>
      </c>
      <c r="P184" s="20">
        <f>ABS(K184)</f>
        <v>0</v>
      </c>
      <c r="Q184" s="20">
        <f t="shared" si="25"/>
        <v>0</v>
      </c>
    </row>
    <row r="185" spans="4:17" x14ac:dyDescent="0.35">
      <c r="D185" s="20" t="str">
        <f t="shared" si="32"/>
        <v/>
      </c>
      <c r="E185" s="23" t="str">
        <f t="shared" si="33"/>
        <v/>
      </c>
      <c r="F185" s="20" t="str">
        <f t="shared" si="26"/>
        <v/>
      </c>
      <c r="G185" s="20">
        <f t="shared" si="27"/>
        <v>0</v>
      </c>
      <c r="H185" s="20">
        <f t="shared" si="36"/>
        <v>0</v>
      </c>
      <c r="I185" s="20">
        <f t="shared" si="28"/>
        <v>0</v>
      </c>
      <c r="J185" s="20">
        <f t="shared" si="36"/>
        <v>0</v>
      </c>
      <c r="K185" s="20">
        <f t="shared" si="29"/>
        <v>0</v>
      </c>
      <c r="L185" s="20">
        <f t="shared" si="36"/>
        <v>1</v>
      </c>
      <c r="M185" s="20">
        <f t="shared" si="30"/>
        <v>0</v>
      </c>
      <c r="N185" s="20">
        <f>ABS(G185)</f>
        <v>0</v>
      </c>
      <c r="O185" s="20">
        <f>ABS(I185)</f>
        <v>0</v>
      </c>
      <c r="P185" s="20">
        <f>ABS(K185)</f>
        <v>0</v>
      </c>
      <c r="Q185" s="20">
        <f t="shared" si="25"/>
        <v>0</v>
      </c>
    </row>
    <row r="186" spans="4:17" x14ac:dyDescent="0.35">
      <c r="D186" s="20" t="str">
        <f t="shared" si="32"/>
        <v/>
      </c>
      <c r="E186" s="23" t="str">
        <f t="shared" si="33"/>
        <v/>
      </c>
      <c r="F186" s="20" t="str">
        <f t="shared" si="26"/>
        <v/>
      </c>
      <c r="G186" s="20">
        <f t="shared" si="27"/>
        <v>0</v>
      </c>
      <c r="H186" s="20">
        <f t="shared" si="36"/>
        <v>1</v>
      </c>
      <c r="I186" s="20">
        <f t="shared" si="28"/>
        <v>0</v>
      </c>
      <c r="J186" s="20">
        <f t="shared" si="36"/>
        <v>0</v>
      </c>
      <c r="K186" s="20">
        <f t="shared" si="29"/>
        <v>0</v>
      </c>
      <c r="L186" s="20">
        <f t="shared" si="36"/>
        <v>0</v>
      </c>
      <c r="M186" s="20">
        <f t="shared" si="30"/>
        <v>0</v>
      </c>
      <c r="N186" s="20">
        <f>ABS(G186)</f>
        <v>0</v>
      </c>
      <c r="O186" s="20">
        <f>ABS(I186)</f>
        <v>0</v>
      </c>
      <c r="P186" s="20">
        <f>ABS(K186)</f>
        <v>0</v>
      </c>
      <c r="Q186" s="20">
        <f t="shared" si="25"/>
        <v>0</v>
      </c>
    </row>
    <row r="187" spans="4:17" x14ac:dyDescent="0.35">
      <c r="D187" s="20" t="str">
        <f t="shared" si="32"/>
        <v/>
      </c>
      <c r="E187" s="23" t="str">
        <f t="shared" si="33"/>
        <v/>
      </c>
      <c r="F187" s="20" t="str">
        <f t="shared" si="26"/>
        <v/>
      </c>
      <c r="G187" s="20">
        <f t="shared" si="27"/>
        <v>0</v>
      </c>
      <c r="H187" s="20">
        <f t="shared" si="36"/>
        <v>0</v>
      </c>
      <c r="I187" s="20">
        <f t="shared" si="28"/>
        <v>0</v>
      </c>
      <c r="J187" s="20">
        <f t="shared" si="36"/>
        <v>1</v>
      </c>
      <c r="K187" s="20">
        <f t="shared" si="29"/>
        <v>0</v>
      </c>
      <c r="L187" s="20">
        <f t="shared" si="36"/>
        <v>0</v>
      </c>
      <c r="M187" s="20">
        <f t="shared" si="30"/>
        <v>0</v>
      </c>
      <c r="N187" s="20">
        <f>ABS(G187)</f>
        <v>0</v>
      </c>
      <c r="O187" s="20">
        <f>ABS(I187)</f>
        <v>0</v>
      </c>
      <c r="P187" s="20">
        <f>ABS(K187)</f>
        <v>0</v>
      </c>
      <c r="Q187" s="20">
        <f t="shared" si="25"/>
        <v>0</v>
      </c>
    </row>
    <row r="188" spans="4:17" x14ac:dyDescent="0.35">
      <c r="D188" s="20" t="str">
        <f t="shared" si="32"/>
        <v/>
      </c>
      <c r="E188" s="23" t="str">
        <f t="shared" si="33"/>
        <v/>
      </c>
      <c r="F188" s="20" t="str">
        <f t="shared" si="26"/>
        <v/>
      </c>
      <c r="G188" s="20">
        <f t="shared" si="27"/>
        <v>0</v>
      </c>
      <c r="H188" s="20">
        <f t="shared" si="36"/>
        <v>0</v>
      </c>
      <c r="I188" s="20">
        <f t="shared" si="28"/>
        <v>0</v>
      </c>
      <c r="J188" s="20">
        <f t="shared" si="36"/>
        <v>0</v>
      </c>
      <c r="K188" s="20">
        <f t="shared" si="29"/>
        <v>0</v>
      </c>
      <c r="L188" s="20">
        <f t="shared" si="36"/>
        <v>1</v>
      </c>
      <c r="M188" s="20">
        <f t="shared" si="30"/>
        <v>0</v>
      </c>
      <c r="N188" s="20">
        <f>ABS(G188)</f>
        <v>0</v>
      </c>
      <c r="O188" s="20">
        <f>ABS(I188)</f>
        <v>0</v>
      </c>
      <c r="P188" s="20">
        <f>ABS(K188)</f>
        <v>0</v>
      </c>
      <c r="Q188" s="20">
        <f t="shared" si="25"/>
        <v>0</v>
      </c>
    </row>
    <row r="189" spans="4:17" x14ac:dyDescent="0.35">
      <c r="D189" s="20" t="str">
        <f t="shared" si="32"/>
        <v/>
      </c>
      <c r="E189" s="23" t="str">
        <f t="shared" si="33"/>
        <v/>
      </c>
      <c r="F189" s="20" t="str">
        <f t="shared" si="26"/>
        <v/>
      </c>
      <c r="G189" s="20">
        <f t="shared" si="27"/>
        <v>0</v>
      </c>
      <c r="H189" s="20">
        <f t="shared" si="36"/>
        <v>1</v>
      </c>
      <c r="I189" s="20">
        <f t="shared" si="28"/>
        <v>0</v>
      </c>
      <c r="J189" s="20">
        <f t="shared" si="36"/>
        <v>0</v>
      </c>
      <c r="K189" s="20">
        <f t="shared" si="29"/>
        <v>0</v>
      </c>
      <c r="L189" s="20">
        <f t="shared" si="36"/>
        <v>0</v>
      </c>
      <c r="M189" s="20">
        <f t="shared" si="30"/>
        <v>0</v>
      </c>
      <c r="N189" s="20">
        <f>ABS(G189)</f>
        <v>0</v>
      </c>
      <c r="O189" s="20">
        <f>ABS(I189)</f>
        <v>0</v>
      </c>
      <c r="P189" s="20">
        <f>ABS(K189)</f>
        <v>0</v>
      </c>
      <c r="Q189" s="20">
        <f t="shared" si="25"/>
        <v>0</v>
      </c>
    </row>
    <row r="190" spans="4:17" x14ac:dyDescent="0.35">
      <c r="D190" s="20" t="str">
        <f t="shared" si="32"/>
        <v/>
      </c>
      <c r="E190" s="23" t="str">
        <f t="shared" si="33"/>
        <v/>
      </c>
      <c r="F190" s="20" t="str">
        <f t="shared" si="26"/>
        <v/>
      </c>
      <c r="G190" s="20">
        <f t="shared" si="27"/>
        <v>0</v>
      </c>
      <c r="H190" s="20">
        <f t="shared" si="36"/>
        <v>0</v>
      </c>
      <c r="I190" s="20">
        <f t="shared" si="28"/>
        <v>0</v>
      </c>
      <c r="J190" s="20">
        <f t="shared" si="36"/>
        <v>1</v>
      </c>
      <c r="K190" s="20">
        <f t="shared" si="29"/>
        <v>0</v>
      </c>
      <c r="L190" s="20">
        <f t="shared" si="36"/>
        <v>0</v>
      </c>
      <c r="M190" s="20">
        <f t="shared" si="30"/>
        <v>0</v>
      </c>
      <c r="N190" s="20">
        <f>ABS(G190)</f>
        <v>0</v>
      </c>
      <c r="O190" s="20">
        <f>ABS(I190)</f>
        <v>0</v>
      </c>
      <c r="P190" s="20">
        <f>ABS(K190)</f>
        <v>0</v>
      </c>
      <c r="Q190" s="20">
        <f t="shared" si="25"/>
        <v>0</v>
      </c>
    </row>
    <row r="191" spans="4:17" x14ac:dyDescent="0.35">
      <c r="D191" s="20" t="str">
        <f t="shared" si="32"/>
        <v/>
      </c>
      <c r="E191" s="23" t="str">
        <f t="shared" si="33"/>
        <v/>
      </c>
      <c r="F191" s="20" t="str">
        <f t="shared" si="26"/>
        <v/>
      </c>
      <c r="G191" s="20">
        <f t="shared" si="27"/>
        <v>0</v>
      </c>
      <c r="H191" s="20">
        <f t="shared" si="36"/>
        <v>0</v>
      </c>
      <c r="I191" s="20">
        <f t="shared" si="28"/>
        <v>0</v>
      </c>
      <c r="J191" s="20">
        <f t="shared" si="36"/>
        <v>0</v>
      </c>
      <c r="K191" s="20">
        <f t="shared" si="29"/>
        <v>0</v>
      </c>
      <c r="L191" s="20">
        <f t="shared" si="36"/>
        <v>1</v>
      </c>
      <c r="M191" s="20">
        <f t="shared" si="30"/>
        <v>0</v>
      </c>
      <c r="N191" s="20">
        <f>ABS(G191)</f>
        <v>0</v>
      </c>
      <c r="O191" s="20">
        <f>ABS(I191)</f>
        <v>0</v>
      </c>
      <c r="P191" s="20">
        <f>ABS(K191)</f>
        <v>0</v>
      </c>
      <c r="Q191" s="20">
        <f t="shared" si="25"/>
        <v>0</v>
      </c>
    </row>
    <row r="192" spans="4:17" x14ac:dyDescent="0.35">
      <c r="D192" s="20" t="str">
        <f t="shared" si="32"/>
        <v/>
      </c>
      <c r="E192" s="23" t="str">
        <f t="shared" si="33"/>
        <v/>
      </c>
      <c r="F192" s="20" t="str">
        <f t="shared" si="26"/>
        <v/>
      </c>
      <c r="G192" s="20">
        <f t="shared" si="27"/>
        <v>0</v>
      </c>
      <c r="H192" s="20">
        <f t="shared" si="36"/>
        <v>1</v>
      </c>
      <c r="I192" s="20">
        <f t="shared" si="28"/>
        <v>0</v>
      </c>
      <c r="J192" s="20">
        <f t="shared" si="36"/>
        <v>0</v>
      </c>
      <c r="K192" s="20">
        <f t="shared" si="29"/>
        <v>0</v>
      </c>
      <c r="L192" s="20">
        <f t="shared" si="36"/>
        <v>0</v>
      </c>
      <c r="M192" s="20">
        <f t="shared" si="30"/>
        <v>0</v>
      </c>
      <c r="N192" s="20">
        <f>ABS(G192)</f>
        <v>0</v>
      </c>
      <c r="O192" s="20">
        <f>ABS(I192)</f>
        <v>0</v>
      </c>
      <c r="P192" s="20">
        <f>ABS(K192)</f>
        <v>0</v>
      </c>
      <c r="Q192" s="20">
        <f t="shared" si="25"/>
        <v>0</v>
      </c>
    </row>
    <row r="193" spans="4:17" x14ac:dyDescent="0.35">
      <c r="D193" s="20" t="str">
        <f t="shared" si="32"/>
        <v/>
      </c>
      <c r="E193" s="23" t="str">
        <f t="shared" si="33"/>
        <v/>
      </c>
      <c r="F193" s="20" t="str">
        <f t="shared" si="26"/>
        <v/>
      </c>
      <c r="G193" s="20">
        <f t="shared" si="27"/>
        <v>0</v>
      </c>
      <c r="H193" s="20">
        <f t="shared" si="36"/>
        <v>0</v>
      </c>
      <c r="I193" s="20">
        <f t="shared" si="28"/>
        <v>0</v>
      </c>
      <c r="J193" s="20">
        <f t="shared" si="36"/>
        <v>1</v>
      </c>
      <c r="K193" s="20">
        <f t="shared" si="29"/>
        <v>0</v>
      </c>
      <c r="L193" s="20">
        <f t="shared" si="36"/>
        <v>0</v>
      </c>
      <c r="M193" s="20">
        <f t="shared" si="30"/>
        <v>0</v>
      </c>
      <c r="N193" s="20">
        <f>ABS(G193)</f>
        <v>0</v>
      </c>
      <c r="O193" s="20">
        <f>ABS(I193)</f>
        <v>0</v>
      </c>
      <c r="P193" s="20">
        <f>ABS(K193)</f>
        <v>0</v>
      </c>
      <c r="Q193" s="20">
        <f t="shared" si="25"/>
        <v>0</v>
      </c>
    </row>
    <row r="194" spans="4:17" x14ac:dyDescent="0.35">
      <c r="D194" s="20" t="str">
        <f t="shared" si="32"/>
        <v/>
      </c>
      <c r="E194" s="23" t="str">
        <f t="shared" si="33"/>
        <v/>
      </c>
      <c r="F194" s="20" t="str">
        <f t="shared" si="26"/>
        <v/>
      </c>
      <c r="G194" s="20">
        <f t="shared" si="27"/>
        <v>0</v>
      </c>
      <c r="H194" s="20">
        <f t="shared" si="36"/>
        <v>0</v>
      </c>
      <c r="I194" s="20">
        <f t="shared" si="28"/>
        <v>0</v>
      </c>
      <c r="J194" s="20">
        <f t="shared" si="36"/>
        <v>0</v>
      </c>
      <c r="K194" s="20">
        <f t="shared" si="29"/>
        <v>0</v>
      </c>
      <c r="L194" s="20">
        <f t="shared" si="36"/>
        <v>1</v>
      </c>
      <c r="M194" s="20">
        <f t="shared" si="30"/>
        <v>0</v>
      </c>
      <c r="N194" s="20">
        <f>ABS(G194)</f>
        <v>0</v>
      </c>
      <c r="O194" s="20">
        <f>ABS(I194)</f>
        <v>0</v>
      </c>
      <c r="P194" s="20">
        <f>ABS(K194)</f>
        <v>0</v>
      </c>
      <c r="Q194" s="20">
        <f t="shared" ref="Q194:Q257" si="37">ABS(M194)</f>
        <v>0</v>
      </c>
    </row>
    <row r="195" spans="4:17" x14ac:dyDescent="0.35">
      <c r="D195" s="20" t="str">
        <f t="shared" si="32"/>
        <v/>
      </c>
      <c r="E195" s="23" t="str">
        <f t="shared" si="33"/>
        <v/>
      </c>
      <c r="F195" s="20" t="str">
        <f t="shared" si="26"/>
        <v/>
      </c>
      <c r="G195" s="20">
        <f t="shared" si="27"/>
        <v>0</v>
      </c>
      <c r="H195" s="20">
        <f t="shared" si="36"/>
        <v>1</v>
      </c>
      <c r="I195" s="20">
        <f t="shared" si="28"/>
        <v>0</v>
      </c>
      <c r="J195" s="20">
        <f t="shared" si="36"/>
        <v>0</v>
      </c>
      <c r="K195" s="20">
        <f t="shared" si="29"/>
        <v>0</v>
      </c>
      <c r="L195" s="20">
        <f t="shared" si="36"/>
        <v>0</v>
      </c>
      <c r="M195" s="20">
        <f t="shared" si="30"/>
        <v>0</v>
      </c>
      <c r="N195" s="20">
        <f>ABS(G195)</f>
        <v>0</v>
      </c>
      <c r="O195" s="20">
        <f>ABS(I195)</f>
        <v>0</v>
      </c>
      <c r="P195" s="20">
        <f>ABS(K195)</f>
        <v>0</v>
      </c>
      <c r="Q195" s="20">
        <f t="shared" si="37"/>
        <v>0</v>
      </c>
    </row>
    <row r="196" spans="4:17" x14ac:dyDescent="0.35">
      <c r="D196" s="20" t="str">
        <f t="shared" si="32"/>
        <v/>
      </c>
      <c r="E196" s="23" t="str">
        <f t="shared" si="33"/>
        <v/>
      </c>
      <c r="F196" s="20" t="str">
        <f t="shared" ref="F196:F259" si="38">IF(D195&lt;=$B$5,((3*E196^2)-(4*E196)*(SIN(1.4*E196^3)^2))/((0.4*E196^2+1)^(1/4)),"")</f>
        <v/>
      </c>
      <c r="G196" s="20">
        <f t="shared" ref="G196:G259" si="39">IF(D196=$B$5+1,F196,0)</f>
        <v>0</v>
      </c>
      <c r="H196" s="20">
        <f t="shared" si="36"/>
        <v>0</v>
      </c>
      <c r="I196" s="20">
        <f t="shared" ref="I196:I259" si="40">IF(D195&lt;$B$5,F196*H196,0)</f>
        <v>0</v>
      </c>
      <c r="J196" s="20">
        <f t="shared" si="36"/>
        <v>1</v>
      </c>
      <c r="K196" s="20">
        <f t="shared" ref="K196:K259" si="41">IF(D195&lt;$B$5,F196*J196,0)</f>
        <v>0</v>
      </c>
      <c r="L196" s="20">
        <f t="shared" si="36"/>
        <v>0</v>
      </c>
      <c r="M196" s="20">
        <f t="shared" ref="M196:M259" si="42">IF(D195&lt;$B$5,F196*L196,0)</f>
        <v>0</v>
      </c>
      <c r="N196" s="20">
        <f>ABS(G196)</f>
        <v>0</v>
      </c>
      <c r="O196" s="20">
        <f>ABS(I196)</f>
        <v>0</v>
      </c>
      <c r="P196" s="20">
        <f>ABS(K196)</f>
        <v>0</v>
      </c>
      <c r="Q196" s="20">
        <f t="shared" si="37"/>
        <v>0</v>
      </c>
    </row>
    <row r="197" spans="4:17" x14ac:dyDescent="0.35">
      <c r="D197" s="20" t="str">
        <f t="shared" si="32"/>
        <v/>
      </c>
      <c r="E197" s="23" t="str">
        <f t="shared" si="33"/>
        <v/>
      </c>
      <c r="F197" s="20" t="str">
        <f t="shared" si="38"/>
        <v/>
      </c>
      <c r="G197" s="20">
        <f t="shared" si="39"/>
        <v>0</v>
      </c>
      <c r="H197" s="20">
        <f t="shared" si="36"/>
        <v>0</v>
      </c>
      <c r="I197" s="20">
        <f t="shared" si="40"/>
        <v>0</v>
      </c>
      <c r="J197" s="20">
        <f t="shared" si="36"/>
        <v>0</v>
      </c>
      <c r="K197" s="20">
        <f t="shared" si="41"/>
        <v>0</v>
      </c>
      <c r="L197" s="20">
        <f t="shared" si="36"/>
        <v>1</v>
      </c>
      <c r="M197" s="20">
        <f t="shared" si="42"/>
        <v>0</v>
      </c>
      <c r="N197" s="20">
        <f>ABS(G197)</f>
        <v>0</v>
      </c>
      <c r="O197" s="20">
        <f>ABS(I197)</f>
        <v>0</v>
      </c>
      <c r="P197" s="20">
        <f>ABS(K197)</f>
        <v>0</v>
      </c>
      <c r="Q197" s="20">
        <f t="shared" si="37"/>
        <v>0</v>
      </c>
    </row>
    <row r="198" spans="4:17" x14ac:dyDescent="0.35">
      <c r="D198" s="20" t="str">
        <f t="shared" si="32"/>
        <v/>
      </c>
      <c r="E198" s="23" t="str">
        <f t="shared" si="33"/>
        <v/>
      </c>
      <c r="F198" s="20" t="str">
        <f t="shared" si="38"/>
        <v/>
      </c>
      <c r="G198" s="20">
        <f t="shared" si="39"/>
        <v>0</v>
      </c>
      <c r="H198" s="20">
        <f t="shared" si="36"/>
        <v>1</v>
      </c>
      <c r="I198" s="20">
        <f t="shared" si="40"/>
        <v>0</v>
      </c>
      <c r="J198" s="20">
        <f t="shared" si="36"/>
        <v>0</v>
      </c>
      <c r="K198" s="20">
        <f t="shared" si="41"/>
        <v>0</v>
      </c>
      <c r="L198" s="20">
        <f t="shared" si="36"/>
        <v>0</v>
      </c>
      <c r="M198" s="20">
        <f t="shared" si="42"/>
        <v>0</v>
      </c>
      <c r="N198" s="20">
        <f>ABS(G198)</f>
        <v>0</v>
      </c>
      <c r="O198" s="20">
        <f>ABS(I198)</f>
        <v>0</v>
      </c>
      <c r="P198" s="20">
        <f>ABS(K198)</f>
        <v>0</v>
      </c>
      <c r="Q198" s="20">
        <f t="shared" si="37"/>
        <v>0</v>
      </c>
    </row>
    <row r="199" spans="4:17" x14ac:dyDescent="0.35">
      <c r="D199" s="20" t="str">
        <f t="shared" si="32"/>
        <v/>
      </c>
      <c r="E199" s="23" t="str">
        <f t="shared" si="33"/>
        <v/>
      </c>
      <c r="F199" s="20" t="str">
        <f t="shared" si="38"/>
        <v/>
      </c>
      <c r="G199" s="20">
        <f t="shared" si="39"/>
        <v>0</v>
      </c>
      <c r="H199" s="20">
        <f t="shared" ref="H199:L214" si="43">IF(H198+H197=0,1,0)</f>
        <v>0</v>
      </c>
      <c r="I199" s="20">
        <f t="shared" si="40"/>
        <v>0</v>
      </c>
      <c r="J199" s="20">
        <f t="shared" si="43"/>
        <v>1</v>
      </c>
      <c r="K199" s="20">
        <f t="shared" si="41"/>
        <v>0</v>
      </c>
      <c r="L199" s="20">
        <f t="shared" si="43"/>
        <v>0</v>
      </c>
      <c r="M199" s="20">
        <f t="shared" si="42"/>
        <v>0</v>
      </c>
      <c r="N199" s="20">
        <f>ABS(G199)</f>
        <v>0</v>
      </c>
      <c r="O199" s="20">
        <f>ABS(I199)</f>
        <v>0</v>
      </c>
      <c r="P199" s="20">
        <f>ABS(K199)</f>
        <v>0</v>
      </c>
      <c r="Q199" s="20">
        <f t="shared" si="37"/>
        <v>0</v>
      </c>
    </row>
    <row r="200" spans="4:17" x14ac:dyDescent="0.35">
      <c r="D200" s="20" t="str">
        <f t="shared" si="32"/>
        <v/>
      </c>
      <c r="E200" s="23" t="str">
        <f t="shared" si="33"/>
        <v/>
      </c>
      <c r="F200" s="20" t="str">
        <f t="shared" si="38"/>
        <v/>
      </c>
      <c r="G200" s="20">
        <f t="shared" si="39"/>
        <v>0</v>
      </c>
      <c r="H200" s="20">
        <f t="shared" si="43"/>
        <v>0</v>
      </c>
      <c r="I200" s="20">
        <f t="shared" si="40"/>
        <v>0</v>
      </c>
      <c r="J200" s="20">
        <f t="shared" si="43"/>
        <v>0</v>
      </c>
      <c r="K200" s="20">
        <f t="shared" si="41"/>
        <v>0</v>
      </c>
      <c r="L200" s="20">
        <f t="shared" si="43"/>
        <v>1</v>
      </c>
      <c r="M200" s="20">
        <f t="shared" si="42"/>
        <v>0</v>
      </c>
      <c r="N200" s="20">
        <f>ABS(G200)</f>
        <v>0</v>
      </c>
      <c r="O200" s="20">
        <f>ABS(I200)</f>
        <v>0</v>
      </c>
      <c r="P200" s="20">
        <f>ABS(K200)</f>
        <v>0</v>
      </c>
      <c r="Q200" s="20">
        <f t="shared" si="37"/>
        <v>0</v>
      </c>
    </row>
    <row r="201" spans="4:17" x14ac:dyDescent="0.35">
      <c r="D201" s="20" t="str">
        <f t="shared" si="32"/>
        <v/>
      </c>
      <c r="E201" s="23" t="str">
        <f t="shared" si="33"/>
        <v/>
      </c>
      <c r="F201" s="20" t="str">
        <f t="shared" si="38"/>
        <v/>
      </c>
      <c r="G201" s="20">
        <f t="shared" si="39"/>
        <v>0</v>
      </c>
      <c r="H201" s="20">
        <f t="shared" si="43"/>
        <v>1</v>
      </c>
      <c r="I201" s="20">
        <f t="shared" si="40"/>
        <v>0</v>
      </c>
      <c r="J201" s="20">
        <f t="shared" si="43"/>
        <v>0</v>
      </c>
      <c r="K201" s="20">
        <f t="shared" si="41"/>
        <v>0</v>
      </c>
      <c r="L201" s="20">
        <f t="shared" si="43"/>
        <v>0</v>
      </c>
      <c r="M201" s="20">
        <f t="shared" si="42"/>
        <v>0</v>
      </c>
      <c r="N201" s="20">
        <f>ABS(G201)</f>
        <v>0</v>
      </c>
      <c r="O201" s="20">
        <f>ABS(I201)</f>
        <v>0</v>
      </c>
      <c r="P201" s="20">
        <f>ABS(K201)</f>
        <v>0</v>
      </c>
      <c r="Q201" s="20">
        <f t="shared" si="37"/>
        <v>0</v>
      </c>
    </row>
    <row r="202" spans="4:17" x14ac:dyDescent="0.35">
      <c r="D202" s="20" t="str">
        <f t="shared" si="32"/>
        <v/>
      </c>
      <c r="E202" s="23" t="str">
        <f t="shared" si="33"/>
        <v/>
      </c>
      <c r="F202" s="20" t="str">
        <f t="shared" si="38"/>
        <v/>
      </c>
      <c r="G202" s="20">
        <f t="shared" si="39"/>
        <v>0</v>
      </c>
      <c r="H202" s="20">
        <f t="shared" si="43"/>
        <v>0</v>
      </c>
      <c r="I202" s="20">
        <f t="shared" si="40"/>
        <v>0</v>
      </c>
      <c r="J202" s="20">
        <f t="shared" si="43"/>
        <v>1</v>
      </c>
      <c r="K202" s="20">
        <f t="shared" si="41"/>
        <v>0</v>
      </c>
      <c r="L202" s="20">
        <f t="shared" si="43"/>
        <v>0</v>
      </c>
      <c r="M202" s="20">
        <f t="shared" si="42"/>
        <v>0</v>
      </c>
      <c r="N202" s="20">
        <f>ABS(G202)</f>
        <v>0</v>
      </c>
      <c r="O202" s="20">
        <f>ABS(I202)</f>
        <v>0</v>
      </c>
      <c r="P202" s="20">
        <f>ABS(K202)</f>
        <v>0</v>
      </c>
      <c r="Q202" s="20">
        <f t="shared" si="37"/>
        <v>0</v>
      </c>
    </row>
    <row r="203" spans="4:17" x14ac:dyDescent="0.35">
      <c r="D203" s="20" t="str">
        <f t="shared" si="32"/>
        <v/>
      </c>
      <c r="E203" s="23" t="str">
        <f t="shared" si="33"/>
        <v/>
      </c>
      <c r="F203" s="20" t="str">
        <f t="shared" si="38"/>
        <v/>
      </c>
      <c r="G203" s="20">
        <f t="shared" si="39"/>
        <v>0</v>
      </c>
      <c r="H203" s="20">
        <f t="shared" si="43"/>
        <v>0</v>
      </c>
      <c r="I203" s="20">
        <f t="shared" si="40"/>
        <v>0</v>
      </c>
      <c r="J203" s="20">
        <f t="shared" si="43"/>
        <v>0</v>
      </c>
      <c r="K203" s="20">
        <f t="shared" si="41"/>
        <v>0</v>
      </c>
      <c r="L203" s="20">
        <f t="shared" si="43"/>
        <v>1</v>
      </c>
      <c r="M203" s="20">
        <f t="shared" si="42"/>
        <v>0</v>
      </c>
      <c r="N203" s="20">
        <f>ABS(G203)</f>
        <v>0</v>
      </c>
      <c r="O203" s="20">
        <f>ABS(I203)</f>
        <v>0</v>
      </c>
      <c r="P203" s="20">
        <f>ABS(K203)</f>
        <v>0</v>
      </c>
      <c r="Q203" s="20">
        <f t="shared" si="37"/>
        <v>0</v>
      </c>
    </row>
    <row r="204" spans="4:17" x14ac:dyDescent="0.35">
      <c r="D204" s="20" t="str">
        <f t="shared" si="32"/>
        <v/>
      </c>
      <c r="E204" s="23" t="str">
        <f t="shared" si="33"/>
        <v/>
      </c>
      <c r="F204" s="20" t="str">
        <f t="shared" si="38"/>
        <v/>
      </c>
      <c r="G204" s="20">
        <f t="shared" si="39"/>
        <v>0</v>
      </c>
      <c r="H204" s="20">
        <f t="shared" si="43"/>
        <v>1</v>
      </c>
      <c r="I204" s="20">
        <f t="shared" si="40"/>
        <v>0</v>
      </c>
      <c r="J204" s="20">
        <f t="shared" si="43"/>
        <v>0</v>
      </c>
      <c r="K204" s="20">
        <f t="shared" si="41"/>
        <v>0</v>
      </c>
      <c r="L204" s="20">
        <f t="shared" si="43"/>
        <v>0</v>
      </c>
      <c r="M204" s="20">
        <f t="shared" si="42"/>
        <v>0</v>
      </c>
      <c r="N204" s="20">
        <f>ABS(G204)</f>
        <v>0</v>
      </c>
      <c r="O204" s="20">
        <f>ABS(I204)</f>
        <v>0</v>
      </c>
      <c r="P204" s="20">
        <f>ABS(K204)</f>
        <v>0</v>
      </c>
      <c r="Q204" s="20">
        <f t="shared" si="37"/>
        <v>0</v>
      </c>
    </row>
    <row r="205" spans="4:17" x14ac:dyDescent="0.35">
      <c r="D205" s="20" t="str">
        <f t="shared" si="32"/>
        <v/>
      </c>
      <c r="E205" s="23" t="str">
        <f t="shared" si="33"/>
        <v/>
      </c>
      <c r="F205" s="20" t="str">
        <f t="shared" si="38"/>
        <v/>
      </c>
      <c r="G205" s="20">
        <f t="shared" si="39"/>
        <v>0</v>
      </c>
      <c r="H205" s="20">
        <f t="shared" si="43"/>
        <v>0</v>
      </c>
      <c r="I205" s="20">
        <f t="shared" si="40"/>
        <v>0</v>
      </c>
      <c r="J205" s="20">
        <f t="shared" si="43"/>
        <v>1</v>
      </c>
      <c r="K205" s="20">
        <f t="shared" si="41"/>
        <v>0</v>
      </c>
      <c r="L205" s="20">
        <f t="shared" si="43"/>
        <v>0</v>
      </c>
      <c r="M205" s="20">
        <f t="shared" si="42"/>
        <v>0</v>
      </c>
      <c r="N205" s="20">
        <f>ABS(G205)</f>
        <v>0</v>
      </c>
      <c r="O205" s="20">
        <f>ABS(I205)</f>
        <v>0</v>
      </c>
      <c r="P205" s="20">
        <f>ABS(K205)</f>
        <v>0</v>
      </c>
      <c r="Q205" s="20">
        <f t="shared" si="37"/>
        <v>0</v>
      </c>
    </row>
    <row r="206" spans="4:17" x14ac:dyDescent="0.35">
      <c r="D206" s="20" t="str">
        <f t="shared" si="32"/>
        <v/>
      </c>
      <c r="E206" s="23" t="str">
        <f t="shared" si="33"/>
        <v/>
      </c>
      <c r="F206" s="20" t="str">
        <f t="shared" si="38"/>
        <v/>
      </c>
      <c r="G206" s="20">
        <f t="shared" si="39"/>
        <v>0</v>
      </c>
      <c r="H206" s="20">
        <f t="shared" si="43"/>
        <v>0</v>
      </c>
      <c r="I206" s="20">
        <f t="shared" si="40"/>
        <v>0</v>
      </c>
      <c r="J206" s="20">
        <f t="shared" si="43"/>
        <v>0</v>
      </c>
      <c r="K206" s="20">
        <f t="shared" si="41"/>
        <v>0</v>
      </c>
      <c r="L206" s="20">
        <f t="shared" si="43"/>
        <v>1</v>
      </c>
      <c r="M206" s="20">
        <f t="shared" si="42"/>
        <v>0</v>
      </c>
      <c r="N206" s="20">
        <f>ABS(G206)</f>
        <v>0</v>
      </c>
      <c r="O206" s="20">
        <f>ABS(I206)</f>
        <v>0</v>
      </c>
      <c r="P206" s="20">
        <f>ABS(K206)</f>
        <v>0</v>
      </c>
      <c r="Q206" s="20">
        <f t="shared" si="37"/>
        <v>0</v>
      </c>
    </row>
    <row r="207" spans="4:17" x14ac:dyDescent="0.35">
      <c r="D207" s="20" t="str">
        <f t="shared" si="32"/>
        <v/>
      </c>
      <c r="E207" s="23" t="str">
        <f t="shared" si="33"/>
        <v/>
      </c>
      <c r="F207" s="20" t="str">
        <f t="shared" si="38"/>
        <v/>
      </c>
      <c r="G207" s="20">
        <f t="shared" si="39"/>
        <v>0</v>
      </c>
      <c r="H207" s="20">
        <f t="shared" si="43"/>
        <v>1</v>
      </c>
      <c r="I207" s="20">
        <f t="shared" si="40"/>
        <v>0</v>
      </c>
      <c r="J207" s="20">
        <f t="shared" si="43"/>
        <v>0</v>
      </c>
      <c r="K207" s="20">
        <f t="shared" si="41"/>
        <v>0</v>
      </c>
      <c r="L207" s="20">
        <f t="shared" si="43"/>
        <v>0</v>
      </c>
      <c r="M207" s="20">
        <f t="shared" si="42"/>
        <v>0</v>
      </c>
      <c r="N207" s="20">
        <f>ABS(G207)</f>
        <v>0</v>
      </c>
      <c r="O207" s="20">
        <f>ABS(I207)</f>
        <v>0</v>
      </c>
      <c r="P207" s="20">
        <f>ABS(K207)</f>
        <v>0</v>
      </c>
      <c r="Q207" s="20">
        <f t="shared" si="37"/>
        <v>0</v>
      </c>
    </row>
    <row r="208" spans="4:17" x14ac:dyDescent="0.35">
      <c r="D208" s="20" t="str">
        <f t="shared" si="32"/>
        <v/>
      </c>
      <c r="E208" s="23" t="str">
        <f t="shared" si="33"/>
        <v/>
      </c>
      <c r="F208" s="20" t="str">
        <f t="shared" si="38"/>
        <v/>
      </c>
      <c r="G208" s="20">
        <f t="shared" si="39"/>
        <v>0</v>
      </c>
      <c r="H208" s="20">
        <f t="shared" si="43"/>
        <v>0</v>
      </c>
      <c r="I208" s="20">
        <f t="shared" si="40"/>
        <v>0</v>
      </c>
      <c r="J208" s="20">
        <f t="shared" si="43"/>
        <v>1</v>
      </c>
      <c r="K208" s="20">
        <f t="shared" si="41"/>
        <v>0</v>
      </c>
      <c r="L208" s="20">
        <f t="shared" si="43"/>
        <v>0</v>
      </c>
      <c r="M208" s="20">
        <f t="shared" si="42"/>
        <v>0</v>
      </c>
      <c r="N208" s="20">
        <f>ABS(G208)</f>
        <v>0</v>
      </c>
      <c r="O208" s="20">
        <f>ABS(I208)</f>
        <v>0</v>
      </c>
      <c r="P208" s="20">
        <f>ABS(K208)</f>
        <v>0</v>
      </c>
      <c r="Q208" s="20">
        <f t="shared" si="37"/>
        <v>0</v>
      </c>
    </row>
    <row r="209" spans="4:17" x14ac:dyDescent="0.35">
      <c r="D209" s="20" t="str">
        <f t="shared" si="32"/>
        <v/>
      </c>
      <c r="E209" s="23" t="str">
        <f t="shared" si="33"/>
        <v/>
      </c>
      <c r="F209" s="20" t="str">
        <f t="shared" si="38"/>
        <v/>
      </c>
      <c r="G209" s="20">
        <f t="shared" si="39"/>
        <v>0</v>
      </c>
      <c r="H209" s="20">
        <f t="shared" si="43"/>
        <v>0</v>
      </c>
      <c r="I209" s="20">
        <f t="shared" si="40"/>
        <v>0</v>
      </c>
      <c r="J209" s="20">
        <f t="shared" si="43"/>
        <v>0</v>
      </c>
      <c r="K209" s="20">
        <f t="shared" si="41"/>
        <v>0</v>
      </c>
      <c r="L209" s="20">
        <f t="shared" si="43"/>
        <v>1</v>
      </c>
      <c r="M209" s="20">
        <f t="shared" si="42"/>
        <v>0</v>
      </c>
      <c r="N209" s="20">
        <f>ABS(G209)</f>
        <v>0</v>
      </c>
      <c r="O209" s="20">
        <f>ABS(I209)</f>
        <v>0</v>
      </c>
      <c r="P209" s="20">
        <f>ABS(K209)</f>
        <v>0</v>
      </c>
      <c r="Q209" s="20">
        <f t="shared" si="37"/>
        <v>0</v>
      </c>
    </row>
    <row r="210" spans="4:17" x14ac:dyDescent="0.35">
      <c r="D210" s="20" t="str">
        <f t="shared" si="32"/>
        <v/>
      </c>
      <c r="E210" s="23" t="str">
        <f t="shared" si="33"/>
        <v/>
      </c>
      <c r="F210" s="20" t="str">
        <f t="shared" si="38"/>
        <v/>
      </c>
      <c r="G210" s="20">
        <f t="shared" si="39"/>
        <v>0</v>
      </c>
      <c r="H210" s="20">
        <f t="shared" si="43"/>
        <v>1</v>
      </c>
      <c r="I210" s="20">
        <f t="shared" si="40"/>
        <v>0</v>
      </c>
      <c r="J210" s="20">
        <f t="shared" si="43"/>
        <v>0</v>
      </c>
      <c r="K210" s="20">
        <f t="shared" si="41"/>
        <v>0</v>
      </c>
      <c r="L210" s="20">
        <f t="shared" si="43"/>
        <v>0</v>
      </c>
      <c r="M210" s="20">
        <f t="shared" si="42"/>
        <v>0</v>
      </c>
      <c r="N210" s="20">
        <f>ABS(G210)</f>
        <v>0</v>
      </c>
      <c r="O210" s="20">
        <f>ABS(I210)</f>
        <v>0</v>
      </c>
      <c r="P210" s="20">
        <f>ABS(K210)</f>
        <v>0</v>
      </c>
      <c r="Q210" s="20">
        <f t="shared" si="37"/>
        <v>0</v>
      </c>
    </row>
    <row r="211" spans="4:17" x14ac:dyDescent="0.35">
      <c r="D211" s="20" t="str">
        <f t="shared" si="32"/>
        <v/>
      </c>
      <c r="E211" s="23" t="str">
        <f t="shared" si="33"/>
        <v/>
      </c>
      <c r="F211" s="20" t="str">
        <f t="shared" si="38"/>
        <v/>
      </c>
      <c r="G211" s="20">
        <f t="shared" si="39"/>
        <v>0</v>
      </c>
      <c r="H211" s="20">
        <f t="shared" si="43"/>
        <v>0</v>
      </c>
      <c r="I211" s="20">
        <f t="shared" si="40"/>
        <v>0</v>
      </c>
      <c r="J211" s="20">
        <f t="shared" si="43"/>
        <v>1</v>
      </c>
      <c r="K211" s="20">
        <f t="shared" si="41"/>
        <v>0</v>
      </c>
      <c r="L211" s="20">
        <f t="shared" si="43"/>
        <v>0</v>
      </c>
      <c r="M211" s="20">
        <f t="shared" si="42"/>
        <v>0</v>
      </c>
      <c r="N211" s="20">
        <f>ABS(G211)</f>
        <v>0</v>
      </c>
      <c r="O211" s="20">
        <f>ABS(I211)</f>
        <v>0</v>
      </c>
      <c r="P211" s="20">
        <f>ABS(K211)</f>
        <v>0</v>
      </c>
      <c r="Q211" s="20">
        <f t="shared" si="37"/>
        <v>0</v>
      </c>
    </row>
    <row r="212" spans="4:17" x14ac:dyDescent="0.35">
      <c r="D212" s="20" t="str">
        <f t="shared" si="32"/>
        <v/>
      </c>
      <c r="E212" s="23" t="str">
        <f t="shared" si="33"/>
        <v/>
      </c>
      <c r="F212" s="20" t="str">
        <f t="shared" si="38"/>
        <v/>
      </c>
      <c r="G212" s="20">
        <f t="shared" si="39"/>
        <v>0</v>
      </c>
      <c r="H212" s="20">
        <f t="shared" si="43"/>
        <v>0</v>
      </c>
      <c r="I212" s="20">
        <f t="shared" si="40"/>
        <v>0</v>
      </c>
      <c r="J212" s="20">
        <f t="shared" si="43"/>
        <v>0</v>
      </c>
      <c r="K212" s="20">
        <f t="shared" si="41"/>
        <v>0</v>
      </c>
      <c r="L212" s="20">
        <f t="shared" si="43"/>
        <v>1</v>
      </c>
      <c r="M212" s="20">
        <f t="shared" si="42"/>
        <v>0</v>
      </c>
      <c r="N212" s="20">
        <f>ABS(G212)</f>
        <v>0</v>
      </c>
      <c r="O212" s="20">
        <f>ABS(I212)</f>
        <v>0</v>
      </c>
      <c r="P212" s="20">
        <f>ABS(K212)</f>
        <v>0</v>
      </c>
      <c r="Q212" s="20">
        <f t="shared" si="37"/>
        <v>0</v>
      </c>
    </row>
    <row r="213" spans="4:17" x14ac:dyDescent="0.35">
      <c r="D213" s="20" t="str">
        <f t="shared" si="32"/>
        <v/>
      </c>
      <c r="E213" s="23" t="str">
        <f t="shared" si="33"/>
        <v/>
      </c>
      <c r="F213" s="20" t="str">
        <f t="shared" si="38"/>
        <v/>
      </c>
      <c r="G213" s="20">
        <f t="shared" si="39"/>
        <v>0</v>
      </c>
      <c r="H213" s="20">
        <f t="shared" si="43"/>
        <v>1</v>
      </c>
      <c r="I213" s="20">
        <f t="shared" si="40"/>
        <v>0</v>
      </c>
      <c r="J213" s="20">
        <f t="shared" si="43"/>
        <v>0</v>
      </c>
      <c r="K213" s="20">
        <f t="shared" si="41"/>
        <v>0</v>
      </c>
      <c r="L213" s="20">
        <f t="shared" si="43"/>
        <v>0</v>
      </c>
      <c r="M213" s="20">
        <f t="shared" si="42"/>
        <v>0</v>
      </c>
      <c r="N213" s="20">
        <f>ABS(G213)</f>
        <v>0</v>
      </c>
      <c r="O213" s="20">
        <f>ABS(I213)</f>
        <v>0</v>
      </c>
      <c r="P213" s="20">
        <f>ABS(K213)</f>
        <v>0</v>
      </c>
      <c r="Q213" s="20">
        <f t="shared" si="37"/>
        <v>0</v>
      </c>
    </row>
    <row r="214" spans="4:17" x14ac:dyDescent="0.35">
      <c r="D214" s="20" t="str">
        <f t="shared" si="32"/>
        <v/>
      </c>
      <c r="E214" s="23" t="str">
        <f t="shared" si="33"/>
        <v/>
      </c>
      <c r="F214" s="20" t="str">
        <f t="shared" si="38"/>
        <v/>
      </c>
      <c r="G214" s="20">
        <f t="shared" si="39"/>
        <v>0</v>
      </c>
      <c r="H214" s="20">
        <f t="shared" si="43"/>
        <v>0</v>
      </c>
      <c r="I214" s="20">
        <f t="shared" si="40"/>
        <v>0</v>
      </c>
      <c r="J214" s="20">
        <f t="shared" si="43"/>
        <v>1</v>
      </c>
      <c r="K214" s="20">
        <f t="shared" si="41"/>
        <v>0</v>
      </c>
      <c r="L214" s="20">
        <f t="shared" si="43"/>
        <v>0</v>
      </c>
      <c r="M214" s="20">
        <f t="shared" si="42"/>
        <v>0</v>
      </c>
      <c r="N214" s="20">
        <f>ABS(G214)</f>
        <v>0</v>
      </c>
      <c r="O214" s="20">
        <f>ABS(I214)</f>
        <v>0</v>
      </c>
      <c r="P214" s="20">
        <f>ABS(K214)</f>
        <v>0</v>
      </c>
      <c r="Q214" s="20">
        <f t="shared" si="37"/>
        <v>0</v>
      </c>
    </row>
    <row r="215" spans="4:17" x14ac:dyDescent="0.35">
      <c r="D215" s="20" t="str">
        <f t="shared" ref="D215:D278" si="44">IF(D214&lt;=$B$5,D214+1,"")</f>
        <v/>
      </c>
      <c r="E215" s="23" t="str">
        <f t="shared" ref="E215:E278" si="45">IF(D214&lt;=$B$5,E214+$B$6,"")</f>
        <v/>
      </c>
      <c r="F215" s="20" t="str">
        <f t="shared" si="38"/>
        <v/>
      </c>
      <c r="G215" s="20">
        <f t="shared" si="39"/>
        <v>0</v>
      </c>
      <c r="H215" s="20">
        <f t="shared" ref="H215:L230" si="46">IF(H214+H213=0,1,0)</f>
        <v>0</v>
      </c>
      <c r="I215" s="20">
        <f t="shared" si="40"/>
        <v>0</v>
      </c>
      <c r="J215" s="20">
        <f t="shared" si="46"/>
        <v>0</v>
      </c>
      <c r="K215" s="20">
        <f t="shared" si="41"/>
        <v>0</v>
      </c>
      <c r="L215" s="20">
        <f t="shared" si="46"/>
        <v>1</v>
      </c>
      <c r="M215" s="20">
        <f t="shared" si="42"/>
        <v>0</v>
      </c>
      <c r="N215" s="20">
        <f>ABS(G215)</f>
        <v>0</v>
      </c>
      <c r="O215" s="20">
        <f>ABS(I215)</f>
        <v>0</v>
      </c>
      <c r="P215" s="20">
        <f>ABS(K215)</f>
        <v>0</v>
      </c>
      <c r="Q215" s="20">
        <f t="shared" si="37"/>
        <v>0</v>
      </c>
    </row>
    <row r="216" spans="4:17" x14ac:dyDescent="0.35">
      <c r="D216" s="20" t="str">
        <f t="shared" si="44"/>
        <v/>
      </c>
      <c r="E216" s="23" t="str">
        <f t="shared" si="45"/>
        <v/>
      </c>
      <c r="F216" s="20" t="str">
        <f t="shared" si="38"/>
        <v/>
      </c>
      <c r="G216" s="20">
        <f t="shared" si="39"/>
        <v>0</v>
      </c>
      <c r="H216" s="20">
        <f t="shared" si="46"/>
        <v>1</v>
      </c>
      <c r="I216" s="20">
        <f t="shared" si="40"/>
        <v>0</v>
      </c>
      <c r="J216" s="20">
        <f t="shared" si="46"/>
        <v>0</v>
      </c>
      <c r="K216" s="20">
        <f t="shared" si="41"/>
        <v>0</v>
      </c>
      <c r="L216" s="20">
        <f t="shared" si="46"/>
        <v>0</v>
      </c>
      <c r="M216" s="20">
        <f t="shared" si="42"/>
        <v>0</v>
      </c>
      <c r="N216" s="20">
        <f>ABS(G216)</f>
        <v>0</v>
      </c>
      <c r="O216" s="20">
        <f>ABS(I216)</f>
        <v>0</v>
      </c>
      <c r="P216" s="20">
        <f>ABS(K216)</f>
        <v>0</v>
      </c>
      <c r="Q216" s="20">
        <f t="shared" si="37"/>
        <v>0</v>
      </c>
    </row>
    <row r="217" spans="4:17" x14ac:dyDescent="0.35">
      <c r="D217" s="20" t="str">
        <f t="shared" si="44"/>
        <v/>
      </c>
      <c r="E217" s="23" t="str">
        <f t="shared" si="45"/>
        <v/>
      </c>
      <c r="F217" s="20" t="str">
        <f t="shared" si="38"/>
        <v/>
      </c>
      <c r="G217" s="20">
        <f t="shared" si="39"/>
        <v>0</v>
      </c>
      <c r="H217" s="20">
        <f t="shared" si="46"/>
        <v>0</v>
      </c>
      <c r="I217" s="20">
        <f t="shared" si="40"/>
        <v>0</v>
      </c>
      <c r="J217" s="20">
        <f t="shared" si="46"/>
        <v>1</v>
      </c>
      <c r="K217" s="20">
        <f t="shared" si="41"/>
        <v>0</v>
      </c>
      <c r="L217" s="20">
        <f t="shared" si="46"/>
        <v>0</v>
      </c>
      <c r="M217" s="20">
        <f t="shared" si="42"/>
        <v>0</v>
      </c>
      <c r="N217" s="20">
        <f>ABS(G217)</f>
        <v>0</v>
      </c>
      <c r="O217" s="20">
        <f>ABS(I217)</f>
        <v>0</v>
      </c>
      <c r="P217" s="20">
        <f>ABS(K217)</f>
        <v>0</v>
      </c>
      <c r="Q217" s="20">
        <f t="shared" si="37"/>
        <v>0</v>
      </c>
    </row>
    <row r="218" spans="4:17" x14ac:dyDescent="0.35">
      <c r="D218" s="20" t="str">
        <f t="shared" si="44"/>
        <v/>
      </c>
      <c r="E218" s="23" t="str">
        <f t="shared" si="45"/>
        <v/>
      </c>
      <c r="F218" s="20" t="str">
        <f t="shared" si="38"/>
        <v/>
      </c>
      <c r="G218" s="20">
        <f t="shared" si="39"/>
        <v>0</v>
      </c>
      <c r="H218" s="20">
        <f t="shared" si="46"/>
        <v>0</v>
      </c>
      <c r="I218" s="20">
        <f t="shared" si="40"/>
        <v>0</v>
      </c>
      <c r="J218" s="20">
        <f t="shared" si="46"/>
        <v>0</v>
      </c>
      <c r="K218" s="20">
        <f t="shared" si="41"/>
        <v>0</v>
      </c>
      <c r="L218" s="20">
        <f t="shared" si="46"/>
        <v>1</v>
      </c>
      <c r="M218" s="20">
        <f t="shared" si="42"/>
        <v>0</v>
      </c>
      <c r="N218" s="20">
        <f>ABS(G218)</f>
        <v>0</v>
      </c>
      <c r="O218" s="20">
        <f>ABS(I218)</f>
        <v>0</v>
      </c>
      <c r="P218" s="20">
        <f>ABS(K218)</f>
        <v>0</v>
      </c>
      <c r="Q218" s="20">
        <f t="shared" si="37"/>
        <v>0</v>
      </c>
    </row>
    <row r="219" spans="4:17" x14ac:dyDescent="0.35">
      <c r="D219" s="20" t="str">
        <f t="shared" si="44"/>
        <v/>
      </c>
      <c r="E219" s="23" t="str">
        <f t="shared" si="45"/>
        <v/>
      </c>
      <c r="F219" s="20" t="str">
        <f t="shared" si="38"/>
        <v/>
      </c>
      <c r="G219" s="20">
        <f t="shared" si="39"/>
        <v>0</v>
      </c>
      <c r="H219" s="20">
        <f t="shared" si="46"/>
        <v>1</v>
      </c>
      <c r="I219" s="20">
        <f t="shared" si="40"/>
        <v>0</v>
      </c>
      <c r="J219" s="20">
        <f t="shared" si="46"/>
        <v>0</v>
      </c>
      <c r="K219" s="20">
        <f t="shared" si="41"/>
        <v>0</v>
      </c>
      <c r="L219" s="20">
        <f t="shared" si="46"/>
        <v>0</v>
      </c>
      <c r="M219" s="20">
        <f t="shared" si="42"/>
        <v>0</v>
      </c>
      <c r="N219" s="20">
        <f>ABS(G219)</f>
        <v>0</v>
      </c>
      <c r="O219" s="20">
        <f>ABS(I219)</f>
        <v>0</v>
      </c>
      <c r="P219" s="20">
        <f>ABS(K219)</f>
        <v>0</v>
      </c>
      <c r="Q219" s="20">
        <f t="shared" si="37"/>
        <v>0</v>
      </c>
    </row>
    <row r="220" spans="4:17" x14ac:dyDescent="0.35">
      <c r="D220" s="20" t="str">
        <f t="shared" si="44"/>
        <v/>
      </c>
      <c r="E220" s="23" t="str">
        <f t="shared" si="45"/>
        <v/>
      </c>
      <c r="F220" s="20" t="str">
        <f t="shared" si="38"/>
        <v/>
      </c>
      <c r="G220" s="20">
        <f t="shared" si="39"/>
        <v>0</v>
      </c>
      <c r="H220" s="20">
        <f t="shared" si="46"/>
        <v>0</v>
      </c>
      <c r="I220" s="20">
        <f t="shared" si="40"/>
        <v>0</v>
      </c>
      <c r="J220" s="20">
        <f t="shared" si="46"/>
        <v>1</v>
      </c>
      <c r="K220" s="20">
        <f t="shared" si="41"/>
        <v>0</v>
      </c>
      <c r="L220" s="20">
        <f t="shared" si="46"/>
        <v>0</v>
      </c>
      <c r="M220" s="20">
        <f t="shared" si="42"/>
        <v>0</v>
      </c>
      <c r="N220" s="20">
        <f>ABS(G220)</f>
        <v>0</v>
      </c>
      <c r="O220" s="20">
        <f>ABS(I220)</f>
        <v>0</v>
      </c>
      <c r="P220" s="20">
        <f>ABS(K220)</f>
        <v>0</v>
      </c>
      <c r="Q220" s="20">
        <f t="shared" si="37"/>
        <v>0</v>
      </c>
    </row>
    <row r="221" spans="4:17" x14ac:dyDescent="0.35">
      <c r="D221" s="20" t="str">
        <f t="shared" si="44"/>
        <v/>
      </c>
      <c r="E221" s="23" t="str">
        <f t="shared" si="45"/>
        <v/>
      </c>
      <c r="F221" s="20" t="str">
        <f t="shared" si="38"/>
        <v/>
      </c>
      <c r="G221" s="20">
        <f t="shared" si="39"/>
        <v>0</v>
      </c>
      <c r="H221" s="20">
        <f t="shared" si="46"/>
        <v>0</v>
      </c>
      <c r="I221" s="20">
        <f t="shared" si="40"/>
        <v>0</v>
      </c>
      <c r="J221" s="20">
        <f t="shared" si="46"/>
        <v>0</v>
      </c>
      <c r="K221" s="20">
        <f t="shared" si="41"/>
        <v>0</v>
      </c>
      <c r="L221" s="20">
        <f t="shared" si="46"/>
        <v>1</v>
      </c>
      <c r="M221" s="20">
        <f t="shared" si="42"/>
        <v>0</v>
      </c>
      <c r="N221" s="20">
        <f>ABS(G221)</f>
        <v>0</v>
      </c>
      <c r="O221" s="20">
        <f>ABS(I221)</f>
        <v>0</v>
      </c>
      <c r="P221" s="20">
        <f>ABS(K221)</f>
        <v>0</v>
      </c>
      <c r="Q221" s="20">
        <f t="shared" si="37"/>
        <v>0</v>
      </c>
    </row>
    <row r="222" spans="4:17" x14ac:dyDescent="0.35">
      <c r="D222" s="20" t="str">
        <f t="shared" si="44"/>
        <v/>
      </c>
      <c r="E222" s="23" t="str">
        <f t="shared" si="45"/>
        <v/>
      </c>
      <c r="F222" s="20" t="str">
        <f t="shared" si="38"/>
        <v/>
      </c>
      <c r="G222" s="20">
        <f t="shared" si="39"/>
        <v>0</v>
      </c>
      <c r="H222" s="20">
        <f t="shared" si="46"/>
        <v>1</v>
      </c>
      <c r="I222" s="20">
        <f t="shared" si="40"/>
        <v>0</v>
      </c>
      <c r="J222" s="20">
        <f t="shared" si="46"/>
        <v>0</v>
      </c>
      <c r="K222" s="20">
        <f t="shared" si="41"/>
        <v>0</v>
      </c>
      <c r="L222" s="20">
        <f t="shared" si="46"/>
        <v>0</v>
      </c>
      <c r="M222" s="20">
        <f t="shared" si="42"/>
        <v>0</v>
      </c>
      <c r="N222" s="20">
        <f>ABS(G222)</f>
        <v>0</v>
      </c>
      <c r="O222" s="20">
        <f>ABS(I222)</f>
        <v>0</v>
      </c>
      <c r="P222" s="20">
        <f>ABS(K222)</f>
        <v>0</v>
      </c>
      <c r="Q222" s="20">
        <f t="shared" si="37"/>
        <v>0</v>
      </c>
    </row>
    <row r="223" spans="4:17" x14ac:dyDescent="0.35">
      <c r="D223" s="20" t="str">
        <f t="shared" si="44"/>
        <v/>
      </c>
      <c r="E223" s="23" t="str">
        <f t="shared" si="45"/>
        <v/>
      </c>
      <c r="F223" s="20" t="str">
        <f t="shared" si="38"/>
        <v/>
      </c>
      <c r="G223" s="20">
        <f t="shared" si="39"/>
        <v>0</v>
      </c>
      <c r="H223" s="20">
        <f t="shared" si="46"/>
        <v>0</v>
      </c>
      <c r="I223" s="20">
        <f t="shared" si="40"/>
        <v>0</v>
      </c>
      <c r="J223" s="20">
        <f t="shared" si="46"/>
        <v>1</v>
      </c>
      <c r="K223" s="20">
        <f t="shared" si="41"/>
        <v>0</v>
      </c>
      <c r="L223" s="20">
        <f t="shared" si="46"/>
        <v>0</v>
      </c>
      <c r="M223" s="20">
        <f t="shared" si="42"/>
        <v>0</v>
      </c>
      <c r="N223" s="20">
        <f>ABS(G223)</f>
        <v>0</v>
      </c>
      <c r="O223" s="20">
        <f>ABS(I223)</f>
        <v>0</v>
      </c>
      <c r="P223" s="20">
        <f>ABS(K223)</f>
        <v>0</v>
      </c>
      <c r="Q223" s="20">
        <f t="shared" si="37"/>
        <v>0</v>
      </c>
    </row>
    <row r="224" spans="4:17" x14ac:dyDescent="0.35">
      <c r="D224" s="20" t="str">
        <f t="shared" si="44"/>
        <v/>
      </c>
      <c r="E224" s="23" t="str">
        <f t="shared" si="45"/>
        <v/>
      </c>
      <c r="F224" s="20" t="str">
        <f t="shared" si="38"/>
        <v/>
      </c>
      <c r="G224" s="20">
        <f t="shared" si="39"/>
        <v>0</v>
      </c>
      <c r="H224" s="20">
        <f t="shared" si="46"/>
        <v>0</v>
      </c>
      <c r="I224" s="20">
        <f t="shared" si="40"/>
        <v>0</v>
      </c>
      <c r="J224" s="20">
        <f t="shared" si="46"/>
        <v>0</v>
      </c>
      <c r="K224" s="20">
        <f t="shared" si="41"/>
        <v>0</v>
      </c>
      <c r="L224" s="20">
        <f t="shared" si="46"/>
        <v>1</v>
      </c>
      <c r="M224" s="20">
        <f t="shared" si="42"/>
        <v>0</v>
      </c>
      <c r="N224" s="20">
        <f>ABS(G224)</f>
        <v>0</v>
      </c>
      <c r="O224" s="20">
        <f>ABS(I224)</f>
        <v>0</v>
      </c>
      <c r="P224" s="20">
        <f>ABS(K224)</f>
        <v>0</v>
      </c>
      <c r="Q224" s="20">
        <f t="shared" si="37"/>
        <v>0</v>
      </c>
    </row>
    <row r="225" spans="4:17" x14ac:dyDescent="0.35">
      <c r="D225" s="20" t="str">
        <f t="shared" si="44"/>
        <v/>
      </c>
      <c r="E225" s="23" t="str">
        <f t="shared" si="45"/>
        <v/>
      </c>
      <c r="F225" s="20" t="str">
        <f t="shared" si="38"/>
        <v/>
      </c>
      <c r="G225" s="20">
        <f t="shared" si="39"/>
        <v>0</v>
      </c>
      <c r="H225" s="20">
        <f t="shared" si="46"/>
        <v>1</v>
      </c>
      <c r="I225" s="20">
        <f t="shared" si="40"/>
        <v>0</v>
      </c>
      <c r="J225" s="20">
        <f t="shared" si="46"/>
        <v>0</v>
      </c>
      <c r="K225" s="20">
        <f t="shared" si="41"/>
        <v>0</v>
      </c>
      <c r="L225" s="20">
        <f t="shared" si="46"/>
        <v>0</v>
      </c>
      <c r="M225" s="20">
        <f t="shared" si="42"/>
        <v>0</v>
      </c>
      <c r="N225" s="20">
        <f>ABS(G225)</f>
        <v>0</v>
      </c>
      <c r="O225" s="20">
        <f>ABS(I225)</f>
        <v>0</v>
      </c>
      <c r="P225" s="20">
        <f>ABS(K225)</f>
        <v>0</v>
      </c>
      <c r="Q225" s="20">
        <f t="shared" si="37"/>
        <v>0</v>
      </c>
    </row>
    <row r="226" spans="4:17" x14ac:dyDescent="0.35">
      <c r="D226" s="20" t="str">
        <f t="shared" si="44"/>
        <v/>
      </c>
      <c r="E226" s="23" t="str">
        <f t="shared" si="45"/>
        <v/>
      </c>
      <c r="F226" s="20" t="str">
        <f t="shared" si="38"/>
        <v/>
      </c>
      <c r="G226" s="20">
        <f t="shared" si="39"/>
        <v>0</v>
      </c>
      <c r="H226" s="20">
        <f t="shared" si="46"/>
        <v>0</v>
      </c>
      <c r="I226" s="20">
        <f t="shared" si="40"/>
        <v>0</v>
      </c>
      <c r="J226" s="20">
        <f t="shared" si="46"/>
        <v>1</v>
      </c>
      <c r="K226" s="20">
        <f t="shared" si="41"/>
        <v>0</v>
      </c>
      <c r="L226" s="20">
        <f t="shared" si="46"/>
        <v>0</v>
      </c>
      <c r="M226" s="20">
        <f t="shared" si="42"/>
        <v>0</v>
      </c>
      <c r="N226" s="20">
        <f>ABS(G226)</f>
        <v>0</v>
      </c>
      <c r="O226" s="20">
        <f>ABS(I226)</f>
        <v>0</v>
      </c>
      <c r="P226" s="20">
        <f>ABS(K226)</f>
        <v>0</v>
      </c>
      <c r="Q226" s="20">
        <f t="shared" si="37"/>
        <v>0</v>
      </c>
    </row>
    <row r="227" spans="4:17" x14ac:dyDescent="0.35">
      <c r="D227" s="20" t="str">
        <f t="shared" si="44"/>
        <v/>
      </c>
      <c r="E227" s="23" t="str">
        <f t="shared" si="45"/>
        <v/>
      </c>
      <c r="F227" s="20" t="str">
        <f t="shared" si="38"/>
        <v/>
      </c>
      <c r="G227" s="20">
        <f t="shared" si="39"/>
        <v>0</v>
      </c>
      <c r="H227" s="20">
        <f t="shared" si="46"/>
        <v>0</v>
      </c>
      <c r="I227" s="20">
        <f t="shared" si="40"/>
        <v>0</v>
      </c>
      <c r="J227" s="20">
        <f t="shared" si="46"/>
        <v>0</v>
      </c>
      <c r="K227" s="20">
        <f t="shared" si="41"/>
        <v>0</v>
      </c>
      <c r="L227" s="20">
        <f t="shared" si="46"/>
        <v>1</v>
      </c>
      <c r="M227" s="20">
        <f t="shared" si="42"/>
        <v>0</v>
      </c>
      <c r="N227" s="20">
        <f>ABS(G227)</f>
        <v>0</v>
      </c>
      <c r="O227" s="20">
        <f>ABS(I227)</f>
        <v>0</v>
      </c>
      <c r="P227" s="20">
        <f>ABS(K227)</f>
        <v>0</v>
      </c>
      <c r="Q227" s="20">
        <f t="shared" si="37"/>
        <v>0</v>
      </c>
    </row>
    <row r="228" spans="4:17" x14ac:dyDescent="0.35">
      <c r="D228" s="20" t="str">
        <f t="shared" si="44"/>
        <v/>
      </c>
      <c r="E228" s="23" t="str">
        <f t="shared" si="45"/>
        <v/>
      </c>
      <c r="F228" s="20" t="str">
        <f t="shared" si="38"/>
        <v/>
      </c>
      <c r="G228" s="20">
        <f t="shared" si="39"/>
        <v>0</v>
      </c>
      <c r="H228" s="20">
        <f t="shared" si="46"/>
        <v>1</v>
      </c>
      <c r="I228" s="20">
        <f t="shared" si="40"/>
        <v>0</v>
      </c>
      <c r="J228" s="20">
        <f t="shared" si="46"/>
        <v>0</v>
      </c>
      <c r="K228" s="20">
        <f t="shared" si="41"/>
        <v>0</v>
      </c>
      <c r="L228" s="20">
        <f t="shared" si="46"/>
        <v>0</v>
      </c>
      <c r="M228" s="20">
        <f t="shared" si="42"/>
        <v>0</v>
      </c>
      <c r="N228" s="20">
        <f>ABS(G228)</f>
        <v>0</v>
      </c>
      <c r="O228" s="20">
        <f>ABS(I228)</f>
        <v>0</v>
      </c>
      <c r="P228" s="20">
        <f>ABS(K228)</f>
        <v>0</v>
      </c>
      <c r="Q228" s="20">
        <f t="shared" si="37"/>
        <v>0</v>
      </c>
    </row>
    <row r="229" spans="4:17" x14ac:dyDescent="0.35">
      <c r="D229" s="20" t="str">
        <f t="shared" si="44"/>
        <v/>
      </c>
      <c r="E229" s="23" t="str">
        <f t="shared" si="45"/>
        <v/>
      </c>
      <c r="F229" s="20" t="str">
        <f t="shared" si="38"/>
        <v/>
      </c>
      <c r="G229" s="20">
        <f t="shared" si="39"/>
        <v>0</v>
      </c>
      <c r="H229" s="20">
        <f t="shared" si="46"/>
        <v>0</v>
      </c>
      <c r="I229" s="20">
        <f t="shared" si="40"/>
        <v>0</v>
      </c>
      <c r="J229" s="20">
        <f t="shared" si="46"/>
        <v>1</v>
      </c>
      <c r="K229" s="20">
        <f t="shared" si="41"/>
        <v>0</v>
      </c>
      <c r="L229" s="20">
        <f t="shared" si="46"/>
        <v>0</v>
      </c>
      <c r="M229" s="20">
        <f t="shared" si="42"/>
        <v>0</v>
      </c>
      <c r="N229" s="20">
        <f>ABS(G229)</f>
        <v>0</v>
      </c>
      <c r="O229" s="20">
        <f>ABS(I229)</f>
        <v>0</v>
      </c>
      <c r="P229" s="20">
        <f>ABS(K229)</f>
        <v>0</v>
      </c>
      <c r="Q229" s="20">
        <f t="shared" si="37"/>
        <v>0</v>
      </c>
    </row>
    <row r="230" spans="4:17" x14ac:dyDescent="0.35">
      <c r="D230" s="20" t="str">
        <f t="shared" si="44"/>
        <v/>
      </c>
      <c r="E230" s="23" t="str">
        <f t="shared" si="45"/>
        <v/>
      </c>
      <c r="F230" s="20" t="str">
        <f t="shared" si="38"/>
        <v/>
      </c>
      <c r="G230" s="20">
        <f t="shared" si="39"/>
        <v>0</v>
      </c>
      <c r="H230" s="20">
        <f t="shared" si="46"/>
        <v>0</v>
      </c>
      <c r="I230" s="20">
        <f t="shared" si="40"/>
        <v>0</v>
      </c>
      <c r="J230" s="20">
        <f t="shared" si="46"/>
        <v>0</v>
      </c>
      <c r="K230" s="20">
        <f t="shared" si="41"/>
        <v>0</v>
      </c>
      <c r="L230" s="20">
        <f t="shared" si="46"/>
        <v>1</v>
      </c>
      <c r="M230" s="20">
        <f t="shared" si="42"/>
        <v>0</v>
      </c>
      <c r="N230" s="20">
        <f>ABS(G230)</f>
        <v>0</v>
      </c>
      <c r="O230" s="20">
        <f>ABS(I230)</f>
        <v>0</v>
      </c>
      <c r="P230" s="20">
        <f>ABS(K230)</f>
        <v>0</v>
      </c>
      <c r="Q230" s="20">
        <f t="shared" si="37"/>
        <v>0</v>
      </c>
    </row>
    <row r="231" spans="4:17" x14ac:dyDescent="0.35">
      <c r="D231" s="20" t="str">
        <f t="shared" si="44"/>
        <v/>
      </c>
      <c r="E231" s="23" t="str">
        <f t="shared" si="45"/>
        <v/>
      </c>
      <c r="F231" s="20" t="str">
        <f t="shared" si="38"/>
        <v/>
      </c>
      <c r="G231" s="20">
        <f t="shared" si="39"/>
        <v>0</v>
      </c>
      <c r="H231" s="20">
        <f t="shared" ref="H231:L246" si="47">IF(H230+H229=0,1,0)</f>
        <v>1</v>
      </c>
      <c r="I231" s="20">
        <f t="shared" si="40"/>
        <v>0</v>
      </c>
      <c r="J231" s="20">
        <f t="shared" si="47"/>
        <v>0</v>
      </c>
      <c r="K231" s="20">
        <f t="shared" si="41"/>
        <v>0</v>
      </c>
      <c r="L231" s="20">
        <f t="shared" si="47"/>
        <v>0</v>
      </c>
      <c r="M231" s="20">
        <f t="shared" si="42"/>
        <v>0</v>
      </c>
      <c r="N231" s="20">
        <f>ABS(G231)</f>
        <v>0</v>
      </c>
      <c r="O231" s="20">
        <f>ABS(I231)</f>
        <v>0</v>
      </c>
      <c r="P231" s="20">
        <f>ABS(K231)</f>
        <v>0</v>
      </c>
      <c r="Q231" s="20">
        <f t="shared" si="37"/>
        <v>0</v>
      </c>
    </row>
    <row r="232" spans="4:17" x14ac:dyDescent="0.35">
      <c r="D232" s="20" t="str">
        <f t="shared" si="44"/>
        <v/>
      </c>
      <c r="E232" s="23" t="str">
        <f t="shared" si="45"/>
        <v/>
      </c>
      <c r="F232" s="20" t="str">
        <f t="shared" si="38"/>
        <v/>
      </c>
      <c r="G232" s="20">
        <f t="shared" si="39"/>
        <v>0</v>
      </c>
      <c r="H232" s="20">
        <f t="shared" si="47"/>
        <v>0</v>
      </c>
      <c r="I232" s="20">
        <f t="shared" si="40"/>
        <v>0</v>
      </c>
      <c r="J232" s="20">
        <f t="shared" si="47"/>
        <v>1</v>
      </c>
      <c r="K232" s="20">
        <f t="shared" si="41"/>
        <v>0</v>
      </c>
      <c r="L232" s="20">
        <f t="shared" si="47"/>
        <v>0</v>
      </c>
      <c r="M232" s="20">
        <f t="shared" si="42"/>
        <v>0</v>
      </c>
      <c r="N232" s="20">
        <f>ABS(G232)</f>
        <v>0</v>
      </c>
      <c r="O232" s="20">
        <f>ABS(I232)</f>
        <v>0</v>
      </c>
      <c r="P232" s="20">
        <f>ABS(K232)</f>
        <v>0</v>
      </c>
      <c r="Q232" s="20">
        <f t="shared" si="37"/>
        <v>0</v>
      </c>
    </row>
    <row r="233" spans="4:17" x14ac:dyDescent="0.35">
      <c r="D233" s="20" t="str">
        <f t="shared" si="44"/>
        <v/>
      </c>
      <c r="E233" s="23" t="str">
        <f t="shared" si="45"/>
        <v/>
      </c>
      <c r="F233" s="20" t="str">
        <f t="shared" si="38"/>
        <v/>
      </c>
      <c r="G233" s="20">
        <f t="shared" si="39"/>
        <v>0</v>
      </c>
      <c r="H233" s="20">
        <f t="shared" si="47"/>
        <v>0</v>
      </c>
      <c r="I233" s="20">
        <f t="shared" si="40"/>
        <v>0</v>
      </c>
      <c r="J233" s="20">
        <f t="shared" si="47"/>
        <v>0</v>
      </c>
      <c r="K233" s="20">
        <f t="shared" si="41"/>
        <v>0</v>
      </c>
      <c r="L233" s="20">
        <f t="shared" si="47"/>
        <v>1</v>
      </c>
      <c r="M233" s="20">
        <f t="shared" si="42"/>
        <v>0</v>
      </c>
      <c r="N233" s="20">
        <f>ABS(G233)</f>
        <v>0</v>
      </c>
      <c r="O233" s="20">
        <f>ABS(I233)</f>
        <v>0</v>
      </c>
      <c r="P233" s="20">
        <f>ABS(K233)</f>
        <v>0</v>
      </c>
      <c r="Q233" s="20">
        <f t="shared" si="37"/>
        <v>0</v>
      </c>
    </row>
    <row r="234" spans="4:17" x14ac:dyDescent="0.35">
      <c r="D234" s="20" t="str">
        <f t="shared" si="44"/>
        <v/>
      </c>
      <c r="E234" s="23" t="str">
        <f t="shared" si="45"/>
        <v/>
      </c>
      <c r="F234" s="20" t="str">
        <f t="shared" si="38"/>
        <v/>
      </c>
      <c r="G234" s="20">
        <f t="shared" si="39"/>
        <v>0</v>
      </c>
      <c r="H234" s="20">
        <f t="shared" si="47"/>
        <v>1</v>
      </c>
      <c r="I234" s="20">
        <f t="shared" si="40"/>
        <v>0</v>
      </c>
      <c r="J234" s="20">
        <f t="shared" si="47"/>
        <v>0</v>
      </c>
      <c r="K234" s="20">
        <f t="shared" si="41"/>
        <v>0</v>
      </c>
      <c r="L234" s="20">
        <f t="shared" si="47"/>
        <v>0</v>
      </c>
      <c r="M234" s="20">
        <f t="shared" si="42"/>
        <v>0</v>
      </c>
      <c r="N234" s="20">
        <f>ABS(G234)</f>
        <v>0</v>
      </c>
      <c r="O234" s="20">
        <f>ABS(I234)</f>
        <v>0</v>
      </c>
      <c r="P234" s="20">
        <f>ABS(K234)</f>
        <v>0</v>
      </c>
      <c r="Q234" s="20">
        <f t="shared" si="37"/>
        <v>0</v>
      </c>
    </row>
    <row r="235" spans="4:17" x14ac:dyDescent="0.35">
      <c r="D235" s="20" t="str">
        <f t="shared" si="44"/>
        <v/>
      </c>
      <c r="E235" s="23" t="str">
        <f t="shared" si="45"/>
        <v/>
      </c>
      <c r="F235" s="20" t="str">
        <f t="shared" si="38"/>
        <v/>
      </c>
      <c r="G235" s="20">
        <f t="shared" si="39"/>
        <v>0</v>
      </c>
      <c r="H235" s="20">
        <f t="shared" si="47"/>
        <v>0</v>
      </c>
      <c r="I235" s="20">
        <f t="shared" si="40"/>
        <v>0</v>
      </c>
      <c r="J235" s="20">
        <f t="shared" si="47"/>
        <v>1</v>
      </c>
      <c r="K235" s="20">
        <f t="shared" si="41"/>
        <v>0</v>
      </c>
      <c r="L235" s="20">
        <f t="shared" si="47"/>
        <v>0</v>
      </c>
      <c r="M235" s="20">
        <f t="shared" si="42"/>
        <v>0</v>
      </c>
      <c r="N235" s="20">
        <f>ABS(G235)</f>
        <v>0</v>
      </c>
      <c r="O235" s="20">
        <f>ABS(I235)</f>
        <v>0</v>
      </c>
      <c r="P235" s="20">
        <f>ABS(K235)</f>
        <v>0</v>
      </c>
      <c r="Q235" s="20">
        <f t="shared" si="37"/>
        <v>0</v>
      </c>
    </row>
    <row r="236" spans="4:17" x14ac:dyDescent="0.35">
      <c r="D236" s="20" t="str">
        <f t="shared" si="44"/>
        <v/>
      </c>
      <c r="E236" s="23" t="str">
        <f t="shared" si="45"/>
        <v/>
      </c>
      <c r="F236" s="20" t="str">
        <f t="shared" si="38"/>
        <v/>
      </c>
      <c r="G236" s="20">
        <f t="shared" si="39"/>
        <v>0</v>
      </c>
      <c r="H236" s="20">
        <f t="shared" si="47"/>
        <v>0</v>
      </c>
      <c r="I236" s="20">
        <f t="shared" si="40"/>
        <v>0</v>
      </c>
      <c r="J236" s="20">
        <f t="shared" si="47"/>
        <v>0</v>
      </c>
      <c r="K236" s="20">
        <f t="shared" si="41"/>
        <v>0</v>
      </c>
      <c r="L236" s="20">
        <f t="shared" si="47"/>
        <v>1</v>
      </c>
      <c r="M236" s="20">
        <f t="shared" si="42"/>
        <v>0</v>
      </c>
      <c r="N236" s="20">
        <f>ABS(G236)</f>
        <v>0</v>
      </c>
      <c r="O236" s="20">
        <f>ABS(I236)</f>
        <v>0</v>
      </c>
      <c r="P236" s="20">
        <f>ABS(K236)</f>
        <v>0</v>
      </c>
      <c r="Q236" s="20">
        <f t="shared" si="37"/>
        <v>0</v>
      </c>
    </row>
    <row r="237" spans="4:17" x14ac:dyDescent="0.35">
      <c r="D237" s="20" t="str">
        <f t="shared" si="44"/>
        <v/>
      </c>
      <c r="E237" s="23" t="str">
        <f t="shared" si="45"/>
        <v/>
      </c>
      <c r="F237" s="20" t="str">
        <f t="shared" si="38"/>
        <v/>
      </c>
      <c r="G237" s="20">
        <f t="shared" si="39"/>
        <v>0</v>
      </c>
      <c r="H237" s="20">
        <f t="shared" si="47"/>
        <v>1</v>
      </c>
      <c r="I237" s="20">
        <f t="shared" si="40"/>
        <v>0</v>
      </c>
      <c r="J237" s="20">
        <f t="shared" si="47"/>
        <v>0</v>
      </c>
      <c r="K237" s="20">
        <f t="shared" si="41"/>
        <v>0</v>
      </c>
      <c r="L237" s="20">
        <f t="shared" si="47"/>
        <v>0</v>
      </c>
      <c r="M237" s="20">
        <f t="shared" si="42"/>
        <v>0</v>
      </c>
      <c r="N237" s="20">
        <f>ABS(G237)</f>
        <v>0</v>
      </c>
      <c r="O237" s="20">
        <f>ABS(I237)</f>
        <v>0</v>
      </c>
      <c r="P237" s="20">
        <f>ABS(K237)</f>
        <v>0</v>
      </c>
      <c r="Q237" s="20">
        <f t="shared" si="37"/>
        <v>0</v>
      </c>
    </row>
    <row r="238" spans="4:17" x14ac:dyDescent="0.35">
      <c r="D238" s="20" t="str">
        <f t="shared" si="44"/>
        <v/>
      </c>
      <c r="E238" s="23" t="str">
        <f t="shared" si="45"/>
        <v/>
      </c>
      <c r="F238" s="20" t="str">
        <f t="shared" si="38"/>
        <v/>
      </c>
      <c r="G238" s="20">
        <f t="shared" si="39"/>
        <v>0</v>
      </c>
      <c r="H238" s="20">
        <f t="shared" si="47"/>
        <v>0</v>
      </c>
      <c r="I238" s="20">
        <f t="shared" si="40"/>
        <v>0</v>
      </c>
      <c r="J238" s="20">
        <f t="shared" si="47"/>
        <v>1</v>
      </c>
      <c r="K238" s="20">
        <f t="shared" si="41"/>
        <v>0</v>
      </c>
      <c r="L238" s="20">
        <f t="shared" si="47"/>
        <v>0</v>
      </c>
      <c r="M238" s="20">
        <f t="shared" si="42"/>
        <v>0</v>
      </c>
      <c r="N238" s="20">
        <f>ABS(G238)</f>
        <v>0</v>
      </c>
      <c r="O238" s="20">
        <f>ABS(I238)</f>
        <v>0</v>
      </c>
      <c r="P238" s="20">
        <f>ABS(K238)</f>
        <v>0</v>
      </c>
      <c r="Q238" s="20">
        <f t="shared" si="37"/>
        <v>0</v>
      </c>
    </row>
    <row r="239" spans="4:17" x14ac:dyDescent="0.35">
      <c r="D239" s="20" t="str">
        <f t="shared" si="44"/>
        <v/>
      </c>
      <c r="E239" s="23" t="str">
        <f t="shared" si="45"/>
        <v/>
      </c>
      <c r="F239" s="20" t="str">
        <f t="shared" si="38"/>
        <v/>
      </c>
      <c r="G239" s="20">
        <f t="shared" si="39"/>
        <v>0</v>
      </c>
      <c r="H239" s="20">
        <f t="shared" si="47"/>
        <v>0</v>
      </c>
      <c r="I239" s="20">
        <f t="shared" si="40"/>
        <v>0</v>
      </c>
      <c r="J239" s="20">
        <f t="shared" si="47"/>
        <v>0</v>
      </c>
      <c r="K239" s="20">
        <f t="shared" si="41"/>
        <v>0</v>
      </c>
      <c r="L239" s="20">
        <f t="shared" si="47"/>
        <v>1</v>
      </c>
      <c r="M239" s="20">
        <f t="shared" si="42"/>
        <v>0</v>
      </c>
      <c r="N239" s="20">
        <f>ABS(G239)</f>
        <v>0</v>
      </c>
      <c r="O239" s="20">
        <f>ABS(I239)</f>
        <v>0</v>
      </c>
      <c r="P239" s="20">
        <f>ABS(K239)</f>
        <v>0</v>
      </c>
      <c r="Q239" s="20">
        <f t="shared" si="37"/>
        <v>0</v>
      </c>
    </row>
    <row r="240" spans="4:17" x14ac:dyDescent="0.35">
      <c r="D240" s="20" t="str">
        <f t="shared" si="44"/>
        <v/>
      </c>
      <c r="E240" s="23" t="str">
        <f t="shared" si="45"/>
        <v/>
      </c>
      <c r="F240" s="20" t="str">
        <f t="shared" si="38"/>
        <v/>
      </c>
      <c r="G240" s="20">
        <f t="shared" si="39"/>
        <v>0</v>
      </c>
      <c r="H240" s="20">
        <f t="shared" si="47"/>
        <v>1</v>
      </c>
      <c r="I240" s="20">
        <f t="shared" si="40"/>
        <v>0</v>
      </c>
      <c r="J240" s="20">
        <f t="shared" si="47"/>
        <v>0</v>
      </c>
      <c r="K240" s="20">
        <f t="shared" si="41"/>
        <v>0</v>
      </c>
      <c r="L240" s="20">
        <f t="shared" si="47"/>
        <v>0</v>
      </c>
      <c r="M240" s="20">
        <f t="shared" si="42"/>
        <v>0</v>
      </c>
      <c r="N240" s="20">
        <f>ABS(G240)</f>
        <v>0</v>
      </c>
      <c r="O240" s="20">
        <f>ABS(I240)</f>
        <v>0</v>
      </c>
      <c r="P240" s="20">
        <f>ABS(K240)</f>
        <v>0</v>
      </c>
      <c r="Q240" s="20">
        <f t="shared" si="37"/>
        <v>0</v>
      </c>
    </row>
    <row r="241" spans="4:17" x14ac:dyDescent="0.35">
      <c r="D241" s="20" t="str">
        <f t="shared" si="44"/>
        <v/>
      </c>
      <c r="E241" s="23" t="str">
        <f t="shared" si="45"/>
        <v/>
      </c>
      <c r="F241" s="20" t="str">
        <f t="shared" si="38"/>
        <v/>
      </c>
      <c r="G241" s="20">
        <f t="shared" si="39"/>
        <v>0</v>
      </c>
      <c r="H241" s="20">
        <f t="shared" si="47"/>
        <v>0</v>
      </c>
      <c r="I241" s="20">
        <f t="shared" si="40"/>
        <v>0</v>
      </c>
      <c r="J241" s="20">
        <f t="shared" si="47"/>
        <v>1</v>
      </c>
      <c r="K241" s="20">
        <f t="shared" si="41"/>
        <v>0</v>
      </c>
      <c r="L241" s="20">
        <f t="shared" si="47"/>
        <v>0</v>
      </c>
      <c r="M241" s="20">
        <f t="shared" si="42"/>
        <v>0</v>
      </c>
      <c r="N241" s="20">
        <f>ABS(G241)</f>
        <v>0</v>
      </c>
      <c r="O241" s="20">
        <f>ABS(I241)</f>
        <v>0</v>
      </c>
      <c r="P241" s="20">
        <f>ABS(K241)</f>
        <v>0</v>
      </c>
      <c r="Q241" s="20">
        <f t="shared" si="37"/>
        <v>0</v>
      </c>
    </row>
    <row r="242" spans="4:17" x14ac:dyDescent="0.35">
      <c r="D242" s="20" t="str">
        <f t="shared" si="44"/>
        <v/>
      </c>
      <c r="E242" s="23" t="str">
        <f t="shared" si="45"/>
        <v/>
      </c>
      <c r="F242" s="20" t="str">
        <f t="shared" si="38"/>
        <v/>
      </c>
      <c r="G242" s="20">
        <f t="shared" si="39"/>
        <v>0</v>
      </c>
      <c r="H242" s="20">
        <f t="shared" si="47"/>
        <v>0</v>
      </c>
      <c r="I242" s="20">
        <f t="shared" si="40"/>
        <v>0</v>
      </c>
      <c r="J242" s="20">
        <f t="shared" si="47"/>
        <v>0</v>
      </c>
      <c r="K242" s="20">
        <f t="shared" si="41"/>
        <v>0</v>
      </c>
      <c r="L242" s="20">
        <f t="shared" si="47"/>
        <v>1</v>
      </c>
      <c r="M242" s="20">
        <f t="shared" si="42"/>
        <v>0</v>
      </c>
      <c r="N242" s="20">
        <f>ABS(G242)</f>
        <v>0</v>
      </c>
      <c r="O242" s="20">
        <f>ABS(I242)</f>
        <v>0</v>
      </c>
      <c r="P242" s="20">
        <f>ABS(K242)</f>
        <v>0</v>
      </c>
      <c r="Q242" s="20">
        <f t="shared" si="37"/>
        <v>0</v>
      </c>
    </row>
    <row r="243" spans="4:17" x14ac:dyDescent="0.35">
      <c r="D243" s="20" t="str">
        <f t="shared" si="44"/>
        <v/>
      </c>
      <c r="E243" s="23" t="str">
        <f t="shared" si="45"/>
        <v/>
      </c>
      <c r="F243" s="20" t="str">
        <f t="shared" si="38"/>
        <v/>
      </c>
      <c r="G243" s="20">
        <f t="shared" si="39"/>
        <v>0</v>
      </c>
      <c r="H243" s="20">
        <f t="shared" si="47"/>
        <v>1</v>
      </c>
      <c r="I243" s="20">
        <f t="shared" si="40"/>
        <v>0</v>
      </c>
      <c r="J243" s="20">
        <f t="shared" si="47"/>
        <v>0</v>
      </c>
      <c r="K243" s="20">
        <f t="shared" si="41"/>
        <v>0</v>
      </c>
      <c r="L243" s="20">
        <f t="shared" si="47"/>
        <v>0</v>
      </c>
      <c r="M243" s="20">
        <f t="shared" si="42"/>
        <v>0</v>
      </c>
      <c r="N243" s="20">
        <f>ABS(G243)</f>
        <v>0</v>
      </c>
      <c r="O243" s="20">
        <f>ABS(I243)</f>
        <v>0</v>
      </c>
      <c r="P243" s="20">
        <f>ABS(K243)</f>
        <v>0</v>
      </c>
      <c r="Q243" s="20">
        <f t="shared" si="37"/>
        <v>0</v>
      </c>
    </row>
    <row r="244" spans="4:17" x14ac:dyDescent="0.35">
      <c r="D244" s="20" t="str">
        <f t="shared" si="44"/>
        <v/>
      </c>
      <c r="E244" s="23" t="str">
        <f t="shared" si="45"/>
        <v/>
      </c>
      <c r="F244" s="20" t="str">
        <f t="shared" si="38"/>
        <v/>
      </c>
      <c r="G244" s="20">
        <f t="shared" si="39"/>
        <v>0</v>
      </c>
      <c r="H244" s="20">
        <f t="shared" si="47"/>
        <v>0</v>
      </c>
      <c r="I244" s="20">
        <f t="shared" si="40"/>
        <v>0</v>
      </c>
      <c r="J244" s="20">
        <f t="shared" si="47"/>
        <v>1</v>
      </c>
      <c r="K244" s="20">
        <f t="shared" si="41"/>
        <v>0</v>
      </c>
      <c r="L244" s="20">
        <f t="shared" si="47"/>
        <v>0</v>
      </c>
      <c r="M244" s="20">
        <f t="shared" si="42"/>
        <v>0</v>
      </c>
      <c r="N244" s="20">
        <f>ABS(G244)</f>
        <v>0</v>
      </c>
      <c r="O244" s="20">
        <f>ABS(I244)</f>
        <v>0</v>
      </c>
      <c r="P244" s="20">
        <f>ABS(K244)</f>
        <v>0</v>
      </c>
      <c r="Q244" s="20">
        <f t="shared" si="37"/>
        <v>0</v>
      </c>
    </row>
    <row r="245" spans="4:17" x14ac:dyDescent="0.35">
      <c r="D245" s="20" t="str">
        <f t="shared" si="44"/>
        <v/>
      </c>
      <c r="E245" s="23" t="str">
        <f t="shared" si="45"/>
        <v/>
      </c>
      <c r="F245" s="20" t="str">
        <f t="shared" si="38"/>
        <v/>
      </c>
      <c r="G245" s="20">
        <f t="shared" si="39"/>
        <v>0</v>
      </c>
      <c r="H245" s="20">
        <f t="shared" si="47"/>
        <v>0</v>
      </c>
      <c r="I245" s="20">
        <f t="shared" si="40"/>
        <v>0</v>
      </c>
      <c r="J245" s="20">
        <f t="shared" si="47"/>
        <v>0</v>
      </c>
      <c r="K245" s="20">
        <f t="shared" si="41"/>
        <v>0</v>
      </c>
      <c r="L245" s="20">
        <f t="shared" si="47"/>
        <v>1</v>
      </c>
      <c r="M245" s="20">
        <f t="shared" si="42"/>
        <v>0</v>
      </c>
      <c r="N245" s="20">
        <f>ABS(G245)</f>
        <v>0</v>
      </c>
      <c r="O245" s="20">
        <f>ABS(I245)</f>
        <v>0</v>
      </c>
      <c r="P245" s="20">
        <f>ABS(K245)</f>
        <v>0</v>
      </c>
      <c r="Q245" s="20">
        <f t="shared" si="37"/>
        <v>0</v>
      </c>
    </row>
    <row r="246" spans="4:17" x14ac:dyDescent="0.35">
      <c r="D246" s="20" t="str">
        <f t="shared" si="44"/>
        <v/>
      </c>
      <c r="E246" s="23" t="str">
        <f t="shared" si="45"/>
        <v/>
      </c>
      <c r="F246" s="20" t="str">
        <f t="shared" si="38"/>
        <v/>
      </c>
      <c r="G246" s="20">
        <f t="shared" si="39"/>
        <v>0</v>
      </c>
      <c r="H246" s="20">
        <f t="shared" si="47"/>
        <v>1</v>
      </c>
      <c r="I246" s="20">
        <f t="shared" si="40"/>
        <v>0</v>
      </c>
      <c r="J246" s="20">
        <f t="shared" si="47"/>
        <v>0</v>
      </c>
      <c r="K246" s="20">
        <f t="shared" si="41"/>
        <v>0</v>
      </c>
      <c r="L246" s="20">
        <f t="shared" si="47"/>
        <v>0</v>
      </c>
      <c r="M246" s="20">
        <f t="shared" si="42"/>
        <v>0</v>
      </c>
      <c r="N246" s="20">
        <f>ABS(G246)</f>
        <v>0</v>
      </c>
      <c r="O246" s="20">
        <f>ABS(I246)</f>
        <v>0</v>
      </c>
      <c r="P246" s="20">
        <f>ABS(K246)</f>
        <v>0</v>
      </c>
      <c r="Q246" s="20">
        <f t="shared" si="37"/>
        <v>0</v>
      </c>
    </row>
    <row r="247" spans="4:17" x14ac:dyDescent="0.35">
      <c r="D247" s="20" t="str">
        <f t="shared" si="44"/>
        <v/>
      </c>
      <c r="E247" s="23" t="str">
        <f t="shared" si="45"/>
        <v/>
      </c>
      <c r="F247" s="20" t="str">
        <f t="shared" si="38"/>
        <v/>
      </c>
      <c r="G247" s="20">
        <f t="shared" si="39"/>
        <v>0</v>
      </c>
      <c r="H247" s="20">
        <f t="shared" ref="H247:L262" si="48">IF(H246+H245=0,1,0)</f>
        <v>0</v>
      </c>
      <c r="I247" s="20">
        <f t="shared" si="40"/>
        <v>0</v>
      </c>
      <c r="J247" s="20">
        <f t="shared" si="48"/>
        <v>1</v>
      </c>
      <c r="K247" s="20">
        <f t="shared" si="41"/>
        <v>0</v>
      </c>
      <c r="L247" s="20">
        <f t="shared" si="48"/>
        <v>0</v>
      </c>
      <c r="M247" s="20">
        <f t="shared" si="42"/>
        <v>0</v>
      </c>
      <c r="N247" s="20">
        <f>ABS(G247)</f>
        <v>0</v>
      </c>
      <c r="O247" s="20">
        <f>ABS(I247)</f>
        <v>0</v>
      </c>
      <c r="P247" s="20">
        <f>ABS(K247)</f>
        <v>0</v>
      </c>
      <c r="Q247" s="20">
        <f t="shared" si="37"/>
        <v>0</v>
      </c>
    </row>
    <row r="248" spans="4:17" x14ac:dyDescent="0.35">
      <c r="D248" s="20" t="str">
        <f t="shared" si="44"/>
        <v/>
      </c>
      <c r="E248" s="23" t="str">
        <f t="shared" si="45"/>
        <v/>
      </c>
      <c r="F248" s="20" t="str">
        <f t="shared" si="38"/>
        <v/>
      </c>
      <c r="G248" s="20">
        <f t="shared" si="39"/>
        <v>0</v>
      </c>
      <c r="H248" s="20">
        <f t="shared" si="48"/>
        <v>0</v>
      </c>
      <c r="I248" s="20">
        <f t="shared" si="40"/>
        <v>0</v>
      </c>
      <c r="J248" s="20">
        <f t="shared" si="48"/>
        <v>0</v>
      </c>
      <c r="K248" s="20">
        <f t="shared" si="41"/>
        <v>0</v>
      </c>
      <c r="L248" s="20">
        <f t="shared" si="48"/>
        <v>1</v>
      </c>
      <c r="M248" s="20">
        <f t="shared" si="42"/>
        <v>0</v>
      </c>
      <c r="N248" s="20">
        <f>ABS(G248)</f>
        <v>0</v>
      </c>
      <c r="O248" s="20">
        <f>ABS(I248)</f>
        <v>0</v>
      </c>
      <c r="P248" s="20">
        <f>ABS(K248)</f>
        <v>0</v>
      </c>
      <c r="Q248" s="20">
        <f t="shared" si="37"/>
        <v>0</v>
      </c>
    </row>
    <row r="249" spans="4:17" x14ac:dyDescent="0.35">
      <c r="D249" s="20" t="str">
        <f t="shared" si="44"/>
        <v/>
      </c>
      <c r="E249" s="23" t="str">
        <f t="shared" si="45"/>
        <v/>
      </c>
      <c r="F249" s="20" t="str">
        <f t="shared" si="38"/>
        <v/>
      </c>
      <c r="G249" s="20">
        <f t="shared" si="39"/>
        <v>0</v>
      </c>
      <c r="H249" s="20">
        <f t="shared" si="48"/>
        <v>1</v>
      </c>
      <c r="I249" s="20">
        <f t="shared" si="40"/>
        <v>0</v>
      </c>
      <c r="J249" s="20">
        <f t="shared" si="48"/>
        <v>0</v>
      </c>
      <c r="K249" s="20">
        <f t="shared" si="41"/>
        <v>0</v>
      </c>
      <c r="L249" s="20">
        <f t="shared" si="48"/>
        <v>0</v>
      </c>
      <c r="M249" s="20">
        <f t="shared" si="42"/>
        <v>0</v>
      </c>
      <c r="N249" s="20">
        <f>ABS(G249)</f>
        <v>0</v>
      </c>
      <c r="O249" s="20">
        <f>ABS(I249)</f>
        <v>0</v>
      </c>
      <c r="P249" s="20">
        <f>ABS(K249)</f>
        <v>0</v>
      </c>
      <c r="Q249" s="20">
        <f t="shared" si="37"/>
        <v>0</v>
      </c>
    </row>
    <row r="250" spans="4:17" x14ac:dyDescent="0.35">
      <c r="D250" s="20" t="str">
        <f t="shared" si="44"/>
        <v/>
      </c>
      <c r="E250" s="23" t="str">
        <f t="shared" si="45"/>
        <v/>
      </c>
      <c r="F250" s="20" t="str">
        <f t="shared" si="38"/>
        <v/>
      </c>
      <c r="G250" s="20">
        <f t="shared" si="39"/>
        <v>0</v>
      </c>
      <c r="H250" s="20">
        <f t="shared" si="48"/>
        <v>0</v>
      </c>
      <c r="I250" s="20">
        <f t="shared" si="40"/>
        <v>0</v>
      </c>
      <c r="J250" s="20">
        <f t="shared" si="48"/>
        <v>1</v>
      </c>
      <c r="K250" s="20">
        <f t="shared" si="41"/>
        <v>0</v>
      </c>
      <c r="L250" s="20">
        <f t="shared" si="48"/>
        <v>0</v>
      </c>
      <c r="M250" s="20">
        <f t="shared" si="42"/>
        <v>0</v>
      </c>
      <c r="N250" s="20">
        <f>ABS(G250)</f>
        <v>0</v>
      </c>
      <c r="O250" s="20">
        <f>ABS(I250)</f>
        <v>0</v>
      </c>
      <c r="P250" s="20">
        <f>ABS(K250)</f>
        <v>0</v>
      </c>
      <c r="Q250" s="20">
        <f t="shared" si="37"/>
        <v>0</v>
      </c>
    </row>
    <row r="251" spans="4:17" x14ac:dyDescent="0.35">
      <c r="D251" s="20" t="str">
        <f t="shared" si="44"/>
        <v/>
      </c>
      <c r="E251" s="23" t="str">
        <f t="shared" si="45"/>
        <v/>
      </c>
      <c r="F251" s="20" t="str">
        <f t="shared" si="38"/>
        <v/>
      </c>
      <c r="G251" s="20">
        <f t="shared" si="39"/>
        <v>0</v>
      </c>
      <c r="H251" s="20">
        <f t="shared" si="48"/>
        <v>0</v>
      </c>
      <c r="I251" s="20">
        <f t="shared" si="40"/>
        <v>0</v>
      </c>
      <c r="J251" s="20">
        <f t="shared" si="48"/>
        <v>0</v>
      </c>
      <c r="K251" s="20">
        <f t="shared" si="41"/>
        <v>0</v>
      </c>
      <c r="L251" s="20">
        <f t="shared" si="48"/>
        <v>1</v>
      </c>
      <c r="M251" s="20">
        <f t="shared" si="42"/>
        <v>0</v>
      </c>
      <c r="N251" s="20">
        <f>ABS(G251)</f>
        <v>0</v>
      </c>
      <c r="O251" s="20">
        <f>ABS(I251)</f>
        <v>0</v>
      </c>
      <c r="P251" s="20">
        <f>ABS(K251)</f>
        <v>0</v>
      </c>
      <c r="Q251" s="20">
        <f t="shared" si="37"/>
        <v>0</v>
      </c>
    </row>
    <row r="252" spans="4:17" x14ac:dyDescent="0.35">
      <c r="D252" s="20" t="str">
        <f t="shared" si="44"/>
        <v/>
      </c>
      <c r="E252" s="23" t="str">
        <f t="shared" si="45"/>
        <v/>
      </c>
      <c r="F252" s="20" t="str">
        <f t="shared" si="38"/>
        <v/>
      </c>
      <c r="G252" s="20">
        <f t="shared" si="39"/>
        <v>0</v>
      </c>
      <c r="H252" s="20">
        <f t="shared" si="48"/>
        <v>1</v>
      </c>
      <c r="I252" s="20">
        <f t="shared" si="40"/>
        <v>0</v>
      </c>
      <c r="J252" s="20">
        <f t="shared" si="48"/>
        <v>0</v>
      </c>
      <c r="K252" s="20">
        <f t="shared" si="41"/>
        <v>0</v>
      </c>
      <c r="L252" s="20">
        <f t="shared" si="48"/>
        <v>0</v>
      </c>
      <c r="M252" s="20">
        <f t="shared" si="42"/>
        <v>0</v>
      </c>
      <c r="N252" s="20">
        <f>ABS(G252)</f>
        <v>0</v>
      </c>
      <c r="O252" s="20">
        <f>ABS(I252)</f>
        <v>0</v>
      </c>
      <c r="P252" s="20">
        <f>ABS(K252)</f>
        <v>0</v>
      </c>
      <c r="Q252" s="20">
        <f t="shared" si="37"/>
        <v>0</v>
      </c>
    </row>
    <row r="253" spans="4:17" x14ac:dyDescent="0.35">
      <c r="D253" s="20" t="str">
        <f t="shared" si="44"/>
        <v/>
      </c>
      <c r="E253" s="23" t="str">
        <f t="shared" si="45"/>
        <v/>
      </c>
      <c r="F253" s="20" t="str">
        <f t="shared" si="38"/>
        <v/>
      </c>
      <c r="G253" s="20">
        <f t="shared" si="39"/>
        <v>0</v>
      </c>
      <c r="H253" s="20">
        <f t="shared" si="48"/>
        <v>0</v>
      </c>
      <c r="I253" s="20">
        <f t="shared" si="40"/>
        <v>0</v>
      </c>
      <c r="J253" s="20">
        <f t="shared" si="48"/>
        <v>1</v>
      </c>
      <c r="K253" s="20">
        <f t="shared" si="41"/>
        <v>0</v>
      </c>
      <c r="L253" s="20">
        <f t="shared" si="48"/>
        <v>0</v>
      </c>
      <c r="M253" s="20">
        <f t="shared" si="42"/>
        <v>0</v>
      </c>
      <c r="N253" s="20">
        <f>ABS(G253)</f>
        <v>0</v>
      </c>
      <c r="O253" s="20">
        <f>ABS(I253)</f>
        <v>0</v>
      </c>
      <c r="P253" s="20">
        <f>ABS(K253)</f>
        <v>0</v>
      </c>
      <c r="Q253" s="20">
        <f t="shared" si="37"/>
        <v>0</v>
      </c>
    </row>
    <row r="254" spans="4:17" x14ac:dyDescent="0.35">
      <c r="D254" s="20" t="str">
        <f t="shared" si="44"/>
        <v/>
      </c>
      <c r="E254" s="23" t="str">
        <f t="shared" si="45"/>
        <v/>
      </c>
      <c r="F254" s="20" t="str">
        <f t="shared" si="38"/>
        <v/>
      </c>
      <c r="G254" s="20">
        <f t="shared" si="39"/>
        <v>0</v>
      </c>
      <c r="H254" s="20">
        <f t="shared" si="48"/>
        <v>0</v>
      </c>
      <c r="I254" s="20">
        <f t="shared" si="40"/>
        <v>0</v>
      </c>
      <c r="J254" s="20">
        <f t="shared" si="48"/>
        <v>0</v>
      </c>
      <c r="K254" s="20">
        <f t="shared" si="41"/>
        <v>0</v>
      </c>
      <c r="L254" s="20">
        <f t="shared" si="48"/>
        <v>1</v>
      </c>
      <c r="M254" s="20">
        <f t="shared" si="42"/>
        <v>0</v>
      </c>
      <c r="N254" s="20">
        <f>ABS(G254)</f>
        <v>0</v>
      </c>
      <c r="O254" s="20">
        <f>ABS(I254)</f>
        <v>0</v>
      </c>
      <c r="P254" s="20">
        <f>ABS(K254)</f>
        <v>0</v>
      </c>
      <c r="Q254" s="20">
        <f t="shared" si="37"/>
        <v>0</v>
      </c>
    </row>
    <row r="255" spans="4:17" x14ac:dyDescent="0.35">
      <c r="D255" s="20" t="str">
        <f t="shared" si="44"/>
        <v/>
      </c>
      <c r="E255" s="23" t="str">
        <f t="shared" si="45"/>
        <v/>
      </c>
      <c r="F255" s="20" t="str">
        <f t="shared" si="38"/>
        <v/>
      </c>
      <c r="G255" s="20">
        <f t="shared" si="39"/>
        <v>0</v>
      </c>
      <c r="H255" s="20">
        <f t="shared" si="48"/>
        <v>1</v>
      </c>
      <c r="I255" s="20">
        <f t="shared" si="40"/>
        <v>0</v>
      </c>
      <c r="J255" s="20">
        <f t="shared" si="48"/>
        <v>0</v>
      </c>
      <c r="K255" s="20">
        <f t="shared" si="41"/>
        <v>0</v>
      </c>
      <c r="L255" s="20">
        <f t="shared" si="48"/>
        <v>0</v>
      </c>
      <c r="M255" s="20">
        <f t="shared" si="42"/>
        <v>0</v>
      </c>
      <c r="N255" s="20">
        <f>ABS(G255)</f>
        <v>0</v>
      </c>
      <c r="O255" s="20">
        <f>ABS(I255)</f>
        <v>0</v>
      </c>
      <c r="P255" s="20">
        <f>ABS(K255)</f>
        <v>0</v>
      </c>
      <c r="Q255" s="20">
        <f t="shared" si="37"/>
        <v>0</v>
      </c>
    </row>
    <row r="256" spans="4:17" x14ac:dyDescent="0.35">
      <c r="D256" s="20" t="str">
        <f t="shared" si="44"/>
        <v/>
      </c>
      <c r="E256" s="23" t="str">
        <f t="shared" si="45"/>
        <v/>
      </c>
      <c r="F256" s="20" t="str">
        <f t="shared" si="38"/>
        <v/>
      </c>
      <c r="G256" s="20">
        <f t="shared" si="39"/>
        <v>0</v>
      </c>
      <c r="H256" s="20">
        <f t="shared" si="48"/>
        <v>0</v>
      </c>
      <c r="I256" s="20">
        <f t="shared" si="40"/>
        <v>0</v>
      </c>
      <c r="J256" s="20">
        <f t="shared" si="48"/>
        <v>1</v>
      </c>
      <c r="K256" s="20">
        <f t="shared" si="41"/>
        <v>0</v>
      </c>
      <c r="L256" s="20">
        <f t="shared" si="48"/>
        <v>0</v>
      </c>
      <c r="M256" s="20">
        <f t="shared" si="42"/>
        <v>0</v>
      </c>
      <c r="N256" s="20">
        <f>ABS(G256)</f>
        <v>0</v>
      </c>
      <c r="O256" s="20">
        <f>ABS(I256)</f>
        <v>0</v>
      </c>
      <c r="P256" s="20">
        <f>ABS(K256)</f>
        <v>0</v>
      </c>
      <c r="Q256" s="20">
        <f t="shared" si="37"/>
        <v>0</v>
      </c>
    </row>
    <row r="257" spans="4:17" x14ac:dyDescent="0.35">
      <c r="D257" s="20" t="str">
        <f t="shared" si="44"/>
        <v/>
      </c>
      <c r="E257" s="23" t="str">
        <f t="shared" si="45"/>
        <v/>
      </c>
      <c r="F257" s="20" t="str">
        <f t="shared" si="38"/>
        <v/>
      </c>
      <c r="G257" s="20">
        <f t="shared" si="39"/>
        <v>0</v>
      </c>
      <c r="H257" s="20">
        <f t="shared" si="48"/>
        <v>0</v>
      </c>
      <c r="I257" s="20">
        <f t="shared" si="40"/>
        <v>0</v>
      </c>
      <c r="J257" s="20">
        <f t="shared" si="48"/>
        <v>0</v>
      </c>
      <c r="K257" s="20">
        <f t="shared" si="41"/>
        <v>0</v>
      </c>
      <c r="L257" s="20">
        <f t="shared" si="48"/>
        <v>1</v>
      </c>
      <c r="M257" s="20">
        <f t="shared" si="42"/>
        <v>0</v>
      </c>
      <c r="N257" s="20">
        <f>ABS(G257)</f>
        <v>0</v>
      </c>
      <c r="O257" s="20">
        <f>ABS(I257)</f>
        <v>0</v>
      </c>
      <c r="P257" s="20">
        <f>ABS(K257)</f>
        <v>0</v>
      </c>
      <c r="Q257" s="20">
        <f t="shared" si="37"/>
        <v>0</v>
      </c>
    </row>
    <row r="258" spans="4:17" x14ac:dyDescent="0.35">
      <c r="D258" s="20" t="str">
        <f t="shared" si="44"/>
        <v/>
      </c>
      <c r="E258" s="23" t="str">
        <f t="shared" si="45"/>
        <v/>
      </c>
      <c r="F258" s="20" t="str">
        <f t="shared" si="38"/>
        <v/>
      </c>
      <c r="G258" s="20">
        <f t="shared" si="39"/>
        <v>0</v>
      </c>
      <c r="H258" s="20">
        <f t="shared" si="48"/>
        <v>1</v>
      </c>
      <c r="I258" s="20">
        <f t="shared" si="40"/>
        <v>0</v>
      </c>
      <c r="J258" s="20">
        <f t="shared" si="48"/>
        <v>0</v>
      </c>
      <c r="K258" s="20">
        <f t="shared" si="41"/>
        <v>0</v>
      </c>
      <c r="L258" s="20">
        <f t="shared" si="48"/>
        <v>0</v>
      </c>
      <c r="M258" s="20">
        <f t="shared" si="42"/>
        <v>0</v>
      </c>
      <c r="N258" s="20">
        <f>ABS(G258)</f>
        <v>0</v>
      </c>
      <c r="O258" s="20">
        <f>ABS(I258)</f>
        <v>0</v>
      </c>
      <c r="P258" s="20">
        <f>ABS(K258)</f>
        <v>0</v>
      </c>
      <c r="Q258" s="20">
        <f t="shared" ref="Q258:Q321" si="49">ABS(M258)</f>
        <v>0</v>
      </c>
    </row>
    <row r="259" spans="4:17" x14ac:dyDescent="0.35">
      <c r="D259" s="20" t="str">
        <f t="shared" si="44"/>
        <v/>
      </c>
      <c r="E259" s="23" t="str">
        <f t="shared" si="45"/>
        <v/>
      </c>
      <c r="F259" s="20" t="str">
        <f t="shared" si="38"/>
        <v/>
      </c>
      <c r="G259" s="20">
        <f t="shared" si="39"/>
        <v>0</v>
      </c>
      <c r="H259" s="20">
        <f t="shared" si="48"/>
        <v>0</v>
      </c>
      <c r="I259" s="20">
        <f t="shared" si="40"/>
        <v>0</v>
      </c>
      <c r="J259" s="20">
        <f t="shared" si="48"/>
        <v>1</v>
      </c>
      <c r="K259" s="20">
        <f t="shared" si="41"/>
        <v>0</v>
      </c>
      <c r="L259" s="20">
        <f t="shared" si="48"/>
        <v>0</v>
      </c>
      <c r="M259" s="20">
        <f t="shared" si="42"/>
        <v>0</v>
      </c>
      <c r="N259" s="20">
        <f>ABS(G259)</f>
        <v>0</v>
      </c>
      <c r="O259" s="20">
        <f>ABS(I259)</f>
        <v>0</v>
      </c>
      <c r="P259" s="20">
        <f>ABS(K259)</f>
        <v>0</v>
      </c>
      <c r="Q259" s="20">
        <f t="shared" si="49"/>
        <v>0</v>
      </c>
    </row>
    <row r="260" spans="4:17" x14ac:dyDescent="0.35">
      <c r="D260" s="20" t="str">
        <f t="shared" si="44"/>
        <v/>
      </c>
      <c r="E260" s="23" t="str">
        <f t="shared" si="45"/>
        <v/>
      </c>
      <c r="F260" s="20" t="str">
        <f t="shared" ref="F260:F323" si="50">IF(D259&lt;=$B$5,((3*E260^2)-(4*E260)*(SIN(1.4*E260^3)^2))/((0.4*E260^2+1)^(1/4)),"")</f>
        <v/>
      </c>
      <c r="G260" s="20">
        <f t="shared" ref="G260:G323" si="51">IF(D260=$B$5+1,F260,0)</f>
        <v>0</v>
      </c>
      <c r="H260" s="20">
        <f t="shared" si="48"/>
        <v>0</v>
      </c>
      <c r="I260" s="20">
        <f t="shared" ref="I260:I323" si="52">IF(D259&lt;$B$5,F260*H260,0)</f>
        <v>0</v>
      </c>
      <c r="J260" s="20">
        <f t="shared" si="48"/>
        <v>0</v>
      </c>
      <c r="K260" s="20">
        <f t="shared" ref="K260:K323" si="53">IF(D259&lt;$B$5,F260*J260,0)</f>
        <v>0</v>
      </c>
      <c r="L260" s="20">
        <f t="shared" si="48"/>
        <v>1</v>
      </c>
      <c r="M260" s="20">
        <f t="shared" ref="M260:M323" si="54">IF(D259&lt;$B$5,F260*L260,0)</f>
        <v>0</v>
      </c>
      <c r="N260" s="20">
        <f>ABS(G260)</f>
        <v>0</v>
      </c>
      <c r="O260" s="20">
        <f>ABS(I260)</f>
        <v>0</v>
      </c>
      <c r="P260" s="20">
        <f>ABS(K260)</f>
        <v>0</v>
      </c>
      <c r="Q260" s="20">
        <f t="shared" si="49"/>
        <v>0</v>
      </c>
    </row>
    <row r="261" spans="4:17" x14ac:dyDescent="0.35">
      <c r="D261" s="20" t="str">
        <f t="shared" si="44"/>
        <v/>
      </c>
      <c r="E261" s="23" t="str">
        <f t="shared" si="45"/>
        <v/>
      </c>
      <c r="F261" s="20" t="str">
        <f t="shared" si="50"/>
        <v/>
      </c>
      <c r="G261" s="20">
        <f t="shared" si="51"/>
        <v>0</v>
      </c>
      <c r="H261" s="20">
        <f t="shared" si="48"/>
        <v>1</v>
      </c>
      <c r="I261" s="20">
        <f t="shared" si="52"/>
        <v>0</v>
      </c>
      <c r="J261" s="20">
        <f t="shared" si="48"/>
        <v>0</v>
      </c>
      <c r="K261" s="20">
        <f t="shared" si="53"/>
        <v>0</v>
      </c>
      <c r="L261" s="20">
        <f t="shared" si="48"/>
        <v>0</v>
      </c>
      <c r="M261" s="20">
        <f t="shared" si="54"/>
        <v>0</v>
      </c>
      <c r="N261" s="20">
        <f>ABS(G261)</f>
        <v>0</v>
      </c>
      <c r="O261" s="20">
        <f>ABS(I261)</f>
        <v>0</v>
      </c>
      <c r="P261" s="20">
        <f>ABS(K261)</f>
        <v>0</v>
      </c>
      <c r="Q261" s="20">
        <f t="shared" si="49"/>
        <v>0</v>
      </c>
    </row>
    <row r="262" spans="4:17" x14ac:dyDescent="0.35">
      <c r="D262" s="20" t="str">
        <f t="shared" si="44"/>
        <v/>
      </c>
      <c r="E262" s="23" t="str">
        <f t="shared" si="45"/>
        <v/>
      </c>
      <c r="F262" s="20" t="str">
        <f t="shared" si="50"/>
        <v/>
      </c>
      <c r="G262" s="20">
        <f t="shared" si="51"/>
        <v>0</v>
      </c>
      <c r="H262" s="20">
        <f t="shared" si="48"/>
        <v>0</v>
      </c>
      <c r="I262" s="20">
        <f t="shared" si="52"/>
        <v>0</v>
      </c>
      <c r="J262" s="20">
        <f t="shared" si="48"/>
        <v>1</v>
      </c>
      <c r="K262" s="20">
        <f t="shared" si="53"/>
        <v>0</v>
      </c>
      <c r="L262" s="20">
        <f t="shared" si="48"/>
        <v>0</v>
      </c>
      <c r="M262" s="20">
        <f t="shared" si="54"/>
        <v>0</v>
      </c>
      <c r="N262" s="20">
        <f>ABS(G262)</f>
        <v>0</v>
      </c>
      <c r="O262" s="20">
        <f>ABS(I262)</f>
        <v>0</v>
      </c>
      <c r="P262" s="20">
        <f>ABS(K262)</f>
        <v>0</v>
      </c>
      <c r="Q262" s="20">
        <f t="shared" si="49"/>
        <v>0</v>
      </c>
    </row>
    <row r="263" spans="4:17" x14ac:dyDescent="0.35">
      <c r="D263" s="20" t="str">
        <f t="shared" si="44"/>
        <v/>
      </c>
      <c r="E263" s="23" t="str">
        <f t="shared" si="45"/>
        <v/>
      </c>
      <c r="F263" s="20" t="str">
        <f t="shared" si="50"/>
        <v/>
      </c>
      <c r="G263" s="20">
        <f t="shared" si="51"/>
        <v>0</v>
      </c>
      <c r="H263" s="20">
        <f t="shared" ref="H263:L278" si="55">IF(H262+H261=0,1,0)</f>
        <v>0</v>
      </c>
      <c r="I263" s="20">
        <f t="shared" si="52"/>
        <v>0</v>
      </c>
      <c r="J263" s="20">
        <f t="shared" si="55"/>
        <v>0</v>
      </c>
      <c r="K263" s="20">
        <f t="shared" si="53"/>
        <v>0</v>
      </c>
      <c r="L263" s="20">
        <f t="shared" si="55"/>
        <v>1</v>
      </c>
      <c r="M263" s="20">
        <f t="shared" si="54"/>
        <v>0</v>
      </c>
      <c r="N263" s="20">
        <f>ABS(G263)</f>
        <v>0</v>
      </c>
      <c r="O263" s="20">
        <f>ABS(I263)</f>
        <v>0</v>
      </c>
      <c r="P263" s="20">
        <f>ABS(K263)</f>
        <v>0</v>
      </c>
      <c r="Q263" s="20">
        <f t="shared" si="49"/>
        <v>0</v>
      </c>
    </row>
    <row r="264" spans="4:17" x14ac:dyDescent="0.35">
      <c r="D264" s="20" t="str">
        <f t="shared" si="44"/>
        <v/>
      </c>
      <c r="E264" s="23" t="str">
        <f t="shared" si="45"/>
        <v/>
      </c>
      <c r="F264" s="20" t="str">
        <f t="shared" si="50"/>
        <v/>
      </c>
      <c r="G264" s="20">
        <f t="shared" si="51"/>
        <v>0</v>
      </c>
      <c r="H264" s="20">
        <f t="shared" si="55"/>
        <v>1</v>
      </c>
      <c r="I264" s="20">
        <f t="shared" si="52"/>
        <v>0</v>
      </c>
      <c r="J264" s="20">
        <f t="shared" si="55"/>
        <v>0</v>
      </c>
      <c r="K264" s="20">
        <f t="shared" si="53"/>
        <v>0</v>
      </c>
      <c r="L264" s="20">
        <f t="shared" si="55"/>
        <v>0</v>
      </c>
      <c r="M264" s="20">
        <f t="shared" si="54"/>
        <v>0</v>
      </c>
      <c r="N264" s="20">
        <f>ABS(G264)</f>
        <v>0</v>
      </c>
      <c r="O264" s="20">
        <f>ABS(I264)</f>
        <v>0</v>
      </c>
      <c r="P264" s="20">
        <f>ABS(K264)</f>
        <v>0</v>
      </c>
      <c r="Q264" s="20">
        <f t="shared" si="49"/>
        <v>0</v>
      </c>
    </row>
    <row r="265" spans="4:17" x14ac:dyDescent="0.35">
      <c r="D265" s="20" t="str">
        <f t="shared" si="44"/>
        <v/>
      </c>
      <c r="E265" s="23" t="str">
        <f t="shared" si="45"/>
        <v/>
      </c>
      <c r="F265" s="20" t="str">
        <f t="shared" si="50"/>
        <v/>
      </c>
      <c r="G265" s="20">
        <f t="shared" si="51"/>
        <v>0</v>
      </c>
      <c r="H265" s="20">
        <f t="shared" si="55"/>
        <v>0</v>
      </c>
      <c r="I265" s="20">
        <f t="shared" si="52"/>
        <v>0</v>
      </c>
      <c r="J265" s="20">
        <f t="shared" si="55"/>
        <v>1</v>
      </c>
      <c r="K265" s="20">
        <f t="shared" si="53"/>
        <v>0</v>
      </c>
      <c r="L265" s="20">
        <f t="shared" si="55"/>
        <v>0</v>
      </c>
      <c r="M265" s="20">
        <f t="shared" si="54"/>
        <v>0</v>
      </c>
      <c r="N265" s="20">
        <f>ABS(G265)</f>
        <v>0</v>
      </c>
      <c r="O265" s="20">
        <f>ABS(I265)</f>
        <v>0</v>
      </c>
      <c r="P265" s="20">
        <f>ABS(K265)</f>
        <v>0</v>
      </c>
      <c r="Q265" s="20">
        <f t="shared" si="49"/>
        <v>0</v>
      </c>
    </row>
    <row r="266" spans="4:17" x14ac:dyDescent="0.35">
      <c r="D266" s="20" t="str">
        <f t="shared" si="44"/>
        <v/>
      </c>
      <c r="E266" s="23" t="str">
        <f t="shared" si="45"/>
        <v/>
      </c>
      <c r="F266" s="20" t="str">
        <f t="shared" si="50"/>
        <v/>
      </c>
      <c r="G266" s="20">
        <f t="shared" si="51"/>
        <v>0</v>
      </c>
      <c r="H266" s="20">
        <f t="shared" si="55"/>
        <v>0</v>
      </c>
      <c r="I266" s="20">
        <f t="shared" si="52"/>
        <v>0</v>
      </c>
      <c r="J266" s="20">
        <f t="shared" si="55"/>
        <v>0</v>
      </c>
      <c r="K266" s="20">
        <f t="shared" si="53"/>
        <v>0</v>
      </c>
      <c r="L266" s="20">
        <f t="shared" si="55"/>
        <v>1</v>
      </c>
      <c r="M266" s="20">
        <f t="shared" si="54"/>
        <v>0</v>
      </c>
      <c r="N266" s="20">
        <f>ABS(G266)</f>
        <v>0</v>
      </c>
      <c r="O266" s="20">
        <f>ABS(I266)</f>
        <v>0</v>
      </c>
      <c r="P266" s="20">
        <f>ABS(K266)</f>
        <v>0</v>
      </c>
      <c r="Q266" s="20">
        <f t="shared" si="49"/>
        <v>0</v>
      </c>
    </row>
    <row r="267" spans="4:17" x14ac:dyDescent="0.35">
      <c r="D267" s="20" t="str">
        <f t="shared" si="44"/>
        <v/>
      </c>
      <c r="E267" s="23" t="str">
        <f t="shared" si="45"/>
        <v/>
      </c>
      <c r="F267" s="20" t="str">
        <f t="shared" si="50"/>
        <v/>
      </c>
      <c r="G267" s="20">
        <f t="shared" si="51"/>
        <v>0</v>
      </c>
      <c r="H267" s="20">
        <f t="shared" si="55"/>
        <v>1</v>
      </c>
      <c r="I267" s="20">
        <f t="shared" si="52"/>
        <v>0</v>
      </c>
      <c r="J267" s="20">
        <f t="shared" si="55"/>
        <v>0</v>
      </c>
      <c r="K267" s="20">
        <f t="shared" si="53"/>
        <v>0</v>
      </c>
      <c r="L267" s="20">
        <f t="shared" si="55"/>
        <v>0</v>
      </c>
      <c r="M267" s="20">
        <f t="shared" si="54"/>
        <v>0</v>
      </c>
      <c r="N267" s="20">
        <f>ABS(G267)</f>
        <v>0</v>
      </c>
      <c r="O267" s="20">
        <f>ABS(I267)</f>
        <v>0</v>
      </c>
      <c r="P267" s="20">
        <f>ABS(K267)</f>
        <v>0</v>
      </c>
      <c r="Q267" s="20">
        <f t="shared" si="49"/>
        <v>0</v>
      </c>
    </row>
    <row r="268" spans="4:17" x14ac:dyDescent="0.35">
      <c r="D268" s="20" t="str">
        <f t="shared" si="44"/>
        <v/>
      </c>
      <c r="E268" s="23" t="str">
        <f t="shared" si="45"/>
        <v/>
      </c>
      <c r="F268" s="20" t="str">
        <f t="shared" si="50"/>
        <v/>
      </c>
      <c r="G268" s="20">
        <f t="shared" si="51"/>
        <v>0</v>
      </c>
      <c r="H268" s="20">
        <f t="shared" si="55"/>
        <v>0</v>
      </c>
      <c r="I268" s="20">
        <f t="shared" si="52"/>
        <v>0</v>
      </c>
      <c r="J268" s="20">
        <f t="shared" si="55"/>
        <v>1</v>
      </c>
      <c r="K268" s="20">
        <f t="shared" si="53"/>
        <v>0</v>
      </c>
      <c r="L268" s="20">
        <f t="shared" si="55"/>
        <v>0</v>
      </c>
      <c r="M268" s="20">
        <f t="shared" si="54"/>
        <v>0</v>
      </c>
      <c r="N268" s="20">
        <f>ABS(G268)</f>
        <v>0</v>
      </c>
      <c r="O268" s="20">
        <f>ABS(I268)</f>
        <v>0</v>
      </c>
      <c r="P268" s="20">
        <f>ABS(K268)</f>
        <v>0</v>
      </c>
      <c r="Q268" s="20">
        <f t="shared" si="49"/>
        <v>0</v>
      </c>
    </row>
    <row r="269" spans="4:17" x14ac:dyDescent="0.35">
      <c r="D269" s="20" t="str">
        <f t="shared" si="44"/>
        <v/>
      </c>
      <c r="E269" s="23" t="str">
        <f t="shared" si="45"/>
        <v/>
      </c>
      <c r="F269" s="20" t="str">
        <f t="shared" si="50"/>
        <v/>
      </c>
      <c r="G269" s="20">
        <f t="shared" si="51"/>
        <v>0</v>
      </c>
      <c r="H269" s="20">
        <f t="shared" si="55"/>
        <v>0</v>
      </c>
      <c r="I269" s="20">
        <f t="shared" si="52"/>
        <v>0</v>
      </c>
      <c r="J269" s="20">
        <f t="shared" si="55"/>
        <v>0</v>
      </c>
      <c r="K269" s="20">
        <f t="shared" si="53"/>
        <v>0</v>
      </c>
      <c r="L269" s="20">
        <f t="shared" si="55"/>
        <v>1</v>
      </c>
      <c r="M269" s="20">
        <f t="shared" si="54"/>
        <v>0</v>
      </c>
      <c r="N269" s="20">
        <f>ABS(G269)</f>
        <v>0</v>
      </c>
      <c r="O269" s="20">
        <f>ABS(I269)</f>
        <v>0</v>
      </c>
      <c r="P269" s="20">
        <f>ABS(K269)</f>
        <v>0</v>
      </c>
      <c r="Q269" s="20">
        <f t="shared" si="49"/>
        <v>0</v>
      </c>
    </row>
    <row r="270" spans="4:17" x14ac:dyDescent="0.35">
      <c r="D270" s="20" t="str">
        <f t="shared" si="44"/>
        <v/>
      </c>
      <c r="E270" s="23" t="str">
        <f t="shared" si="45"/>
        <v/>
      </c>
      <c r="F270" s="20" t="str">
        <f t="shared" si="50"/>
        <v/>
      </c>
      <c r="G270" s="20">
        <f t="shared" si="51"/>
        <v>0</v>
      </c>
      <c r="H270" s="20">
        <f t="shared" si="55"/>
        <v>1</v>
      </c>
      <c r="I270" s="20">
        <f t="shared" si="52"/>
        <v>0</v>
      </c>
      <c r="J270" s="20">
        <f t="shared" si="55"/>
        <v>0</v>
      </c>
      <c r="K270" s="20">
        <f t="shared" si="53"/>
        <v>0</v>
      </c>
      <c r="L270" s="20">
        <f t="shared" si="55"/>
        <v>0</v>
      </c>
      <c r="M270" s="20">
        <f t="shared" si="54"/>
        <v>0</v>
      </c>
      <c r="N270" s="20">
        <f>ABS(G270)</f>
        <v>0</v>
      </c>
      <c r="O270" s="20">
        <f>ABS(I270)</f>
        <v>0</v>
      </c>
      <c r="P270" s="20">
        <f>ABS(K270)</f>
        <v>0</v>
      </c>
      <c r="Q270" s="20">
        <f t="shared" si="49"/>
        <v>0</v>
      </c>
    </row>
    <row r="271" spans="4:17" x14ac:dyDescent="0.35">
      <c r="D271" s="20" t="str">
        <f t="shared" si="44"/>
        <v/>
      </c>
      <c r="E271" s="23" t="str">
        <f t="shared" si="45"/>
        <v/>
      </c>
      <c r="F271" s="20" t="str">
        <f t="shared" si="50"/>
        <v/>
      </c>
      <c r="G271" s="20">
        <f t="shared" si="51"/>
        <v>0</v>
      </c>
      <c r="H271" s="20">
        <f t="shared" si="55"/>
        <v>0</v>
      </c>
      <c r="I271" s="20">
        <f t="shared" si="52"/>
        <v>0</v>
      </c>
      <c r="J271" s="20">
        <f t="shared" si="55"/>
        <v>1</v>
      </c>
      <c r="K271" s="20">
        <f t="shared" si="53"/>
        <v>0</v>
      </c>
      <c r="L271" s="20">
        <f t="shared" si="55"/>
        <v>0</v>
      </c>
      <c r="M271" s="20">
        <f t="shared" si="54"/>
        <v>0</v>
      </c>
      <c r="N271" s="20">
        <f>ABS(G271)</f>
        <v>0</v>
      </c>
      <c r="O271" s="20">
        <f>ABS(I271)</f>
        <v>0</v>
      </c>
      <c r="P271" s="20">
        <f>ABS(K271)</f>
        <v>0</v>
      </c>
      <c r="Q271" s="20">
        <f t="shared" si="49"/>
        <v>0</v>
      </c>
    </row>
    <row r="272" spans="4:17" x14ac:dyDescent="0.35">
      <c r="D272" s="20" t="str">
        <f t="shared" si="44"/>
        <v/>
      </c>
      <c r="E272" s="23" t="str">
        <f t="shared" si="45"/>
        <v/>
      </c>
      <c r="F272" s="20" t="str">
        <f t="shared" si="50"/>
        <v/>
      </c>
      <c r="G272" s="20">
        <f t="shared" si="51"/>
        <v>0</v>
      </c>
      <c r="H272" s="20">
        <f t="shared" si="55"/>
        <v>0</v>
      </c>
      <c r="I272" s="20">
        <f t="shared" si="52"/>
        <v>0</v>
      </c>
      <c r="J272" s="20">
        <f t="shared" si="55"/>
        <v>0</v>
      </c>
      <c r="K272" s="20">
        <f t="shared" si="53"/>
        <v>0</v>
      </c>
      <c r="L272" s="20">
        <f t="shared" si="55"/>
        <v>1</v>
      </c>
      <c r="M272" s="20">
        <f t="shared" si="54"/>
        <v>0</v>
      </c>
      <c r="N272" s="20">
        <f>ABS(G272)</f>
        <v>0</v>
      </c>
      <c r="O272" s="20">
        <f>ABS(I272)</f>
        <v>0</v>
      </c>
      <c r="P272" s="20">
        <f>ABS(K272)</f>
        <v>0</v>
      </c>
      <c r="Q272" s="20">
        <f t="shared" si="49"/>
        <v>0</v>
      </c>
    </row>
    <row r="273" spans="4:17" x14ac:dyDescent="0.35">
      <c r="D273" s="20" t="str">
        <f t="shared" si="44"/>
        <v/>
      </c>
      <c r="E273" s="23" t="str">
        <f t="shared" si="45"/>
        <v/>
      </c>
      <c r="F273" s="20" t="str">
        <f t="shared" si="50"/>
        <v/>
      </c>
      <c r="G273" s="20">
        <f t="shared" si="51"/>
        <v>0</v>
      </c>
      <c r="H273" s="20">
        <f t="shared" si="55"/>
        <v>1</v>
      </c>
      <c r="I273" s="20">
        <f t="shared" si="52"/>
        <v>0</v>
      </c>
      <c r="J273" s="20">
        <f t="shared" si="55"/>
        <v>0</v>
      </c>
      <c r="K273" s="20">
        <f t="shared" si="53"/>
        <v>0</v>
      </c>
      <c r="L273" s="20">
        <f t="shared" si="55"/>
        <v>0</v>
      </c>
      <c r="M273" s="20">
        <f t="shared" si="54"/>
        <v>0</v>
      </c>
      <c r="N273" s="20">
        <f>ABS(G273)</f>
        <v>0</v>
      </c>
      <c r="O273" s="20">
        <f>ABS(I273)</f>
        <v>0</v>
      </c>
      <c r="P273" s="20">
        <f>ABS(K273)</f>
        <v>0</v>
      </c>
      <c r="Q273" s="20">
        <f t="shared" si="49"/>
        <v>0</v>
      </c>
    </row>
    <row r="274" spans="4:17" x14ac:dyDescent="0.35">
      <c r="D274" s="20" t="str">
        <f t="shared" si="44"/>
        <v/>
      </c>
      <c r="E274" s="23" t="str">
        <f t="shared" si="45"/>
        <v/>
      </c>
      <c r="F274" s="20" t="str">
        <f t="shared" si="50"/>
        <v/>
      </c>
      <c r="G274" s="20">
        <f t="shared" si="51"/>
        <v>0</v>
      </c>
      <c r="H274" s="20">
        <f t="shared" si="55"/>
        <v>0</v>
      </c>
      <c r="I274" s="20">
        <f t="shared" si="52"/>
        <v>0</v>
      </c>
      <c r="J274" s="20">
        <f t="shared" si="55"/>
        <v>1</v>
      </c>
      <c r="K274" s="20">
        <f t="shared" si="53"/>
        <v>0</v>
      </c>
      <c r="L274" s="20">
        <f t="shared" si="55"/>
        <v>0</v>
      </c>
      <c r="M274" s="20">
        <f t="shared" si="54"/>
        <v>0</v>
      </c>
      <c r="N274" s="20">
        <f>ABS(G274)</f>
        <v>0</v>
      </c>
      <c r="O274" s="20">
        <f>ABS(I274)</f>
        <v>0</v>
      </c>
      <c r="P274" s="20">
        <f>ABS(K274)</f>
        <v>0</v>
      </c>
      <c r="Q274" s="20">
        <f t="shared" si="49"/>
        <v>0</v>
      </c>
    </row>
    <row r="275" spans="4:17" x14ac:dyDescent="0.35">
      <c r="D275" s="20" t="str">
        <f t="shared" si="44"/>
        <v/>
      </c>
      <c r="E275" s="23" t="str">
        <f t="shared" si="45"/>
        <v/>
      </c>
      <c r="F275" s="20" t="str">
        <f t="shared" si="50"/>
        <v/>
      </c>
      <c r="G275" s="20">
        <f t="shared" si="51"/>
        <v>0</v>
      </c>
      <c r="H275" s="20">
        <f t="shared" si="55"/>
        <v>0</v>
      </c>
      <c r="I275" s="20">
        <f t="shared" si="52"/>
        <v>0</v>
      </c>
      <c r="J275" s="20">
        <f t="shared" si="55"/>
        <v>0</v>
      </c>
      <c r="K275" s="20">
        <f t="shared" si="53"/>
        <v>0</v>
      </c>
      <c r="L275" s="20">
        <f t="shared" si="55"/>
        <v>1</v>
      </c>
      <c r="M275" s="20">
        <f t="shared" si="54"/>
        <v>0</v>
      </c>
      <c r="N275" s="20">
        <f>ABS(G275)</f>
        <v>0</v>
      </c>
      <c r="O275" s="20">
        <f>ABS(I275)</f>
        <v>0</v>
      </c>
      <c r="P275" s="20">
        <f>ABS(K275)</f>
        <v>0</v>
      </c>
      <c r="Q275" s="20">
        <f t="shared" si="49"/>
        <v>0</v>
      </c>
    </row>
    <row r="276" spans="4:17" x14ac:dyDescent="0.35">
      <c r="D276" s="20" t="str">
        <f t="shared" si="44"/>
        <v/>
      </c>
      <c r="E276" s="23" t="str">
        <f t="shared" si="45"/>
        <v/>
      </c>
      <c r="F276" s="20" t="str">
        <f t="shared" si="50"/>
        <v/>
      </c>
      <c r="G276" s="20">
        <f t="shared" si="51"/>
        <v>0</v>
      </c>
      <c r="H276" s="20">
        <f t="shared" si="55"/>
        <v>1</v>
      </c>
      <c r="I276" s="20">
        <f t="shared" si="52"/>
        <v>0</v>
      </c>
      <c r="J276" s="20">
        <f t="shared" si="55"/>
        <v>0</v>
      </c>
      <c r="K276" s="20">
        <f t="shared" si="53"/>
        <v>0</v>
      </c>
      <c r="L276" s="20">
        <f t="shared" si="55"/>
        <v>0</v>
      </c>
      <c r="M276" s="20">
        <f t="shared" si="54"/>
        <v>0</v>
      </c>
      <c r="N276" s="20">
        <f>ABS(G276)</f>
        <v>0</v>
      </c>
      <c r="O276" s="20">
        <f>ABS(I276)</f>
        <v>0</v>
      </c>
      <c r="P276" s="20">
        <f>ABS(K276)</f>
        <v>0</v>
      </c>
      <c r="Q276" s="20">
        <f t="shared" si="49"/>
        <v>0</v>
      </c>
    </row>
    <row r="277" spans="4:17" x14ac:dyDescent="0.35">
      <c r="D277" s="20" t="str">
        <f t="shared" si="44"/>
        <v/>
      </c>
      <c r="E277" s="23" t="str">
        <f t="shared" si="45"/>
        <v/>
      </c>
      <c r="F277" s="20" t="str">
        <f t="shared" si="50"/>
        <v/>
      </c>
      <c r="G277" s="20">
        <f t="shared" si="51"/>
        <v>0</v>
      </c>
      <c r="H277" s="20">
        <f t="shared" si="55"/>
        <v>0</v>
      </c>
      <c r="I277" s="20">
        <f t="shared" si="52"/>
        <v>0</v>
      </c>
      <c r="J277" s="20">
        <f t="shared" si="55"/>
        <v>1</v>
      </c>
      <c r="K277" s="20">
        <f t="shared" si="53"/>
        <v>0</v>
      </c>
      <c r="L277" s="20">
        <f t="shared" si="55"/>
        <v>0</v>
      </c>
      <c r="M277" s="20">
        <f t="shared" si="54"/>
        <v>0</v>
      </c>
      <c r="N277" s="20">
        <f>ABS(G277)</f>
        <v>0</v>
      </c>
      <c r="O277" s="20">
        <f>ABS(I277)</f>
        <v>0</v>
      </c>
      <c r="P277" s="20">
        <f>ABS(K277)</f>
        <v>0</v>
      </c>
      <c r="Q277" s="20">
        <f t="shared" si="49"/>
        <v>0</v>
      </c>
    </row>
    <row r="278" spans="4:17" x14ac:dyDescent="0.35">
      <c r="D278" s="20" t="str">
        <f t="shared" si="44"/>
        <v/>
      </c>
      <c r="E278" s="23" t="str">
        <f t="shared" si="45"/>
        <v/>
      </c>
      <c r="F278" s="20" t="str">
        <f t="shared" si="50"/>
        <v/>
      </c>
      <c r="G278" s="20">
        <f t="shared" si="51"/>
        <v>0</v>
      </c>
      <c r="H278" s="20">
        <f t="shared" si="55"/>
        <v>0</v>
      </c>
      <c r="I278" s="20">
        <f t="shared" si="52"/>
        <v>0</v>
      </c>
      <c r="J278" s="20">
        <f t="shared" si="55"/>
        <v>0</v>
      </c>
      <c r="K278" s="20">
        <f t="shared" si="53"/>
        <v>0</v>
      </c>
      <c r="L278" s="20">
        <f t="shared" si="55"/>
        <v>1</v>
      </c>
      <c r="M278" s="20">
        <f t="shared" si="54"/>
        <v>0</v>
      </c>
      <c r="N278" s="20">
        <f>ABS(G278)</f>
        <v>0</v>
      </c>
      <c r="O278" s="20">
        <f>ABS(I278)</f>
        <v>0</v>
      </c>
      <c r="P278" s="20">
        <f>ABS(K278)</f>
        <v>0</v>
      </c>
      <c r="Q278" s="20">
        <f t="shared" si="49"/>
        <v>0</v>
      </c>
    </row>
    <row r="279" spans="4:17" x14ac:dyDescent="0.35">
      <c r="D279" s="20" t="str">
        <f t="shared" ref="D279:D342" si="56">IF(D278&lt;=$B$5,D278+1,"")</f>
        <v/>
      </c>
      <c r="E279" s="23" t="str">
        <f t="shared" ref="E279:E342" si="57">IF(D278&lt;=$B$5,E278+$B$6,"")</f>
        <v/>
      </c>
      <c r="F279" s="20" t="str">
        <f t="shared" si="50"/>
        <v/>
      </c>
      <c r="G279" s="20">
        <f t="shared" si="51"/>
        <v>0</v>
      </c>
      <c r="H279" s="20">
        <f t="shared" ref="H279:L294" si="58">IF(H278+H277=0,1,0)</f>
        <v>1</v>
      </c>
      <c r="I279" s="20">
        <f t="shared" si="52"/>
        <v>0</v>
      </c>
      <c r="J279" s="20">
        <f t="shared" si="58"/>
        <v>0</v>
      </c>
      <c r="K279" s="20">
        <f t="shared" si="53"/>
        <v>0</v>
      </c>
      <c r="L279" s="20">
        <f t="shared" si="58"/>
        <v>0</v>
      </c>
      <c r="M279" s="20">
        <f t="shared" si="54"/>
        <v>0</v>
      </c>
      <c r="N279" s="20">
        <f>ABS(G279)</f>
        <v>0</v>
      </c>
      <c r="O279" s="20">
        <f>ABS(I279)</f>
        <v>0</v>
      </c>
      <c r="P279" s="20">
        <f>ABS(K279)</f>
        <v>0</v>
      </c>
      <c r="Q279" s="20">
        <f t="shared" si="49"/>
        <v>0</v>
      </c>
    </row>
    <row r="280" spans="4:17" x14ac:dyDescent="0.35">
      <c r="D280" s="20" t="str">
        <f t="shared" si="56"/>
        <v/>
      </c>
      <c r="E280" s="23" t="str">
        <f t="shared" si="57"/>
        <v/>
      </c>
      <c r="F280" s="20" t="str">
        <f t="shared" si="50"/>
        <v/>
      </c>
      <c r="G280" s="20">
        <f t="shared" si="51"/>
        <v>0</v>
      </c>
      <c r="H280" s="20">
        <f t="shared" si="58"/>
        <v>0</v>
      </c>
      <c r="I280" s="20">
        <f t="shared" si="52"/>
        <v>0</v>
      </c>
      <c r="J280" s="20">
        <f t="shared" si="58"/>
        <v>1</v>
      </c>
      <c r="K280" s="20">
        <f t="shared" si="53"/>
        <v>0</v>
      </c>
      <c r="L280" s="20">
        <f t="shared" si="58"/>
        <v>0</v>
      </c>
      <c r="M280" s="20">
        <f t="shared" si="54"/>
        <v>0</v>
      </c>
      <c r="N280" s="20">
        <f>ABS(G280)</f>
        <v>0</v>
      </c>
      <c r="O280" s="20">
        <f>ABS(I280)</f>
        <v>0</v>
      </c>
      <c r="P280" s="20">
        <f>ABS(K280)</f>
        <v>0</v>
      </c>
      <c r="Q280" s="20">
        <f t="shared" si="49"/>
        <v>0</v>
      </c>
    </row>
    <row r="281" spans="4:17" x14ac:dyDescent="0.35">
      <c r="D281" s="20" t="str">
        <f t="shared" si="56"/>
        <v/>
      </c>
      <c r="E281" s="23" t="str">
        <f t="shared" si="57"/>
        <v/>
      </c>
      <c r="F281" s="20" t="str">
        <f t="shared" si="50"/>
        <v/>
      </c>
      <c r="G281" s="20">
        <f t="shared" si="51"/>
        <v>0</v>
      </c>
      <c r="H281" s="20">
        <f t="shared" si="58"/>
        <v>0</v>
      </c>
      <c r="I281" s="20">
        <f t="shared" si="52"/>
        <v>0</v>
      </c>
      <c r="J281" s="20">
        <f t="shared" si="58"/>
        <v>0</v>
      </c>
      <c r="K281" s="20">
        <f t="shared" si="53"/>
        <v>0</v>
      </c>
      <c r="L281" s="20">
        <f t="shared" si="58"/>
        <v>1</v>
      </c>
      <c r="M281" s="20">
        <f t="shared" si="54"/>
        <v>0</v>
      </c>
      <c r="N281" s="20">
        <f>ABS(G281)</f>
        <v>0</v>
      </c>
      <c r="O281" s="20">
        <f>ABS(I281)</f>
        <v>0</v>
      </c>
      <c r="P281" s="20">
        <f>ABS(K281)</f>
        <v>0</v>
      </c>
      <c r="Q281" s="20">
        <f t="shared" si="49"/>
        <v>0</v>
      </c>
    </row>
    <row r="282" spans="4:17" x14ac:dyDescent="0.35">
      <c r="D282" s="20" t="str">
        <f t="shared" si="56"/>
        <v/>
      </c>
      <c r="E282" s="23" t="str">
        <f t="shared" si="57"/>
        <v/>
      </c>
      <c r="F282" s="20" t="str">
        <f t="shared" si="50"/>
        <v/>
      </c>
      <c r="G282" s="20">
        <f t="shared" si="51"/>
        <v>0</v>
      </c>
      <c r="H282" s="20">
        <f t="shared" si="58"/>
        <v>1</v>
      </c>
      <c r="I282" s="20">
        <f t="shared" si="52"/>
        <v>0</v>
      </c>
      <c r="J282" s="20">
        <f t="shared" si="58"/>
        <v>0</v>
      </c>
      <c r="K282" s="20">
        <f t="shared" si="53"/>
        <v>0</v>
      </c>
      <c r="L282" s="20">
        <f t="shared" si="58"/>
        <v>0</v>
      </c>
      <c r="M282" s="20">
        <f t="shared" si="54"/>
        <v>0</v>
      </c>
      <c r="N282" s="20">
        <f>ABS(G282)</f>
        <v>0</v>
      </c>
      <c r="O282" s="20">
        <f>ABS(I282)</f>
        <v>0</v>
      </c>
      <c r="P282" s="20">
        <f>ABS(K282)</f>
        <v>0</v>
      </c>
      <c r="Q282" s="20">
        <f t="shared" si="49"/>
        <v>0</v>
      </c>
    </row>
    <row r="283" spans="4:17" x14ac:dyDescent="0.35">
      <c r="D283" s="20" t="str">
        <f t="shared" si="56"/>
        <v/>
      </c>
      <c r="E283" s="23" t="str">
        <f t="shared" si="57"/>
        <v/>
      </c>
      <c r="F283" s="20" t="str">
        <f t="shared" si="50"/>
        <v/>
      </c>
      <c r="G283" s="20">
        <f t="shared" si="51"/>
        <v>0</v>
      </c>
      <c r="H283" s="20">
        <f t="shared" si="58"/>
        <v>0</v>
      </c>
      <c r="I283" s="20">
        <f t="shared" si="52"/>
        <v>0</v>
      </c>
      <c r="J283" s="20">
        <f t="shared" si="58"/>
        <v>1</v>
      </c>
      <c r="K283" s="20">
        <f t="shared" si="53"/>
        <v>0</v>
      </c>
      <c r="L283" s="20">
        <f t="shared" si="58"/>
        <v>0</v>
      </c>
      <c r="M283" s="20">
        <f t="shared" si="54"/>
        <v>0</v>
      </c>
      <c r="N283" s="20">
        <f>ABS(G283)</f>
        <v>0</v>
      </c>
      <c r="O283" s="20">
        <f>ABS(I283)</f>
        <v>0</v>
      </c>
      <c r="P283" s="20">
        <f>ABS(K283)</f>
        <v>0</v>
      </c>
      <c r="Q283" s="20">
        <f t="shared" si="49"/>
        <v>0</v>
      </c>
    </row>
    <row r="284" spans="4:17" x14ac:dyDescent="0.35">
      <c r="D284" s="20" t="str">
        <f t="shared" si="56"/>
        <v/>
      </c>
      <c r="E284" s="23" t="str">
        <f t="shared" si="57"/>
        <v/>
      </c>
      <c r="F284" s="20" t="str">
        <f t="shared" si="50"/>
        <v/>
      </c>
      <c r="G284" s="20">
        <f t="shared" si="51"/>
        <v>0</v>
      </c>
      <c r="H284" s="20">
        <f t="shared" si="58"/>
        <v>0</v>
      </c>
      <c r="I284" s="20">
        <f t="shared" si="52"/>
        <v>0</v>
      </c>
      <c r="J284" s="20">
        <f t="shared" si="58"/>
        <v>0</v>
      </c>
      <c r="K284" s="20">
        <f t="shared" si="53"/>
        <v>0</v>
      </c>
      <c r="L284" s="20">
        <f t="shared" si="58"/>
        <v>1</v>
      </c>
      <c r="M284" s="20">
        <f t="shared" si="54"/>
        <v>0</v>
      </c>
      <c r="N284" s="20">
        <f>ABS(G284)</f>
        <v>0</v>
      </c>
      <c r="O284" s="20">
        <f>ABS(I284)</f>
        <v>0</v>
      </c>
      <c r="P284" s="20">
        <f>ABS(K284)</f>
        <v>0</v>
      </c>
      <c r="Q284" s="20">
        <f t="shared" si="49"/>
        <v>0</v>
      </c>
    </row>
    <row r="285" spans="4:17" x14ac:dyDescent="0.35">
      <c r="D285" s="20" t="str">
        <f t="shared" si="56"/>
        <v/>
      </c>
      <c r="E285" s="23" t="str">
        <f t="shared" si="57"/>
        <v/>
      </c>
      <c r="F285" s="20" t="str">
        <f t="shared" si="50"/>
        <v/>
      </c>
      <c r="G285" s="20">
        <f t="shared" si="51"/>
        <v>0</v>
      </c>
      <c r="H285" s="20">
        <f t="shared" si="58"/>
        <v>1</v>
      </c>
      <c r="I285" s="20">
        <f t="shared" si="52"/>
        <v>0</v>
      </c>
      <c r="J285" s="20">
        <f t="shared" si="58"/>
        <v>0</v>
      </c>
      <c r="K285" s="20">
        <f t="shared" si="53"/>
        <v>0</v>
      </c>
      <c r="L285" s="20">
        <f t="shared" si="58"/>
        <v>0</v>
      </c>
      <c r="M285" s="20">
        <f t="shared" si="54"/>
        <v>0</v>
      </c>
      <c r="N285" s="20">
        <f>ABS(G285)</f>
        <v>0</v>
      </c>
      <c r="O285" s="20">
        <f>ABS(I285)</f>
        <v>0</v>
      </c>
      <c r="P285" s="20">
        <f>ABS(K285)</f>
        <v>0</v>
      </c>
      <c r="Q285" s="20">
        <f t="shared" si="49"/>
        <v>0</v>
      </c>
    </row>
    <row r="286" spans="4:17" x14ac:dyDescent="0.35">
      <c r="D286" s="20" t="str">
        <f t="shared" si="56"/>
        <v/>
      </c>
      <c r="E286" s="23" t="str">
        <f t="shared" si="57"/>
        <v/>
      </c>
      <c r="F286" s="20" t="str">
        <f t="shared" si="50"/>
        <v/>
      </c>
      <c r="G286" s="20">
        <f t="shared" si="51"/>
        <v>0</v>
      </c>
      <c r="H286" s="20">
        <f t="shared" si="58"/>
        <v>0</v>
      </c>
      <c r="I286" s="20">
        <f t="shared" si="52"/>
        <v>0</v>
      </c>
      <c r="J286" s="20">
        <f t="shared" si="58"/>
        <v>1</v>
      </c>
      <c r="K286" s="20">
        <f t="shared" si="53"/>
        <v>0</v>
      </c>
      <c r="L286" s="20">
        <f t="shared" si="58"/>
        <v>0</v>
      </c>
      <c r="M286" s="20">
        <f t="shared" si="54"/>
        <v>0</v>
      </c>
      <c r="N286" s="20">
        <f>ABS(G286)</f>
        <v>0</v>
      </c>
      <c r="O286" s="20">
        <f>ABS(I286)</f>
        <v>0</v>
      </c>
      <c r="P286" s="20">
        <f>ABS(K286)</f>
        <v>0</v>
      </c>
      <c r="Q286" s="20">
        <f t="shared" si="49"/>
        <v>0</v>
      </c>
    </row>
    <row r="287" spans="4:17" x14ac:dyDescent="0.35">
      <c r="D287" s="20" t="str">
        <f t="shared" si="56"/>
        <v/>
      </c>
      <c r="E287" s="23" t="str">
        <f t="shared" si="57"/>
        <v/>
      </c>
      <c r="F287" s="20" t="str">
        <f t="shared" si="50"/>
        <v/>
      </c>
      <c r="G287" s="20">
        <f t="shared" si="51"/>
        <v>0</v>
      </c>
      <c r="H287" s="20">
        <f t="shared" si="58"/>
        <v>0</v>
      </c>
      <c r="I287" s="20">
        <f t="shared" si="52"/>
        <v>0</v>
      </c>
      <c r="J287" s="20">
        <f t="shared" si="58"/>
        <v>0</v>
      </c>
      <c r="K287" s="20">
        <f t="shared" si="53"/>
        <v>0</v>
      </c>
      <c r="L287" s="20">
        <f t="shared" si="58"/>
        <v>1</v>
      </c>
      <c r="M287" s="20">
        <f t="shared" si="54"/>
        <v>0</v>
      </c>
      <c r="N287" s="20">
        <f>ABS(G287)</f>
        <v>0</v>
      </c>
      <c r="O287" s="20">
        <f>ABS(I287)</f>
        <v>0</v>
      </c>
      <c r="P287" s="20">
        <f>ABS(K287)</f>
        <v>0</v>
      </c>
      <c r="Q287" s="20">
        <f t="shared" si="49"/>
        <v>0</v>
      </c>
    </row>
    <row r="288" spans="4:17" x14ac:dyDescent="0.35">
      <c r="D288" s="20" t="str">
        <f t="shared" si="56"/>
        <v/>
      </c>
      <c r="E288" s="23" t="str">
        <f t="shared" si="57"/>
        <v/>
      </c>
      <c r="F288" s="20" t="str">
        <f t="shared" si="50"/>
        <v/>
      </c>
      <c r="G288" s="20">
        <f t="shared" si="51"/>
        <v>0</v>
      </c>
      <c r="H288" s="20">
        <f t="shared" si="58"/>
        <v>1</v>
      </c>
      <c r="I288" s="20">
        <f t="shared" si="52"/>
        <v>0</v>
      </c>
      <c r="J288" s="20">
        <f t="shared" si="58"/>
        <v>0</v>
      </c>
      <c r="K288" s="20">
        <f t="shared" si="53"/>
        <v>0</v>
      </c>
      <c r="L288" s="20">
        <f t="shared" si="58"/>
        <v>0</v>
      </c>
      <c r="M288" s="20">
        <f t="shared" si="54"/>
        <v>0</v>
      </c>
      <c r="N288" s="20">
        <f>ABS(G288)</f>
        <v>0</v>
      </c>
      <c r="O288" s="20">
        <f>ABS(I288)</f>
        <v>0</v>
      </c>
      <c r="P288" s="20">
        <f>ABS(K288)</f>
        <v>0</v>
      </c>
      <c r="Q288" s="20">
        <f t="shared" si="49"/>
        <v>0</v>
      </c>
    </row>
    <row r="289" spans="4:17" x14ac:dyDescent="0.35">
      <c r="D289" s="20" t="str">
        <f t="shared" si="56"/>
        <v/>
      </c>
      <c r="E289" s="23" t="str">
        <f t="shared" si="57"/>
        <v/>
      </c>
      <c r="F289" s="20" t="str">
        <f t="shared" si="50"/>
        <v/>
      </c>
      <c r="G289" s="20">
        <f t="shared" si="51"/>
        <v>0</v>
      </c>
      <c r="H289" s="20">
        <f t="shared" si="58"/>
        <v>0</v>
      </c>
      <c r="I289" s="20">
        <f t="shared" si="52"/>
        <v>0</v>
      </c>
      <c r="J289" s="20">
        <f t="shared" si="58"/>
        <v>1</v>
      </c>
      <c r="K289" s="20">
        <f t="shared" si="53"/>
        <v>0</v>
      </c>
      <c r="L289" s="20">
        <f t="shared" si="58"/>
        <v>0</v>
      </c>
      <c r="M289" s="20">
        <f t="shared" si="54"/>
        <v>0</v>
      </c>
      <c r="N289" s="20">
        <f>ABS(G289)</f>
        <v>0</v>
      </c>
      <c r="O289" s="20">
        <f>ABS(I289)</f>
        <v>0</v>
      </c>
      <c r="P289" s="20">
        <f>ABS(K289)</f>
        <v>0</v>
      </c>
      <c r="Q289" s="20">
        <f t="shared" si="49"/>
        <v>0</v>
      </c>
    </row>
    <row r="290" spans="4:17" x14ac:dyDescent="0.35">
      <c r="D290" s="20" t="str">
        <f t="shared" si="56"/>
        <v/>
      </c>
      <c r="E290" s="23" t="str">
        <f t="shared" si="57"/>
        <v/>
      </c>
      <c r="F290" s="20" t="str">
        <f t="shared" si="50"/>
        <v/>
      </c>
      <c r="G290" s="20">
        <f t="shared" si="51"/>
        <v>0</v>
      </c>
      <c r="H290" s="20">
        <f t="shared" si="58"/>
        <v>0</v>
      </c>
      <c r="I290" s="20">
        <f t="shared" si="52"/>
        <v>0</v>
      </c>
      <c r="J290" s="20">
        <f t="shared" si="58"/>
        <v>0</v>
      </c>
      <c r="K290" s="20">
        <f t="shared" si="53"/>
        <v>0</v>
      </c>
      <c r="L290" s="20">
        <f t="shared" si="58"/>
        <v>1</v>
      </c>
      <c r="M290" s="20">
        <f t="shared" si="54"/>
        <v>0</v>
      </c>
      <c r="N290" s="20">
        <f>ABS(G290)</f>
        <v>0</v>
      </c>
      <c r="O290" s="20">
        <f>ABS(I290)</f>
        <v>0</v>
      </c>
      <c r="P290" s="20">
        <f>ABS(K290)</f>
        <v>0</v>
      </c>
      <c r="Q290" s="20">
        <f t="shared" si="49"/>
        <v>0</v>
      </c>
    </row>
    <row r="291" spans="4:17" x14ac:dyDescent="0.35">
      <c r="D291" s="20" t="str">
        <f t="shared" si="56"/>
        <v/>
      </c>
      <c r="E291" s="23" t="str">
        <f t="shared" si="57"/>
        <v/>
      </c>
      <c r="F291" s="20" t="str">
        <f t="shared" si="50"/>
        <v/>
      </c>
      <c r="G291" s="20">
        <f t="shared" si="51"/>
        <v>0</v>
      </c>
      <c r="H291" s="20">
        <f t="shared" si="58"/>
        <v>1</v>
      </c>
      <c r="I291" s="20">
        <f t="shared" si="52"/>
        <v>0</v>
      </c>
      <c r="J291" s="20">
        <f t="shared" si="58"/>
        <v>0</v>
      </c>
      <c r="K291" s="20">
        <f t="shared" si="53"/>
        <v>0</v>
      </c>
      <c r="L291" s="20">
        <f t="shared" si="58"/>
        <v>0</v>
      </c>
      <c r="M291" s="20">
        <f t="shared" si="54"/>
        <v>0</v>
      </c>
      <c r="N291" s="20">
        <f>ABS(G291)</f>
        <v>0</v>
      </c>
      <c r="O291" s="20">
        <f>ABS(I291)</f>
        <v>0</v>
      </c>
      <c r="P291" s="20">
        <f>ABS(K291)</f>
        <v>0</v>
      </c>
      <c r="Q291" s="20">
        <f t="shared" si="49"/>
        <v>0</v>
      </c>
    </row>
    <row r="292" spans="4:17" x14ac:dyDescent="0.35">
      <c r="D292" s="20" t="str">
        <f t="shared" si="56"/>
        <v/>
      </c>
      <c r="E292" s="23" t="str">
        <f t="shared" si="57"/>
        <v/>
      </c>
      <c r="F292" s="20" t="str">
        <f t="shared" si="50"/>
        <v/>
      </c>
      <c r="G292" s="20">
        <f t="shared" si="51"/>
        <v>0</v>
      </c>
      <c r="H292" s="20">
        <f t="shared" si="58"/>
        <v>0</v>
      </c>
      <c r="I292" s="20">
        <f t="shared" si="52"/>
        <v>0</v>
      </c>
      <c r="J292" s="20">
        <f t="shared" si="58"/>
        <v>1</v>
      </c>
      <c r="K292" s="20">
        <f t="shared" si="53"/>
        <v>0</v>
      </c>
      <c r="L292" s="20">
        <f t="shared" si="58"/>
        <v>0</v>
      </c>
      <c r="M292" s="20">
        <f t="shared" si="54"/>
        <v>0</v>
      </c>
      <c r="N292" s="20">
        <f>ABS(G292)</f>
        <v>0</v>
      </c>
      <c r="O292" s="20">
        <f>ABS(I292)</f>
        <v>0</v>
      </c>
      <c r="P292" s="20">
        <f>ABS(K292)</f>
        <v>0</v>
      </c>
      <c r="Q292" s="20">
        <f t="shared" si="49"/>
        <v>0</v>
      </c>
    </row>
    <row r="293" spans="4:17" x14ac:dyDescent="0.35">
      <c r="D293" s="20" t="str">
        <f t="shared" si="56"/>
        <v/>
      </c>
      <c r="E293" s="23" t="str">
        <f t="shared" si="57"/>
        <v/>
      </c>
      <c r="F293" s="20" t="str">
        <f t="shared" si="50"/>
        <v/>
      </c>
      <c r="G293" s="20">
        <f t="shared" si="51"/>
        <v>0</v>
      </c>
      <c r="H293" s="20">
        <f t="shared" si="58"/>
        <v>0</v>
      </c>
      <c r="I293" s="20">
        <f t="shared" si="52"/>
        <v>0</v>
      </c>
      <c r="J293" s="20">
        <f t="shared" si="58"/>
        <v>0</v>
      </c>
      <c r="K293" s="20">
        <f t="shared" si="53"/>
        <v>0</v>
      </c>
      <c r="L293" s="20">
        <f t="shared" si="58"/>
        <v>1</v>
      </c>
      <c r="M293" s="20">
        <f t="shared" si="54"/>
        <v>0</v>
      </c>
      <c r="N293" s="20">
        <f>ABS(G293)</f>
        <v>0</v>
      </c>
      <c r="O293" s="20">
        <f>ABS(I293)</f>
        <v>0</v>
      </c>
      <c r="P293" s="20">
        <f>ABS(K293)</f>
        <v>0</v>
      </c>
      <c r="Q293" s="20">
        <f t="shared" si="49"/>
        <v>0</v>
      </c>
    </row>
    <row r="294" spans="4:17" x14ac:dyDescent="0.35">
      <c r="D294" s="20" t="str">
        <f t="shared" si="56"/>
        <v/>
      </c>
      <c r="E294" s="23" t="str">
        <f t="shared" si="57"/>
        <v/>
      </c>
      <c r="F294" s="20" t="str">
        <f t="shared" si="50"/>
        <v/>
      </c>
      <c r="G294" s="20">
        <f t="shared" si="51"/>
        <v>0</v>
      </c>
      <c r="H294" s="20">
        <f t="shared" si="58"/>
        <v>1</v>
      </c>
      <c r="I294" s="20">
        <f t="shared" si="52"/>
        <v>0</v>
      </c>
      <c r="J294" s="20">
        <f t="shared" si="58"/>
        <v>0</v>
      </c>
      <c r="K294" s="20">
        <f t="shared" si="53"/>
        <v>0</v>
      </c>
      <c r="L294" s="20">
        <f t="shared" si="58"/>
        <v>0</v>
      </c>
      <c r="M294" s="20">
        <f t="shared" si="54"/>
        <v>0</v>
      </c>
      <c r="N294" s="20">
        <f>ABS(G294)</f>
        <v>0</v>
      </c>
      <c r="O294" s="20">
        <f>ABS(I294)</f>
        <v>0</v>
      </c>
      <c r="P294" s="20">
        <f>ABS(K294)</f>
        <v>0</v>
      </c>
      <c r="Q294" s="20">
        <f t="shared" si="49"/>
        <v>0</v>
      </c>
    </row>
    <row r="295" spans="4:17" x14ac:dyDescent="0.35">
      <c r="D295" s="20" t="str">
        <f t="shared" si="56"/>
        <v/>
      </c>
      <c r="E295" s="23" t="str">
        <f t="shared" si="57"/>
        <v/>
      </c>
      <c r="F295" s="20" t="str">
        <f t="shared" si="50"/>
        <v/>
      </c>
      <c r="G295" s="20">
        <f t="shared" si="51"/>
        <v>0</v>
      </c>
      <c r="H295" s="20">
        <f t="shared" ref="H295:L310" si="59">IF(H294+H293=0,1,0)</f>
        <v>0</v>
      </c>
      <c r="I295" s="20">
        <f t="shared" si="52"/>
        <v>0</v>
      </c>
      <c r="J295" s="20">
        <f t="shared" si="59"/>
        <v>1</v>
      </c>
      <c r="K295" s="20">
        <f t="shared" si="53"/>
        <v>0</v>
      </c>
      <c r="L295" s="20">
        <f t="shared" si="59"/>
        <v>0</v>
      </c>
      <c r="M295" s="20">
        <f t="shared" si="54"/>
        <v>0</v>
      </c>
      <c r="N295" s="20">
        <f>ABS(G295)</f>
        <v>0</v>
      </c>
      <c r="O295" s="20">
        <f>ABS(I295)</f>
        <v>0</v>
      </c>
      <c r="P295" s="20">
        <f>ABS(K295)</f>
        <v>0</v>
      </c>
      <c r="Q295" s="20">
        <f t="shared" si="49"/>
        <v>0</v>
      </c>
    </row>
    <row r="296" spans="4:17" x14ac:dyDescent="0.35">
      <c r="D296" s="20" t="str">
        <f t="shared" si="56"/>
        <v/>
      </c>
      <c r="E296" s="23" t="str">
        <f t="shared" si="57"/>
        <v/>
      </c>
      <c r="F296" s="20" t="str">
        <f t="shared" si="50"/>
        <v/>
      </c>
      <c r="G296" s="20">
        <f t="shared" si="51"/>
        <v>0</v>
      </c>
      <c r="H296" s="20">
        <f t="shared" si="59"/>
        <v>0</v>
      </c>
      <c r="I296" s="20">
        <f t="shared" si="52"/>
        <v>0</v>
      </c>
      <c r="J296" s="20">
        <f t="shared" si="59"/>
        <v>0</v>
      </c>
      <c r="K296" s="20">
        <f t="shared" si="53"/>
        <v>0</v>
      </c>
      <c r="L296" s="20">
        <f t="shared" si="59"/>
        <v>1</v>
      </c>
      <c r="M296" s="20">
        <f t="shared" si="54"/>
        <v>0</v>
      </c>
      <c r="N296" s="20">
        <f>ABS(G296)</f>
        <v>0</v>
      </c>
      <c r="O296" s="20">
        <f>ABS(I296)</f>
        <v>0</v>
      </c>
      <c r="P296" s="20">
        <f>ABS(K296)</f>
        <v>0</v>
      </c>
      <c r="Q296" s="20">
        <f t="shared" si="49"/>
        <v>0</v>
      </c>
    </row>
    <row r="297" spans="4:17" x14ac:dyDescent="0.35">
      <c r="D297" s="20" t="str">
        <f t="shared" si="56"/>
        <v/>
      </c>
      <c r="E297" s="23" t="str">
        <f t="shared" si="57"/>
        <v/>
      </c>
      <c r="F297" s="20" t="str">
        <f t="shared" si="50"/>
        <v/>
      </c>
      <c r="G297" s="20">
        <f t="shared" si="51"/>
        <v>0</v>
      </c>
      <c r="H297" s="20">
        <f t="shared" si="59"/>
        <v>1</v>
      </c>
      <c r="I297" s="20">
        <f t="shared" si="52"/>
        <v>0</v>
      </c>
      <c r="J297" s="20">
        <f t="shared" si="59"/>
        <v>0</v>
      </c>
      <c r="K297" s="20">
        <f t="shared" si="53"/>
        <v>0</v>
      </c>
      <c r="L297" s="20">
        <f t="shared" si="59"/>
        <v>0</v>
      </c>
      <c r="M297" s="20">
        <f t="shared" si="54"/>
        <v>0</v>
      </c>
      <c r="N297" s="20">
        <f>ABS(G297)</f>
        <v>0</v>
      </c>
      <c r="O297" s="20">
        <f>ABS(I297)</f>
        <v>0</v>
      </c>
      <c r="P297" s="20">
        <f>ABS(K297)</f>
        <v>0</v>
      </c>
      <c r="Q297" s="20">
        <f t="shared" si="49"/>
        <v>0</v>
      </c>
    </row>
    <row r="298" spans="4:17" x14ac:dyDescent="0.35">
      <c r="D298" s="20" t="str">
        <f t="shared" si="56"/>
        <v/>
      </c>
      <c r="E298" s="23" t="str">
        <f t="shared" si="57"/>
        <v/>
      </c>
      <c r="F298" s="20" t="str">
        <f t="shared" si="50"/>
        <v/>
      </c>
      <c r="G298" s="20">
        <f t="shared" si="51"/>
        <v>0</v>
      </c>
      <c r="H298" s="20">
        <f t="shared" si="59"/>
        <v>0</v>
      </c>
      <c r="I298" s="20">
        <f t="shared" si="52"/>
        <v>0</v>
      </c>
      <c r="J298" s="20">
        <f t="shared" si="59"/>
        <v>1</v>
      </c>
      <c r="K298" s="20">
        <f t="shared" si="53"/>
        <v>0</v>
      </c>
      <c r="L298" s="20">
        <f t="shared" si="59"/>
        <v>0</v>
      </c>
      <c r="M298" s="20">
        <f t="shared" si="54"/>
        <v>0</v>
      </c>
      <c r="N298" s="20">
        <f>ABS(G298)</f>
        <v>0</v>
      </c>
      <c r="O298" s="20">
        <f>ABS(I298)</f>
        <v>0</v>
      </c>
      <c r="P298" s="20">
        <f>ABS(K298)</f>
        <v>0</v>
      </c>
      <c r="Q298" s="20">
        <f t="shared" si="49"/>
        <v>0</v>
      </c>
    </row>
    <row r="299" spans="4:17" x14ac:dyDescent="0.35">
      <c r="D299" s="20" t="str">
        <f t="shared" si="56"/>
        <v/>
      </c>
      <c r="E299" s="23" t="str">
        <f t="shared" si="57"/>
        <v/>
      </c>
      <c r="F299" s="20" t="str">
        <f t="shared" si="50"/>
        <v/>
      </c>
      <c r="G299" s="20">
        <f t="shared" si="51"/>
        <v>0</v>
      </c>
      <c r="H299" s="20">
        <f t="shared" si="59"/>
        <v>0</v>
      </c>
      <c r="I299" s="20">
        <f t="shared" si="52"/>
        <v>0</v>
      </c>
      <c r="J299" s="20">
        <f t="shared" si="59"/>
        <v>0</v>
      </c>
      <c r="K299" s="20">
        <f t="shared" si="53"/>
        <v>0</v>
      </c>
      <c r="L299" s="20">
        <f t="shared" si="59"/>
        <v>1</v>
      </c>
      <c r="M299" s="20">
        <f t="shared" si="54"/>
        <v>0</v>
      </c>
      <c r="N299" s="20">
        <f>ABS(G299)</f>
        <v>0</v>
      </c>
      <c r="O299" s="20">
        <f>ABS(I299)</f>
        <v>0</v>
      </c>
      <c r="P299" s="20">
        <f>ABS(K299)</f>
        <v>0</v>
      </c>
      <c r="Q299" s="20">
        <f t="shared" si="49"/>
        <v>0</v>
      </c>
    </row>
    <row r="300" spans="4:17" x14ac:dyDescent="0.35">
      <c r="D300" s="20" t="str">
        <f t="shared" si="56"/>
        <v/>
      </c>
      <c r="E300" s="23" t="str">
        <f t="shared" si="57"/>
        <v/>
      </c>
      <c r="F300" s="20" t="str">
        <f t="shared" si="50"/>
        <v/>
      </c>
      <c r="G300" s="20">
        <f t="shared" si="51"/>
        <v>0</v>
      </c>
      <c r="H300" s="20">
        <f t="shared" si="59"/>
        <v>1</v>
      </c>
      <c r="I300" s="20">
        <f t="shared" si="52"/>
        <v>0</v>
      </c>
      <c r="J300" s="20">
        <f t="shared" si="59"/>
        <v>0</v>
      </c>
      <c r="K300" s="20">
        <f t="shared" si="53"/>
        <v>0</v>
      </c>
      <c r="L300" s="20">
        <f t="shared" si="59"/>
        <v>0</v>
      </c>
      <c r="M300" s="20">
        <f t="shared" si="54"/>
        <v>0</v>
      </c>
      <c r="N300" s="20">
        <f>ABS(G300)</f>
        <v>0</v>
      </c>
      <c r="O300" s="20">
        <f>ABS(I300)</f>
        <v>0</v>
      </c>
      <c r="P300" s="20">
        <f>ABS(K300)</f>
        <v>0</v>
      </c>
      <c r="Q300" s="20">
        <f t="shared" si="49"/>
        <v>0</v>
      </c>
    </row>
    <row r="301" spans="4:17" x14ac:dyDescent="0.35">
      <c r="D301" s="20" t="str">
        <f t="shared" si="56"/>
        <v/>
      </c>
      <c r="E301" s="23" t="str">
        <f t="shared" si="57"/>
        <v/>
      </c>
      <c r="F301" s="20" t="str">
        <f t="shared" si="50"/>
        <v/>
      </c>
      <c r="G301" s="20">
        <f t="shared" si="51"/>
        <v>0</v>
      </c>
      <c r="H301" s="20">
        <f t="shared" si="59"/>
        <v>0</v>
      </c>
      <c r="I301" s="20">
        <f t="shared" si="52"/>
        <v>0</v>
      </c>
      <c r="J301" s="20">
        <f t="shared" si="59"/>
        <v>1</v>
      </c>
      <c r="K301" s="20">
        <f t="shared" si="53"/>
        <v>0</v>
      </c>
      <c r="L301" s="20">
        <f t="shared" si="59"/>
        <v>0</v>
      </c>
      <c r="M301" s="20">
        <f t="shared" si="54"/>
        <v>0</v>
      </c>
      <c r="N301" s="20">
        <f>ABS(G301)</f>
        <v>0</v>
      </c>
      <c r="O301" s="20">
        <f>ABS(I301)</f>
        <v>0</v>
      </c>
      <c r="P301" s="20">
        <f>ABS(K301)</f>
        <v>0</v>
      </c>
      <c r="Q301" s="20">
        <f t="shared" si="49"/>
        <v>0</v>
      </c>
    </row>
    <row r="302" spans="4:17" x14ac:dyDescent="0.35">
      <c r="D302" s="20" t="str">
        <f t="shared" si="56"/>
        <v/>
      </c>
      <c r="E302" s="23" t="str">
        <f t="shared" si="57"/>
        <v/>
      </c>
      <c r="F302" s="20" t="str">
        <f t="shared" si="50"/>
        <v/>
      </c>
      <c r="G302" s="20">
        <f t="shared" si="51"/>
        <v>0</v>
      </c>
      <c r="H302" s="20">
        <f t="shared" si="59"/>
        <v>0</v>
      </c>
      <c r="I302" s="20">
        <f t="shared" si="52"/>
        <v>0</v>
      </c>
      <c r="J302" s="20">
        <f t="shared" si="59"/>
        <v>0</v>
      </c>
      <c r="K302" s="20">
        <f t="shared" si="53"/>
        <v>0</v>
      </c>
      <c r="L302" s="20">
        <f t="shared" si="59"/>
        <v>1</v>
      </c>
      <c r="M302" s="20">
        <f t="shared" si="54"/>
        <v>0</v>
      </c>
      <c r="N302" s="20">
        <f>ABS(G302)</f>
        <v>0</v>
      </c>
      <c r="O302" s="20">
        <f>ABS(I302)</f>
        <v>0</v>
      </c>
      <c r="P302" s="20">
        <f>ABS(K302)</f>
        <v>0</v>
      </c>
      <c r="Q302" s="20">
        <f t="shared" si="49"/>
        <v>0</v>
      </c>
    </row>
    <row r="303" spans="4:17" x14ac:dyDescent="0.35">
      <c r="D303" s="20" t="str">
        <f t="shared" si="56"/>
        <v/>
      </c>
      <c r="E303" s="23" t="str">
        <f t="shared" si="57"/>
        <v/>
      </c>
      <c r="F303" s="20" t="str">
        <f t="shared" si="50"/>
        <v/>
      </c>
      <c r="G303" s="20">
        <f t="shared" si="51"/>
        <v>0</v>
      </c>
      <c r="H303" s="20">
        <f t="shared" si="59"/>
        <v>1</v>
      </c>
      <c r="I303" s="20">
        <f t="shared" si="52"/>
        <v>0</v>
      </c>
      <c r="J303" s="20">
        <f t="shared" si="59"/>
        <v>0</v>
      </c>
      <c r="K303" s="20">
        <f t="shared" si="53"/>
        <v>0</v>
      </c>
      <c r="L303" s="20">
        <f t="shared" si="59"/>
        <v>0</v>
      </c>
      <c r="M303" s="20">
        <f t="shared" si="54"/>
        <v>0</v>
      </c>
      <c r="N303" s="20">
        <f>ABS(G303)</f>
        <v>0</v>
      </c>
      <c r="O303" s="20">
        <f>ABS(I303)</f>
        <v>0</v>
      </c>
      <c r="P303" s="20">
        <f>ABS(K303)</f>
        <v>0</v>
      </c>
      <c r="Q303" s="20">
        <f t="shared" si="49"/>
        <v>0</v>
      </c>
    </row>
    <row r="304" spans="4:17" x14ac:dyDescent="0.35">
      <c r="D304" s="20" t="str">
        <f t="shared" si="56"/>
        <v/>
      </c>
      <c r="E304" s="23" t="str">
        <f t="shared" si="57"/>
        <v/>
      </c>
      <c r="F304" s="20" t="str">
        <f t="shared" si="50"/>
        <v/>
      </c>
      <c r="G304" s="20">
        <f t="shared" si="51"/>
        <v>0</v>
      </c>
      <c r="H304" s="20">
        <f t="shared" si="59"/>
        <v>0</v>
      </c>
      <c r="I304" s="20">
        <f t="shared" si="52"/>
        <v>0</v>
      </c>
      <c r="J304" s="20">
        <f t="shared" si="59"/>
        <v>1</v>
      </c>
      <c r="K304" s="20">
        <f t="shared" si="53"/>
        <v>0</v>
      </c>
      <c r="L304" s="20">
        <f t="shared" si="59"/>
        <v>0</v>
      </c>
      <c r="M304" s="20">
        <f t="shared" si="54"/>
        <v>0</v>
      </c>
      <c r="N304" s="20">
        <f>ABS(G304)</f>
        <v>0</v>
      </c>
      <c r="O304" s="20">
        <f>ABS(I304)</f>
        <v>0</v>
      </c>
      <c r="P304" s="20">
        <f>ABS(K304)</f>
        <v>0</v>
      </c>
      <c r="Q304" s="20">
        <f t="shared" si="49"/>
        <v>0</v>
      </c>
    </row>
    <row r="305" spans="4:17" x14ac:dyDescent="0.35">
      <c r="D305" s="20" t="str">
        <f t="shared" si="56"/>
        <v/>
      </c>
      <c r="E305" s="23" t="str">
        <f t="shared" si="57"/>
        <v/>
      </c>
      <c r="F305" s="20" t="str">
        <f t="shared" si="50"/>
        <v/>
      </c>
      <c r="G305" s="20">
        <f t="shared" si="51"/>
        <v>0</v>
      </c>
      <c r="H305" s="20">
        <f t="shared" si="59"/>
        <v>0</v>
      </c>
      <c r="I305" s="20">
        <f t="shared" si="52"/>
        <v>0</v>
      </c>
      <c r="J305" s="20">
        <f t="shared" si="59"/>
        <v>0</v>
      </c>
      <c r="K305" s="20">
        <f t="shared" si="53"/>
        <v>0</v>
      </c>
      <c r="L305" s="20">
        <f t="shared" si="59"/>
        <v>1</v>
      </c>
      <c r="M305" s="20">
        <f t="shared" si="54"/>
        <v>0</v>
      </c>
      <c r="N305" s="20">
        <f>ABS(G305)</f>
        <v>0</v>
      </c>
      <c r="O305" s="20">
        <f>ABS(I305)</f>
        <v>0</v>
      </c>
      <c r="P305" s="20">
        <f>ABS(K305)</f>
        <v>0</v>
      </c>
      <c r="Q305" s="20">
        <f t="shared" si="49"/>
        <v>0</v>
      </c>
    </row>
    <row r="306" spans="4:17" x14ac:dyDescent="0.35">
      <c r="D306" s="20" t="str">
        <f t="shared" si="56"/>
        <v/>
      </c>
      <c r="E306" s="23" t="str">
        <f t="shared" si="57"/>
        <v/>
      </c>
      <c r="F306" s="20" t="str">
        <f t="shared" si="50"/>
        <v/>
      </c>
      <c r="G306" s="20">
        <f t="shared" si="51"/>
        <v>0</v>
      </c>
      <c r="H306" s="20">
        <f t="shared" si="59"/>
        <v>1</v>
      </c>
      <c r="I306" s="20">
        <f t="shared" si="52"/>
        <v>0</v>
      </c>
      <c r="J306" s="20">
        <f t="shared" si="59"/>
        <v>0</v>
      </c>
      <c r="K306" s="20">
        <f t="shared" si="53"/>
        <v>0</v>
      </c>
      <c r="L306" s="20">
        <f t="shared" si="59"/>
        <v>0</v>
      </c>
      <c r="M306" s="20">
        <f t="shared" si="54"/>
        <v>0</v>
      </c>
      <c r="N306" s="20">
        <f>ABS(G306)</f>
        <v>0</v>
      </c>
      <c r="O306" s="20">
        <f>ABS(I306)</f>
        <v>0</v>
      </c>
      <c r="P306" s="20">
        <f>ABS(K306)</f>
        <v>0</v>
      </c>
      <c r="Q306" s="20">
        <f t="shared" si="49"/>
        <v>0</v>
      </c>
    </row>
    <row r="307" spans="4:17" x14ac:dyDescent="0.35">
      <c r="D307" s="20" t="str">
        <f t="shared" si="56"/>
        <v/>
      </c>
      <c r="E307" s="23" t="str">
        <f t="shared" si="57"/>
        <v/>
      </c>
      <c r="F307" s="20" t="str">
        <f t="shared" si="50"/>
        <v/>
      </c>
      <c r="G307" s="20">
        <f t="shared" si="51"/>
        <v>0</v>
      </c>
      <c r="H307" s="20">
        <f t="shared" si="59"/>
        <v>0</v>
      </c>
      <c r="I307" s="20">
        <f t="shared" si="52"/>
        <v>0</v>
      </c>
      <c r="J307" s="20">
        <f t="shared" si="59"/>
        <v>1</v>
      </c>
      <c r="K307" s="20">
        <f t="shared" si="53"/>
        <v>0</v>
      </c>
      <c r="L307" s="20">
        <f t="shared" si="59"/>
        <v>0</v>
      </c>
      <c r="M307" s="20">
        <f t="shared" si="54"/>
        <v>0</v>
      </c>
      <c r="N307" s="20">
        <f>ABS(G307)</f>
        <v>0</v>
      </c>
      <c r="O307" s="20">
        <f>ABS(I307)</f>
        <v>0</v>
      </c>
      <c r="P307" s="20">
        <f>ABS(K307)</f>
        <v>0</v>
      </c>
      <c r="Q307" s="20">
        <f t="shared" si="49"/>
        <v>0</v>
      </c>
    </row>
    <row r="308" spans="4:17" x14ac:dyDescent="0.35">
      <c r="D308" s="20" t="str">
        <f t="shared" si="56"/>
        <v/>
      </c>
      <c r="E308" s="23" t="str">
        <f t="shared" si="57"/>
        <v/>
      </c>
      <c r="F308" s="20" t="str">
        <f t="shared" si="50"/>
        <v/>
      </c>
      <c r="G308" s="20">
        <f t="shared" si="51"/>
        <v>0</v>
      </c>
      <c r="H308" s="20">
        <f t="shared" si="59"/>
        <v>0</v>
      </c>
      <c r="I308" s="20">
        <f t="shared" si="52"/>
        <v>0</v>
      </c>
      <c r="J308" s="20">
        <f t="shared" si="59"/>
        <v>0</v>
      </c>
      <c r="K308" s="20">
        <f t="shared" si="53"/>
        <v>0</v>
      </c>
      <c r="L308" s="20">
        <f t="shared" si="59"/>
        <v>1</v>
      </c>
      <c r="M308" s="20">
        <f t="shared" si="54"/>
        <v>0</v>
      </c>
      <c r="N308" s="20">
        <f>ABS(G308)</f>
        <v>0</v>
      </c>
      <c r="O308" s="20">
        <f>ABS(I308)</f>
        <v>0</v>
      </c>
      <c r="P308" s="20">
        <f>ABS(K308)</f>
        <v>0</v>
      </c>
      <c r="Q308" s="20">
        <f t="shared" si="49"/>
        <v>0</v>
      </c>
    </row>
    <row r="309" spans="4:17" x14ac:dyDescent="0.35">
      <c r="D309" s="20" t="str">
        <f t="shared" si="56"/>
        <v/>
      </c>
      <c r="E309" s="23" t="str">
        <f t="shared" si="57"/>
        <v/>
      </c>
      <c r="F309" s="20" t="str">
        <f t="shared" si="50"/>
        <v/>
      </c>
      <c r="G309" s="20">
        <f t="shared" si="51"/>
        <v>0</v>
      </c>
      <c r="H309" s="20">
        <f t="shared" si="59"/>
        <v>1</v>
      </c>
      <c r="I309" s="20">
        <f t="shared" si="52"/>
        <v>0</v>
      </c>
      <c r="J309" s="20">
        <f t="shared" si="59"/>
        <v>0</v>
      </c>
      <c r="K309" s="20">
        <f t="shared" si="53"/>
        <v>0</v>
      </c>
      <c r="L309" s="20">
        <f t="shared" si="59"/>
        <v>0</v>
      </c>
      <c r="M309" s="20">
        <f t="shared" si="54"/>
        <v>0</v>
      </c>
      <c r="N309" s="20">
        <f>ABS(G309)</f>
        <v>0</v>
      </c>
      <c r="O309" s="20">
        <f>ABS(I309)</f>
        <v>0</v>
      </c>
      <c r="P309" s="20">
        <f>ABS(K309)</f>
        <v>0</v>
      </c>
      <c r="Q309" s="20">
        <f t="shared" si="49"/>
        <v>0</v>
      </c>
    </row>
    <row r="310" spans="4:17" x14ac:dyDescent="0.35">
      <c r="D310" s="20" t="str">
        <f t="shared" si="56"/>
        <v/>
      </c>
      <c r="E310" s="23" t="str">
        <f t="shared" si="57"/>
        <v/>
      </c>
      <c r="F310" s="20" t="str">
        <f t="shared" si="50"/>
        <v/>
      </c>
      <c r="G310" s="20">
        <f t="shared" si="51"/>
        <v>0</v>
      </c>
      <c r="H310" s="20">
        <f t="shared" si="59"/>
        <v>0</v>
      </c>
      <c r="I310" s="20">
        <f t="shared" si="52"/>
        <v>0</v>
      </c>
      <c r="J310" s="20">
        <f t="shared" si="59"/>
        <v>1</v>
      </c>
      <c r="K310" s="20">
        <f t="shared" si="53"/>
        <v>0</v>
      </c>
      <c r="L310" s="20">
        <f t="shared" si="59"/>
        <v>0</v>
      </c>
      <c r="M310" s="20">
        <f t="shared" si="54"/>
        <v>0</v>
      </c>
      <c r="N310" s="20">
        <f>ABS(G310)</f>
        <v>0</v>
      </c>
      <c r="O310" s="20">
        <f>ABS(I310)</f>
        <v>0</v>
      </c>
      <c r="P310" s="20">
        <f>ABS(K310)</f>
        <v>0</v>
      </c>
      <c r="Q310" s="20">
        <f t="shared" si="49"/>
        <v>0</v>
      </c>
    </row>
    <row r="311" spans="4:17" x14ac:dyDescent="0.35">
      <c r="D311" s="20" t="str">
        <f t="shared" si="56"/>
        <v/>
      </c>
      <c r="E311" s="23" t="str">
        <f t="shared" si="57"/>
        <v/>
      </c>
      <c r="F311" s="20" t="str">
        <f t="shared" si="50"/>
        <v/>
      </c>
      <c r="G311" s="20">
        <f t="shared" si="51"/>
        <v>0</v>
      </c>
      <c r="H311" s="20">
        <f t="shared" ref="H311:L326" si="60">IF(H310+H309=0,1,0)</f>
        <v>0</v>
      </c>
      <c r="I311" s="20">
        <f t="shared" si="52"/>
        <v>0</v>
      </c>
      <c r="J311" s="20">
        <f t="shared" si="60"/>
        <v>0</v>
      </c>
      <c r="K311" s="20">
        <f t="shared" si="53"/>
        <v>0</v>
      </c>
      <c r="L311" s="20">
        <f t="shared" si="60"/>
        <v>1</v>
      </c>
      <c r="M311" s="20">
        <f t="shared" si="54"/>
        <v>0</v>
      </c>
      <c r="N311" s="20">
        <f>ABS(G311)</f>
        <v>0</v>
      </c>
      <c r="O311" s="20">
        <f>ABS(I311)</f>
        <v>0</v>
      </c>
      <c r="P311" s="20">
        <f>ABS(K311)</f>
        <v>0</v>
      </c>
      <c r="Q311" s="20">
        <f t="shared" si="49"/>
        <v>0</v>
      </c>
    </row>
    <row r="312" spans="4:17" x14ac:dyDescent="0.35">
      <c r="D312" s="20" t="str">
        <f t="shared" si="56"/>
        <v/>
      </c>
      <c r="E312" s="23" t="str">
        <f t="shared" si="57"/>
        <v/>
      </c>
      <c r="F312" s="20" t="str">
        <f t="shared" si="50"/>
        <v/>
      </c>
      <c r="G312" s="20">
        <f t="shared" si="51"/>
        <v>0</v>
      </c>
      <c r="H312" s="20">
        <f t="shared" si="60"/>
        <v>1</v>
      </c>
      <c r="I312" s="20">
        <f t="shared" si="52"/>
        <v>0</v>
      </c>
      <c r="J312" s="20">
        <f t="shared" si="60"/>
        <v>0</v>
      </c>
      <c r="K312" s="20">
        <f t="shared" si="53"/>
        <v>0</v>
      </c>
      <c r="L312" s="20">
        <f t="shared" si="60"/>
        <v>0</v>
      </c>
      <c r="M312" s="20">
        <f t="shared" si="54"/>
        <v>0</v>
      </c>
      <c r="N312" s="20">
        <f>ABS(G312)</f>
        <v>0</v>
      </c>
      <c r="O312" s="20">
        <f>ABS(I312)</f>
        <v>0</v>
      </c>
      <c r="P312" s="20">
        <f>ABS(K312)</f>
        <v>0</v>
      </c>
      <c r="Q312" s="20">
        <f t="shared" si="49"/>
        <v>0</v>
      </c>
    </row>
    <row r="313" spans="4:17" x14ac:dyDescent="0.35">
      <c r="D313" s="20" t="str">
        <f t="shared" si="56"/>
        <v/>
      </c>
      <c r="E313" s="23" t="str">
        <f t="shared" si="57"/>
        <v/>
      </c>
      <c r="F313" s="20" t="str">
        <f t="shared" si="50"/>
        <v/>
      </c>
      <c r="G313" s="20">
        <f t="shared" si="51"/>
        <v>0</v>
      </c>
      <c r="H313" s="20">
        <f t="shared" si="60"/>
        <v>0</v>
      </c>
      <c r="I313" s="20">
        <f t="shared" si="52"/>
        <v>0</v>
      </c>
      <c r="J313" s="20">
        <f t="shared" si="60"/>
        <v>1</v>
      </c>
      <c r="K313" s="20">
        <f t="shared" si="53"/>
        <v>0</v>
      </c>
      <c r="L313" s="20">
        <f t="shared" si="60"/>
        <v>0</v>
      </c>
      <c r="M313" s="20">
        <f t="shared" si="54"/>
        <v>0</v>
      </c>
      <c r="N313" s="20">
        <f>ABS(G313)</f>
        <v>0</v>
      </c>
      <c r="O313" s="20">
        <f>ABS(I313)</f>
        <v>0</v>
      </c>
      <c r="P313" s="20">
        <f>ABS(K313)</f>
        <v>0</v>
      </c>
      <c r="Q313" s="20">
        <f t="shared" si="49"/>
        <v>0</v>
      </c>
    </row>
    <row r="314" spans="4:17" x14ac:dyDescent="0.35">
      <c r="D314" s="20" t="str">
        <f t="shared" si="56"/>
        <v/>
      </c>
      <c r="E314" s="23" t="str">
        <f t="shared" si="57"/>
        <v/>
      </c>
      <c r="F314" s="20" t="str">
        <f t="shared" si="50"/>
        <v/>
      </c>
      <c r="G314" s="20">
        <f t="shared" si="51"/>
        <v>0</v>
      </c>
      <c r="H314" s="20">
        <f t="shared" si="60"/>
        <v>0</v>
      </c>
      <c r="I314" s="20">
        <f t="shared" si="52"/>
        <v>0</v>
      </c>
      <c r="J314" s="20">
        <f t="shared" si="60"/>
        <v>0</v>
      </c>
      <c r="K314" s="20">
        <f t="shared" si="53"/>
        <v>0</v>
      </c>
      <c r="L314" s="20">
        <f t="shared" si="60"/>
        <v>1</v>
      </c>
      <c r="M314" s="20">
        <f t="shared" si="54"/>
        <v>0</v>
      </c>
      <c r="N314" s="20">
        <f>ABS(G314)</f>
        <v>0</v>
      </c>
      <c r="O314" s="20">
        <f>ABS(I314)</f>
        <v>0</v>
      </c>
      <c r="P314" s="20">
        <f>ABS(K314)</f>
        <v>0</v>
      </c>
      <c r="Q314" s="20">
        <f t="shared" si="49"/>
        <v>0</v>
      </c>
    </row>
    <row r="315" spans="4:17" x14ac:dyDescent="0.35">
      <c r="D315" s="20" t="str">
        <f t="shared" si="56"/>
        <v/>
      </c>
      <c r="E315" s="23" t="str">
        <f t="shared" si="57"/>
        <v/>
      </c>
      <c r="F315" s="20" t="str">
        <f t="shared" si="50"/>
        <v/>
      </c>
      <c r="G315" s="20">
        <f t="shared" si="51"/>
        <v>0</v>
      </c>
      <c r="H315" s="20">
        <f t="shared" si="60"/>
        <v>1</v>
      </c>
      <c r="I315" s="20">
        <f t="shared" si="52"/>
        <v>0</v>
      </c>
      <c r="J315" s="20">
        <f t="shared" si="60"/>
        <v>0</v>
      </c>
      <c r="K315" s="20">
        <f t="shared" si="53"/>
        <v>0</v>
      </c>
      <c r="L315" s="20">
        <f t="shared" si="60"/>
        <v>0</v>
      </c>
      <c r="M315" s="20">
        <f t="shared" si="54"/>
        <v>0</v>
      </c>
      <c r="N315" s="20">
        <f>ABS(G315)</f>
        <v>0</v>
      </c>
      <c r="O315" s="20">
        <f>ABS(I315)</f>
        <v>0</v>
      </c>
      <c r="P315" s="20">
        <f>ABS(K315)</f>
        <v>0</v>
      </c>
      <c r="Q315" s="20">
        <f t="shared" si="49"/>
        <v>0</v>
      </c>
    </row>
    <row r="316" spans="4:17" x14ac:dyDescent="0.35">
      <c r="D316" s="20" t="str">
        <f t="shared" si="56"/>
        <v/>
      </c>
      <c r="E316" s="23" t="str">
        <f t="shared" si="57"/>
        <v/>
      </c>
      <c r="F316" s="20" t="str">
        <f t="shared" si="50"/>
        <v/>
      </c>
      <c r="G316" s="20">
        <f t="shared" si="51"/>
        <v>0</v>
      </c>
      <c r="H316" s="20">
        <f t="shared" si="60"/>
        <v>0</v>
      </c>
      <c r="I316" s="20">
        <f t="shared" si="52"/>
        <v>0</v>
      </c>
      <c r="J316" s="20">
        <f t="shared" si="60"/>
        <v>1</v>
      </c>
      <c r="K316" s="20">
        <f t="shared" si="53"/>
        <v>0</v>
      </c>
      <c r="L316" s="20">
        <f t="shared" si="60"/>
        <v>0</v>
      </c>
      <c r="M316" s="20">
        <f t="shared" si="54"/>
        <v>0</v>
      </c>
      <c r="N316" s="20">
        <f>ABS(G316)</f>
        <v>0</v>
      </c>
      <c r="O316" s="20">
        <f>ABS(I316)</f>
        <v>0</v>
      </c>
      <c r="P316" s="20">
        <f>ABS(K316)</f>
        <v>0</v>
      </c>
      <c r="Q316" s="20">
        <f t="shared" si="49"/>
        <v>0</v>
      </c>
    </row>
    <row r="317" spans="4:17" x14ac:dyDescent="0.35">
      <c r="D317" s="20" t="str">
        <f t="shared" si="56"/>
        <v/>
      </c>
      <c r="E317" s="23" t="str">
        <f t="shared" si="57"/>
        <v/>
      </c>
      <c r="F317" s="20" t="str">
        <f t="shared" si="50"/>
        <v/>
      </c>
      <c r="G317" s="20">
        <f t="shared" si="51"/>
        <v>0</v>
      </c>
      <c r="H317" s="20">
        <f t="shared" si="60"/>
        <v>0</v>
      </c>
      <c r="I317" s="20">
        <f t="shared" si="52"/>
        <v>0</v>
      </c>
      <c r="J317" s="20">
        <f t="shared" si="60"/>
        <v>0</v>
      </c>
      <c r="K317" s="20">
        <f t="shared" si="53"/>
        <v>0</v>
      </c>
      <c r="L317" s="20">
        <f t="shared" si="60"/>
        <v>1</v>
      </c>
      <c r="M317" s="20">
        <f t="shared" si="54"/>
        <v>0</v>
      </c>
      <c r="N317" s="20">
        <f>ABS(G317)</f>
        <v>0</v>
      </c>
      <c r="O317" s="20">
        <f>ABS(I317)</f>
        <v>0</v>
      </c>
      <c r="P317" s="20">
        <f>ABS(K317)</f>
        <v>0</v>
      </c>
      <c r="Q317" s="20">
        <f t="shared" si="49"/>
        <v>0</v>
      </c>
    </row>
    <row r="318" spans="4:17" x14ac:dyDescent="0.35">
      <c r="D318" s="20" t="str">
        <f t="shared" si="56"/>
        <v/>
      </c>
      <c r="E318" s="23" t="str">
        <f t="shared" si="57"/>
        <v/>
      </c>
      <c r="F318" s="20" t="str">
        <f t="shared" si="50"/>
        <v/>
      </c>
      <c r="G318" s="20">
        <f t="shared" si="51"/>
        <v>0</v>
      </c>
      <c r="H318" s="20">
        <f t="shared" si="60"/>
        <v>1</v>
      </c>
      <c r="I318" s="20">
        <f t="shared" si="52"/>
        <v>0</v>
      </c>
      <c r="J318" s="20">
        <f t="shared" si="60"/>
        <v>0</v>
      </c>
      <c r="K318" s="20">
        <f t="shared" si="53"/>
        <v>0</v>
      </c>
      <c r="L318" s="20">
        <f t="shared" si="60"/>
        <v>0</v>
      </c>
      <c r="M318" s="20">
        <f t="shared" si="54"/>
        <v>0</v>
      </c>
      <c r="N318" s="20">
        <f>ABS(G318)</f>
        <v>0</v>
      </c>
      <c r="O318" s="20">
        <f>ABS(I318)</f>
        <v>0</v>
      </c>
      <c r="P318" s="20">
        <f>ABS(K318)</f>
        <v>0</v>
      </c>
      <c r="Q318" s="20">
        <f t="shared" si="49"/>
        <v>0</v>
      </c>
    </row>
    <row r="319" spans="4:17" x14ac:dyDescent="0.35">
      <c r="D319" s="20" t="str">
        <f t="shared" si="56"/>
        <v/>
      </c>
      <c r="E319" s="23" t="str">
        <f t="shared" si="57"/>
        <v/>
      </c>
      <c r="F319" s="20" t="str">
        <f t="shared" si="50"/>
        <v/>
      </c>
      <c r="G319" s="20">
        <f t="shared" si="51"/>
        <v>0</v>
      </c>
      <c r="H319" s="20">
        <f t="shared" si="60"/>
        <v>0</v>
      </c>
      <c r="I319" s="20">
        <f t="shared" si="52"/>
        <v>0</v>
      </c>
      <c r="J319" s="20">
        <f t="shared" si="60"/>
        <v>1</v>
      </c>
      <c r="K319" s="20">
        <f t="shared" si="53"/>
        <v>0</v>
      </c>
      <c r="L319" s="20">
        <f t="shared" si="60"/>
        <v>0</v>
      </c>
      <c r="M319" s="20">
        <f t="shared" si="54"/>
        <v>0</v>
      </c>
      <c r="N319" s="20">
        <f>ABS(G319)</f>
        <v>0</v>
      </c>
      <c r="O319" s="20">
        <f>ABS(I319)</f>
        <v>0</v>
      </c>
      <c r="P319" s="20">
        <f>ABS(K319)</f>
        <v>0</v>
      </c>
      <c r="Q319" s="20">
        <f t="shared" si="49"/>
        <v>0</v>
      </c>
    </row>
    <row r="320" spans="4:17" x14ac:dyDescent="0.35">
      <c r="D320" s="20" t="str">
        <f t="shared" si="56"/>
        <v/>
      </c>
      <c r="E320" s="23" t="str">
        <f t="shared" si="57"/>
        <v/>
      </c>
      <c r="F320" s="20" t="str">
        <f t="shared" si="50"/>
        <v/>
      </c>
      <c r="G320" s="20">
        <f t="shared" si="51"/>
        <v>0</v>
      </c>
      <c r="H320" s="20">
        <f t="shared" si="60"/>
        <v>0</v>
      </c>
      <c r="I320" s="20">
        <f t="shared" si="52"/>
        <v>0</v>
      </c>
      <c r="J320" s="20">
        <f t="shared" si="60"/>
        <v>0</v>
      </c>
      <c r="K320" s="20">
        <f t="shared" si="53"/>
        <v>0</v>
      </c>
      <c r="L320" s="20">
        <f t="shared" si="60"/>
        <v>1</v>
      </c>
      <c r="M320" s="20">
        <f t="shared" si="54"/>
        <v>0</v>
      </c>
      <c r="N320" s="20">
        <f>ABS(G320)</f>
        <v>0</v>
      </c>
      <c r="O320" s="20">
        <f>ABS(I320)</f>
        <v>0</v>
      </c>
      <c r="P320" s="20">
        <f>ABS(K320)</f>
        <v>0</v>
      </c>
      <c r="Q320" s="20">
        <f t="shared" si="49"/>
        <v>0</v>
      </c>
    </row>
    <row r="321" spans="4:17" x14ac:dyDescent="0.35">
      <c r="D321" s="20" t="str">
        <f t="shared" si="56"/>
        <v/>
      </c>
      <c r="E321" s="23" t="str">
        <f t="shared" si="57"/>
        <v/>
      </c>
      <c r="F321" s="20" t="str">
        <f t="shared" si="50"/>
        <v/>
      </c>
      <c r="G321" s="20">
        <f t="shared" si="51"/>
        <v>0</v>
      </c>
      <c r="H321" s="20">
        <f t="shared" si="60"/>
        <v>1</v>
      </c>
      <c r="I321" s="20">
        <f t="shared" si="52"/>
        <v>0</v>
      </c>
      <c r="J321" s="20">
        <f t="shared" si="60"/>
        <v>0</v>
      </c>
      <c r="K321" s="20">
        <f t="shared" si="53"/>
        <v>0</v>
      </c>
      <c r="L321" s="20">
        <f t="shared" si="60"/>
        <v>0</v>
      </c>
      <c r="M321" s="20">
        <f t="shared" si="54"/>
        <v>0</v>
      </c>
      <c r="N321" s="20">
        <f>ABS(G321)</f>
        <v>0</v>
      </c>
      <c r="O321" s="20">
        <f>ABS(I321)</f>
        <v>0</v>
      </c>
      <c r="P321" s="20">
        <f>ABS(K321)</f>
        <v>0</v>
      </c>
      <c r="Q321" s="20">
        <f t="shared" si="49"/>
        <v>0</v>
      </c>
    </row>
    <row r="322" spans="4:17" x14ac:dyDescent="0.35">
      <c r="D322" s="20" t="str">
        <f t="shared" si="56"/>
        <v/>
      </c>
      <c r="E322" s="23" t="str">
        <f t="shared" si="57"/>
        <v/>
      </c>
      <c r="F322" s="20" t="str">
        <f t="shared" si="50"/>
        <v/>
      </c>
      <c r="G322" s="20">
        <f t="shared" si="51"/>
        <v>0</v>
      </c>
      <c r="H322" s="20">
        <f t="shared" si="60"/>
        <v>0</v>
      </c>
      <c r="I322" s="20">
        <f t="shared" si="52"/>
        <v>0</v>
      </c>
      <c r="J322" s="20">
        <f t="shared" si="60"/>
        <v>1</v>
      </c>
      <c r="K322" s="20">
        <f t="shared" si="53"/>
        <v>0</v>
      </c>
      <c r="L322" s="20">
        <f t="shared" si="60"/>
        <v>0</v>
      </c>
      <c r="M322" s="20">
        <f t="shared" si="54"/>
        <v>0</v>
      </c>
      <c r="N322" s="20">
        <f>ABS(G322)</f>
        <v>0</v>
      </c>
      <c r="O322" s="20">
        <f>ABS(I322)</f>
        <v>0</v>
      </c>
      <c r="P322" s="20">
        <f>ABS(K322)</f>
        <v>0</v>
      </c>
      <c r="Q322" s="20">
        <f t="shared" ref="Q322:Q385" si="61">ABS(M322)</f>
        <v>0</v>
      </c>
    </row>
    <row r="323" spans="4:17" x14ac:dyDescent="0.35">
      <c r="D323" s="20" t="str">
        <f t="shared" si="56"/>
        <v/>
      </c>
      <c r="E323" s="23" t="str">
        <f t="shared" si="57"/>
        <v/>
      </c>
      <c r="F323" s="20" t="str">
        <f t="shared" si="50"/>
        <v/>
      </c>
      <c r="G323" s="20">
        <f t="shared" si="51"/>
        <v>0</v>
      </c>
      <c r="H323" s="20">
        <f t="shared" si="60"/>
        <v>0</v>
      </c>
      <c r="I323" s="20">
        <f t="shared" si="52"/>
        <v>0</v>
      </c>
      <c r="J323" s="20">
        <f t="shared" si="60"/>
        <v>0</v>
      </c>
      <c r="K323" s="20">
        <f t="shared" si="53"/>
        <v>0</v>
      </c>
      <c r="L323" s="20">
        <f t="shared" si="60"/>
        <v>1</v>
      </c>
      <c r="M323" s="20">
        <f t="shared" si="54"/>
        <v>0</v>
      </c>
      <c r="N323" s="20">
        <f>ABS(G323)</f>
        <v>0</v>
      </c>
      <c r="O323" s="20">
        <f>ABS(I323)</f>
        <v>0</v>
      </c>
      <c r="P323" s="20">
        <f>ABS(K323)</f>
        <v>0</v>
      </c>
      <c r="Q323" s="20">
        <f t="shared" si="61"/>
        <v>0</v>
      </c>
    </row>
    <row r="324" spans="4:17" x14ac:dyDescent="0.35">
      <c r="D324" s="20" t="str">
        <f t="shared" si="56"/>
        <v/>
      </c>
      <c r="E324" s="23" t="str">
        <f t="shared" si="57"/>
        <v/>
      </c>
      <c r="F324" s="20" t="str">
        <f t="shared" ref="F324:F387" si="62">IF(D323&lt;=$B$5,((3*E324^2)-(4*E324)*(SIN(1.4*E324^3)^2))/((0.4*E324^2+1)^(1/4)),"")</f>
        <v/>
      </c>
      <c r="G324" s="20">
        <f t="shared" ref="G324:G387" si="63">IF(D324=$B$5+1,F324,0)</f>
        <v>0</v>
      </c>
      <c r="H324" s="20">
        <f t="shared" si="60"/>
        <v>1</v>
      </c>
      <c r="I324" s="20">
        <f t="shared" ref="I324:I387" si="64">IF(D323&lt;$B$5,F324*H324,0)</f>
        <v>0</v>
      </c>
      <c r="J324" s="20">
        <f t="shared" si="60"/>
        <v>0</v>
      </c>
      <c r="K324" s="20">
        <f t="shared" ref="K324:K387" si="65">IF(D323&lt;$B$5,F324*J324,0)</f>
        <v>0</v>
      </c>
      <c r="L324" s="20">
        <f t="shared" si="60"/>
        <v>0</v>
      </c>
      <c r="M324" s="20">
        <f t="shared" ref="M324:M387" si="66">IF(D323&lt;$B$5,F324*L324,0)</f>
        <v>0</v>
      </c>
      <c r="N324" s="20">
        <f>ABS(G324)</f>
        <v>0</v>
      </c>
      <c r="O324" s="20">
        <f>ABS(I324)</f>
        <v>0</v>
      </c>
      <c r="P324" s="20">
        <f>ABS(K324)</f>
        <v>0</v>
      </c>
      <c r="Q324" s="20">
        <f t="shared" si="61"/>
        <v>0</v>
      </c>
    </row>
    <row r="325" spans="4:17" x14ac:dyDescent="0.35">
      <c r="D325" s="20" t="str">
        <f t="shared" si="56"/>
        <v/>
      </c>
      <c r="E325" s="23" t="str">
        <f t="shared" si="57"/>
        <v/>
      </c>
      <c r="F325" s="20" t="str">
        <f t="shared" si="62"/>
        <v/>
      </c>
      <c r="G325" s="20">
        <f t="shared" si="63"/>
        <v>0</v>
      </c>
      <c r="H325" s="20">
        <f t="shared" si="60"/>
        <v>0</v>
      </c>
      <c r="I325" s="20">
        <f t="shared" si="64"/>
        <v>0</v>
      </c>
      <c r="J325" s="20">
        <f t="shared" si="60"/>
        <v>1</v>
      </c>
      <c r="K325" s="20">
        <f t="shared" si="65"/>
        <v>0</v>
      </c>
      <c r="L325" s="20">
        <f t="shared" si="60"/>
        <v>0</v>
      </c>
      <c r="M325" s="20">
        <f t="shared" si="66"/>
        <v>0</v>
      </c>
      <c r="N325" s="20">
        <f>ABS(G325)</f>
        <v>0</v>
      </c>
      <c r="O325" s="20">
        <f>ABS(I325)</f>
        <v>0</v>
      </c>
      <c r="P325" s="20">
        <f>ABS(K325)</f>
        <v>0</v>
      </c>
      <c r="Q325" s="20">
        <f t="shared" si="61"/>
        <v>0</v>
      </c>
    </row>
    <row r="326" spans="4:17" x14ac:dyDescent="0.35">
      <c r="D326" s="20" t="str">
        <f t="shared" si="56"/>
        <v/>
      </c>
      <c r="E326" s="23" t="str">
        <f t="shared" si="57"/>
        <v/>
      </c>
      <c r="F326" s="20" t="str">
        <f t="shared" si="62"/>
        <v/>
      </c>
      <c r="G326" s="20">
        <f t="shared" si="63"/>
        <v>0</v>
      </c>
      <c r="H326" s="20">
        <f t="shared" si="60"/>
        <v>0</v>
      </c>
      <c r="I326" s="20">
        <f t="shared" si="64"/>
        <v>0</v>
      </c>
      <c r="J326" s="20">
        <f t="shared" si="60"/>
        <v>0</v>
      </c>
      <c r="K326" s="20">
        <f t="shared" si="65"/>
        <v>0</v>
      </c>
      <c r="L326" s="20">
        <f t="shared" si="60"/>
        <v>1</v>
      </c>
      <c r="M326" s="20">
        <f t="shared" si="66"/>
        <v>0</v>
      </c>
      <c r="N326" s="20">
        <f>ABS(G326)</f>
        <v>0</v>
      </c>
      <c r="O326" s="20">
        <f>ABS(I326)</f>
        <v>0</v>
      </c>
      <c r="P326" s="20">
        <f>ABS(K326)</f>
        <v>0</v>
      </c>
      <c r="Q326" s="20">
        <f t="shared" si="61"/>
        <v>0</v>
      </c>
    </row>
    <row r="327" spans="4:17" x14ac:dyDescent="0.35">
      <c r="D327" s="20" t="str">
        <f t="shared" si="56"/>
        <v/>
      </c>
      <c r="E327" s="23" t="str">
        <f t="shared" si="57"/>
        <v/>
      </c>
      <c r="F327" s="20" t="str">
        <f t="shared" si="62"/>
        <v/>
      </c>
      <c r="G327" s="20">
        <f t="shared" si="63"/>
        <v>0</v>
      </c>
      <c r="H327" s="20">
        <f t="shared" ref="H327:L342" si="67">IF(H326+H325=0,1,0)</f>
        <v>1</v>
      </c>
      <c r="I327" s="20">
        <f t="shared" si="64"/>
        <v>0</v>
      </c>
      <c r="J327" s="20">
        <f t="shared" si="67"/>
        <v>0</v>
      </c>
      <c r="K327" s="20">
        <f t="shared" si="65"/>
        <v>0</v>
      </c>
      <c r="L327" s="20">
        <f t="shared" si="67"/>
        <v>0</v>
      </c>
      <c r="M327" s="20">
        <f t="shared" si="66"/>
        <v>0</v>
      </c>
      <c r="N327" s="20">
        <f>ABS(G327)</f>
        <v>0</v>
      </c>
      <c r="O327" s="20">
        <f>ABS(I327)</f>
        <v>0</v>
      </c>
      <c r="P327" s="20">
        <f>ABS(K327)</f>
        <v>0</v>
      </c>
      <c r="Q327" s="20">
        <f t="shared" si="61"/>
        <v>0</v>
      </c>
    </row>
    <row r="328" spans="4:17" x14ac:dyDescent="0.35">
      <c r="D328" s="20" t="str">
        <f t="shared" si="56"/>
        <v/>
      </c>
      <c r="E328" s="23" t="str">
        <f t="shared" si="57"/>
        <v/>
      </c>
      <c r="F328" s="20" t="str">
        <f t="shared" si="62"/>
        <v/>
      </c>
      <c r="G328" s="20">
        <f t="shared" si="63"/>
        <v>0</v>
      </c>
      <c r="H328" s="20">
        <f t="shared" si="67"/>
        <v>0</v>
      </c>
      <c r="I328" s="20">
        <f t="shared" si="64"/>
        <v>0</v>
      </c>
      <c r="J328" s="20">
        <f t="shared" si="67"/>
        <v>1</v>
      </c>
      <c r="K328" s="20">
        <f t="shared" si="65"/>
        <v>0</v>
      </c>
      <c r="L328" s="20">
        <f t="shared" si="67"/>
        <v>0</v>
      </c>
      <c r="M328" s="20">
        <f t="shared" si="66"/>
        <v>0</v>
      </c>
      <c r="N328" s="20">
        <f>ABS(G328)</f>
        <v>0</v>
      </c>
      <c r="O328" s="20">
        <f>ABS(I328)</f>
        <v>0</v>
      </c>
      <c r="P328" s="20">
        <f>ABS(K328)</f>
        <v>0</v>
      </c>
      <c r="Q328" s="20">
        <f t="shared" si="61"/>
        <v>0</v>
      </c>
    </row>
    <row r="329" spans="4:17" x14ac:dyDescent="0.35">
      <c r="D329" s="20" t="str">
        <f t="shared" si="56"/>
        <v/>
      </c>
      <c r="E329" s="23" t="str">
        <f t="shared" si="57"/>
        <v/>
      </c>
      <c r="F329" s="20" t="str">
        <f t="shared" si="62"/>
        <v/>
      </c>
      <c r="G329" s="20">
        <f t="shared" si="63"/>
        <v>0</v>
      </c>
      <c r="H329" s="20">
        <f t="shared" si="67"/>
        <v>0</v>
      </c>
      <c r="I329" s="20">
        <f t="shared" si="64"/>
        <v>0</v>
      </c>
      <c r="J329" s="20">
        <f t="shared" si="67"/>
        <v>0</v>
      </c>
      <c r="K329" s="20">
        <f t="shared" si="65"/>
        <v>0</v>
      </c>
      <c r="L329" s="20">
        <f t="shared" si="67"/>
        <v>1</v>
      </c>
      <c r="M329" s="20">
        <f t="shared" si="66"/>
        <v>0</v>
      </c>
      <c r="N329" s="20">
        <f>ABS(G329)</f>
        <v>0</v>
      </c>
      <c r="O329" s="20">
        <f>ABS(I329)</f>
        <v>0</v>
      </c>
      <c r="P329" s="20">
        <f>ABS(K329)</f>
        <v>0</v>
      </c>
      <c r="Q329" s="20">
        <f t="shared" si="61"/>
        <v>0</v>
      </c>
    </row>
    <row r="330" spans="4:17" x14ac:dyDescent="0.35">
      <c r="D330" s="20" t="str">
        <f t="shared" si="56"/>
        <v/>
      </c>
      <c r="E330" s="23" t="str">
        <f t="shared" si="57"/>
        <v/>
      </c>
      <c r="F330" s="20" t="str">
        <f t="shared" si="62"/>
        <v/>
      </c>
      <c r="G330" s="20">
        <f t="shared" si="63"/>
        <v>0</v>
      </c>
      <c r="H330" s="20">
        <f t="shared" si="67"/>
        <v>1</v>
      </c>
      <c r="I330" s="20">
        <f t="shared" si="64"/>
        <v>0</v>
      </c>
      <c r="J330" s="20">
        <f t="shared" si="67"/>
        <v>0</v>
      </c>
      <c r="K330" s="20">
        <f t="shared" si="65"/>
        <v>0</v>
      </c>
      <c r="L330" s="20">
        <f t="shared" si="67"/>
        <v>0</v>
      </c>
      <c r="M330" s="20">
        <f t="shared" si="66"/>
        <v>0</v>
      </c>
      <c r="N330" s="20">
        <f>ABS(G330)</f>
        <v>0</v>
      </c>
      <c r="O330" s="20">
        <f>ABS(I330)</f>
        <v>0</v>
      </c>
      <c r="P330" s="20">
        <f>ABS(K330)</f>
        <v>0</v>
      </c>
      <c r="Q330" s="20">
        <f t="shared" si="61"/>
        <v>0</v>
      </c>
    </row>
    <row r="331" spans="4:17" x14ac:dyDescent="0.35">
      <c r="D331" s="20" t="str">
        <f t="shared" si="56"/>
        <v/>
      </c>
      <c r="E331" s="23" t="str">
        <f t="shared" si="57"/>
        <v/>
      </c>
      <c r="F331" s="20" t="str">
        <f t="shared" si="62"/>
        <v/>
      </c>
      <c r="G331" s="20">
        <f t="shared" si="63"/>
        <v>0</v>
      </c>
      <c r="H331" s="20">
        <f t="shared" si="67"/>
        <v>0</v>
      </c>
      <c r="I331" s="20">
        <f t="shared" si="64"/>
        <v>0</v>
      </c>
      <c r="J331" s="20">
        <f t="shared" si="67"/>
        <v>1</v>
      </c>
      <c r="K331" s="20">
        <f t="shared" si="65"/>
        <v>0</v>
      </c>
      <c r="L331" s="20">
        <f t="shared" si="67"/>
        <v>0</v>
      </c>
      <c r="M331" s="20">
        <f t="shared" si="66"/>
        <v>0</v>
      </c>
      <c r="N331" s="20">
        <f>ABS(G331)</f>
        <v>0</v>
      </c>
      <c r="O331" s="20">
        <f>ABS(I331)</f>
        <v>0</v>
      </c>
      <c r="P331" s="20">
        <f>ABS(K331)</f>
        <v>0</v>
      </c>
      <c r="Q331" s="20">
        <f t="shared" si="61"/>
        <v>0</v>
      </c>
    </row>
    <row r="332" spans="4:17" x14ac:dyDescent="0.35">
      <c r="D332" s="20" t="str">
        <f t="shared" si="56"/>
        <v/>
      </c>
      <c r="E332" s="23" t="str">
        <f t="shared" si="57"/>
        <v/>
      </c>
      <c r="F332" s="20" t="str">
        <f t="shared" si="62"/>
        <v/>
      </c>
      <c r="G332" s="20">
        <f t="shared" si="63"/>
        <v>0</v>
      </c>
      <c r="H332" s="20">
        <f t="shared" si="67"/>
        <v>0</v>
      </c>
      <c r="I332" s="20">
        <f t="shared" si="64"/>
        <v>0</v>
      </c>
      <c r="J332" s="20">
        <f t="shared" si="67"/>
        <v>0</v>
      </c>
      <c r="K332" s="20">
        <f t="shared" si="65"/>
        <v>0</v>
      </c>
      <c r="L332" s="20">
        <f t="shared" si="67"/>
        <v>1</v>
      </c>
      <c r="M332" s="20">
        <f t="shared" si="66"/>
        <v>0</v>
      </c>
      <c r="N332" s="20">
        <f>ABS(G332)</f>
        <v>0</v>
      </c>
      <c r="O332" s="20">
        <f>ABS(I332)</f>
        <v>0</v>
      </c>
      <c r="P332" s="20">
        <f>ABS(K332)</f>
        <v>0</v>
      </c>
      <c r="Q332" s="20">
        <f t="shared" si="61"/>
        <v>0</v>
      </c>
    </row>
    <row r="333" spans="4:17" x14ac:dyDescent="0.35">
      <c r="D333" s="20" t="str">
        <f t="shared" si="56"/>
        <v/>
      </c>
      <c r="E333" s="23" t="str">
        <f t="shared" si="57"/>
        <v/>
      </c>
      <c r="F333" s="20" t="str">
        <f t="shared" si="62"/>
        <v/>
      </c>
      <c r="G333" s="20">
        <f t="shared" si="63"/>
        <v>0</v>
      </c>
      <c r="H333" s="20">
        <f t="shared" si="67"/>
        <v>1</v>
      </c>
      <c r="I333" s="20">
        <f t="shared" si="64"/>
        <v>0</v>
      </c>
      <c r="J333" s="20">
        <f t="shared" si="67"/>
        <v>0</v>
      </c>
      <c r="K333" s="20">
        <f t="shared" si="65"/>
        <v>0</v>
      </c>
      <c r="L333" s="20">
        <f t="shared" si="67"/>
        <v>0</v>
      </c>
      <c r="M333" s="20">
        <f t="shared" si="66"/>
        <v>0</v>
      </c>
      <c r="N333" s="20">
        <f>ABS(G333)</f>
        <v>0</v>
      </c>
      <c r="O333" s="20">
        <f>ABS(I333)</f>
        <v>0</v>
      </c>
      <c r="P333" s="20">
        <f>ABS(K333)</f>
        <v>0</v>
      </c>
      <c r="Q333" s="20">
        <f t="shared" si="61"/>
        <v>0</v>
      </c>
    </row>
    <row r="334" spans="4:17" x14ac:dyDescent="0.35">
      <c r="D334" s="20" t="str">
        <f t="shared" si="56"/>
        <v/>
      </c>
      <c r="E334" s="23" t="str">
        <f t="shared" si="57"/>
        <v/>
      </c>
      <c r="F334" s="20" t="str">
        <f t="shared" si="62"/>
        <v/>
      </c>
      <c r="G334" s="20">
        <f t="shared" si="63"/>
        <v>0</v>
      </c>
      <c r="H334" s="20">
        <f t="shared" si="67"/>
        <v>0</v>
      </c>
      <c r="I334" s="20">
        <f t="shared" si="64"/>
        <v>0</v>
      </c>
      <c r="J334" s="20">
        <f t="shared" si="67"/>
        <v>1</v>
      </c>
      <c r="K334" s="20">
        <f t="shared" si="65"/>
        <v>0</v>
      </c>
      <c r="L334" s="20">
        <f t="shared" si="67"/>
        <v>0</v>
      </c>
      <c r="M334" s="20">
        <f t="shared" si="66"/>
        <v>0</v>
      </c>
      <c r="N334" s="20">
        <f>ABS(G334)</f>
        <v>0</v>
      </c>
      <c r="O334" s="20">
        <f>ABS(I334)</f>
        <v>0</v>
      </c>
      <c r="P334" s="20">
        <f>ABS(K334)</f>
        <v>0</v>
      </c>
      <c r="Q334" s="20">
        <f t="shared" si="61"/>
        <v>0</v>
      </c>
    </row>
    <row r="335" spans="4:17" x14ac:dyDescent="0.35">
      <c r="D335" s="20" t="str">
        <f t="shared" si="56"/>
        <v/>
      </c>
      <c r="E335" s="23" t="str">
        <f t="shared" si="57"/>
        <v/>
      </c>
      <c r="F335" s="20" t="str">
        <f t="shared" si="62"/>
        <v/>
      </c>
      <c r="G335" s="20">
        <f t="shared" si="63"/>
        <v>0</v>
      </c>
      <c r="H335" s="20">
        <f t="shared" si="67"/>
        <v>0</v>
      </c>
      <c r="I335" s="20">
        <f t="shared" si="64"/>
        <v>0</v>
      </c>
      <c r="J335" s="20">
        <f t="shared" si="67"/>
        <v>0</v>
      </c>
      <c r="K335" s="20">
        <f t="shared" si="65"/>
        <v>0</v>
      </c>
      <c r="L335" s="20">
        <f t="shared" si="67"/>
        <v>1</v>
      </c>
      <c r="M335" s="20">
        <f t="shared" si="66"/>
        <v>0</v>
      </c>
      <c r="N335" s="20">
        <f>ABS(G335)</f>
        <v>0</v>
      </c>
      <c r="O335" s="20">
        <f>ABS(I335)</f>
        <v>0</v>
      </c>
      <c r="P335" s="20">
        <f>ABS(K335)</f>
        <v>0</v>
      </c>
      <c r="Q335" s="20">
        <f t="shared" si="61"/>
        <v>0</v>
      </c>
    </row>
    <row r="336" spans="4:17" x14ac:dyDescent="0.35">
      <c r="D336" s="20" t="str">
        <f t="shared" si="56"/>
        <v/>
      </c>
      <c r="E336" s="23" t="str">
        <f t="shared" si="57"/>
        <v/>
      </c>
      <c r="F336" s="20" t="str">
        <f t="shared" si="62"/>
        <v/>
      </c>
      <c r="G336" s="20">
        <f t="shared" si="63"/>
        <v>0</v>
      </c>
      <c r="H336" s="20">
        <f t="shared" si="67"/>
        <v>1</v>
      </c>
      <c r="I336" s="20">
        <f t="shared" si="64"/>
        <v>0</v>
      </c>
      <c r="J336" s="20">
        <f t="shared" si="67"/>
        <v>0</v>
      </c>
      <c r="K336" s="20">
        <f t="shared" si="65"/>
        <v>0</v>
      </c>
      <c r="L336" s="20">
        <f t="shared" si="67"/>
        <v>0</v>
      </c>
      <c r="M336" s="20">
        <f t="shared" si="66"/>
        <v>0</v>
      </c>
      <c r="N336" s="20">
        <f>ABS(G336)</f>
        <v>0</v>
      </c>
      <c r="O336" s="20">
        <f>ABS(I336)</f>
        <v>0</v>
      </c>
      <c r="P336" s="20">
        <f>ABS(K336)</f>
        <v>0</v>
      </c>
      <c r="Q336" s="20">
        <f t="shared" si="61"/>
        <v>0</v>
      </c>
    </row>
    <row r="337" spans="4:17" x14ac:dyDescent="0.35">
      <c r="D337" s="20" t="str">
        <f t="shared" si="56"/>
        <v/>
      </c>
      <c r="E337" s="23" t="str">
        <f t="shared" si="57"/>
        <v/>
      </c>
      <c r="F337" s="20" t="str">
        <f t="shared" si="62"/>
        <v/>
      </c>
      <c r="G337" s="20">
        <f t="shared" si="63"/>
        <v>0</v>
      </c>
      <c r="H337" s="20">
        <f t="shared" si="67"/>
        <v>0</v>
      </c>
      <c r="I337" s="20">
        <f t="shared" si="64"/>
        <v>0</v>
      </c>
      <c r="J337" s="20">
        <f t="shared" si="67"/>
        <v>1</v>
      </c>
      <c r="K337" s="20">
        <f t="shared" si="65"/>
        <v>0</v>
      </c>
      <c r="L337" s="20">
        <f t="shared" si="67"/>
        <v>0</v>
      </c>
      <c r="M337" s="20">
        <f t="shared" si="66"/>
        <v>0</v>
      </c>
      <c r="N337" s="20">
        <f>ABS(G337)</f>
        <v>0</v>
      </c>
      <c r="O337" s="20">
        <f>ABS(I337)</f>
        <v>0</v>
      </c>
      <c r="P337" s="20">
        <f>ABS(K337)</f>
        <v>0</v>
      </c>
      <c r="Q337" s="20">
        <f t="shared" si="61"/>
        <v>0</v>
      </c>
    </row>
    <row r="338" spans="4:17" x14ac:dyDescent="0.35">
      <c r="D338" s="20" t="str">
        <f t="shared" si="56"/>
        <v/>
      </c>
      <c r="E338" s="23" t="str">
        <f t="shared" si="57"/>
        <v/>
      </c>
      <c r="F338" s="20" t="str">
        <f t="shared" si="62"/>
        <v/>
      </c>
      <c r="G338" s="20">
        <f t="shared" si="63"/>
        <v>0</v>
      </c>
      <c r="H338" s="20">
        <f t="shared" si="67"/>
        <v>0</v>
      </c>
      <c r="I338" s="20">
        <f t="shared" si="64"/>
        <v>0</v>
      </c>
      <c r="J338" s="20">
        <f t="shared" si="67"/>
        <v>0</v>
      </c>
      <c r="K338" s="20">
        <f t="shared" si="65"/>
        <v>0</v>
      </c>
      <c r="L338" s="20">
        <f t="shared" si="67"/>
        <v>1</v>
      </c>
      <c r="M338" s="20">
        <f t="shared" si="66"/>
        <v>0</v>
      </c>
      <c r="N338" s="20">
        <f>ABS(G338)</f>
        <v>0</v>
      </c>
      <c r="O338" s="20">
        <f>ABS(I338)</f>
        <v>0</v>
      </c>
      <c r="P338" s="20">
        <f>ABS(K338)</f>
        <v>0</v>
      </c>
      <c r="Q338" s="20">
        <f t="shared" si="61"/>
        <v>0</v>
      </c>
    </row>
    <row r="339" spans="4:17" x14ac:dyDescent="0.35">
      <c r="D339" s="20" t="str">
        <f t="shared" si="56"/>
        <v/>
      </c>
      <c r="E339" s="23" t="str">
        <f t="shared" si="57"/>
        <v/>
      </c>
      <c r="F339" s="20" t="str">
        <f t="shared" si="62"/>
        <v/>
      </c>
      <c r="G339" s="20">
        <f t="shared" si="63"/>
        <v>0</v>
      </c>
      <c r="H339" s="20">
        <f t="shared" si="67"/>
        <v>1</v>
      </c>
      <c r="I339" s="20">
        <f t="shared" si="64"/>
        <v>0</v>
      </c>
      <c r="J339" s="20">
        <f t="shared" si="67"/>
        <v>0</v>
      </c>
      <c r="K339" s="20">
        <f t="shared" si="65"/>
        <v>0</v>
      </c>
      <c r="L339" s="20">
        <f t="shared" si="67"/>
        <v>0</v>
      </c>
      <c r="M339" s="20">
        <f t="shared" si="66"/>
        <v>0</v>
      </c>
      <c r="N339" s="20">
        <f>ABS(G339)</f>
        <v>0</v>
      </c>
      <c r="O339" s="20">
        <f>ABS(I339)</f>
        <v>0</v>
      </c>
      <c r="P339" s="20">
        <f>ABS(K339)</f>
        <v>0</v>
      </c>
      <c r="Q339" s="20">
        <f t="shared" si="61"/>
        <v>0</v>
      </c>
    </row>
    <row r="340" spans="4:17" x14ac:dyDescent="0.35">
      <c r="D340" s="20" t="str">
        <f t="shared" si="56"/>
        <v/>
      </c>
      <c r="E340" s="23" t="str">
        <f t="shared" si="57"/>
        <v/>
      </c>
      <c r="F340" s="20" t="str">
        <f t="shared" si="62"/>
        <v/>
      </c>
      <c r="G340" s="20">
        <f t="shared" si="63"/>
        <v>0</v>
      </c>
      <c r="H340" s="20">
        <f t="shared" si="67"/>
        <v>0</v>
      </c>
      <c r="I340" s="20">
        <f t="shared" si="64"/>
        <v>0</v>
      </c>
      <c r="J340" s="20">
        <f t="shared" si="67"/>
        <v>1</v>
      </c>
      <c r="K340" s="20">
        <f t="shared" si="65"/>
        <v>0</v>
      </c>
      <c r="L340" s="20">
        <f t="shared" si="67"/>
        <v>0</v>
      </c>
      <c r="M340" s="20">
        <f t="shared" si="66"/>
        <v>0</v>
      </c>
      <c r="N340" s="20">
        <f>ABS(G340)</f>
        <v>0</v>
      </c>
      <c r="O340" s="20">
        <f>ABS(I340)</f>
        <v>0</v>
      </c>
      <c r="P340" s="20">
        <f>ABS(K340)</f>
        <v>0</v>
      </c>
      <c r="Q340" s="20">
        <f t="shared" si="61"/>
        <v>0</v>
      </c>
    </row>
    <row r="341" spans="4:17" x14ac:dyDescent="0.35">
      <c r="D341" s="20" t="str">
        <f t="shared" si="56"/>
        <v/>
      </c>
      <c r="E341" s="23" t="str">
        <f t="shared" si="57"/>
        <v/>
      </c>
      <c r="F341" s="20" t="str">
        <f t="shared" si="62"/>
        <v/>
      </c>
      <c r="G341" s="20">
        <f t="shared" si="63"/>
        <v>0</v>
      </c>
      <c r="H341" s="20">
        <f t="shared" si="67"/>
        <v>0</v>
      </c>
      <c r="I341" s="20">
        <f t="shared" si="64"/>
        <v>0</v>
      </c>
      <c r="J341" s="20">
        <f t="shared" si="67"/>
        <v>0</v>
      </c>
      <c r="K341" s="20">
        <f t="shared" si="65"/>
        <v>0</v>
      </c>
      <c r="L341" s="20">
        <f t="shared" si="67"/>
        <v>1</v>
      </c>
      <c r="M341" s="20">
        <f t="shared" si="66"/>
        <v>0</v>
      </c>
      <c r="N341" s="20">
        <f>ABS(G341)</f>
        <v>0</v>
      </c>
      <c r="O341" s="20">
        <f>ABS(I341)</f>
        <v>0</v>
      </c>
      <c r="P341" s="20">
        <f>ABS(K341)</f>
        <v>0</v>
      </c>
      <c r="Q341" s="20">
        <f t="shared" si="61"/>
        <v>0</v>
      </c>
    </row>
    <row r="342" spans="4:17" x14ac:dyDescent="0.35">
      <c r="D342" s="20" t="str">
        <f t="shared" si="56"/>
        <v/>
      </c>
      <c r="E342" s="23" t="str">
        <f t="shared" si="57"/>
        <v/>
      </c>
      <c r="F342" s="20" t="str">
        <f t="shared" si="62"/>
        <v/>
      </c>
      <c r="G342" s="20">
        <f t="shared" si="63"/>
        <v>0</v>
      </c>
      <c r="H342" s="20">
        <f t="shared" si="67"/>
        <v>1</v>
      </c>
      <c r="I342" s="20">
        <f t="shared" si="64"/>
        <v>0</v>
      </c>
      <c r="J342" s="20">
        <f t="shared" si="67"/>
        <v>0</v>
      </c>
      <c r="K342" s="20">
        <f t="shared" si="65"/>
        <v>0</v>
      </c>
      <c r="L342" s="20">
        <f t="shared" si="67"/>
        <v>0</v>
      </c>
      <c r="M342" s="20">
        <f t="shared" si="66"/>
        <v>0</v>
      </c>
      <c r="N342" s="20">
        <f>ABS(G342)</f>
        <v>0</v>
      </c>
      <c r="O342" s="20">
        <f>ABS(I342)</f>
        <v>0</v>
      </c>
      <c r="P342" s="20">
        <f>ABS(K342)</f>
        <v>0</v>
      </c>
      <c r="Q342" s="20">
        <f t="shared" si="61"/>
        <v>0</v>
      </c>
    </row>
    <row r="343" spans="4:17" x14ac:dyDescent="0.35">
      <c r="D343" s="20" t="str">
        <f t="shared" ref="D343:D406" si="68">IF(D342&lt;=$B$5,D342+1,"")</f>
        <v/>
      </c>
      <c r="E343" s="23" t="str">
        <f t="shared" ref="E343:E406" si="69">IF(D342&lt;=$B$5,E342+$B$6,"")</f>
        <v/>
      </c>
      <c r="F343" s="20" t="str">
        <f t="shared" si="62"/>
        <v/>
      </c>
      <c r="G343" s="20">
        <f t="shared" si="63"/>
        <v>0</v>
      </c>
      <c r="H343" s="20">
        <f t="shared" ref="H343:L358" si="70">IF(H342+H341=0,1,0)</f>
        <v>0</v>
      </c>
      <c r="I343" s="20">
        <f t="shared" si="64"/>
        <v>0</v>
      </c>
      <c r="J343" s="20">
        <f t="shared" si="70"/>
        <v>1</v>
      </c>
      <c r="K343" s="20">
        <f t="shared" si="65"/>
        <v>0</v>
      </c>
      <c r="L343" s="20">
        <f t="shared" si="70"/>
        <v>0</v>
      </c>
      <c r="M343" s="20">
        <f t="shared" si="66"/>
        <v>0</v>
      </c>
      <c r="N343" s="20">
        <f>ABS(G343)</f>
        <v>0</v>
      </c>
      <c r="O343" s="20">
        <f>ABS(I343)</f>
        <v>0</v>
      </c>
      <c r="P343" s="20">
        <f>ABS(K343)</f>
        <v>0</v>
      </c>
      <c r="Q343" s="20">
        <f t="shared" si="61"/>
        <v>0</v>
      </c>
    </row>
    <row r="344" spans="4:17" x14ac:dyDescent="0.35">
      <c r="D344" s="20" t="str">
        <f t="shared" si="68"/>
        <v/>
      </c>
      <c r="E344" s="23" t="str">
        <f t="shared" si="69"/>
        <v/>
      </c>
      <c r="F344" s="20" t="str">
        <f t="shared" si="62"/>
        <v/>
      </c>
      <c r="G344" s="20">
        <f t="shared" si="63"/>
        <v>0</v>
      </c>
      <c r="H344" s="20">
        <f t="shared" si="70"/>
        <v>0</v>
      </c>
      <c r="I344" s="20">
        <f t="shared" si="64"/>
        <v>0</v>
      </c>
      <c r="J344" s="20">
        <f t="shared" si="70"/>
        <v>0</v>
      </c>
      <c r="K344" s="20">
        <f t="shared" si="65"/>
        <v>0</v>
      </c>
      <c r="L344" s="20">
        <f t="shared" si="70"/>
        <v>1</v>
      </c>
      <c r="M344" s="20">
        <f t="shared" si="66"/>
        <v>0</v>
      </c>
      <c r="N344" s="20">
        <f>ABS(G344)</f>
        <v>0</v>
      </c>
      <c r="O344" s="20">
        <f>ABS(I344)</f>
        <v>0</v>
      </c>
      <c r="P344" s="20">
        <f>ABS(K344)</f>
        <v>0</v>
      </c>
      <c r="Q344" s="20">
        <f t="shared" si="61"/>
        <v>0</v>
      </c>
    </row>
    <row r="345" spans="4:17" x14ac:dyDescent="0.35">
      <c r="D345" s="20" t="str">
        <f t="shared" si="68"/>
        <v/>
      </c>
      <c r="E345" s="23" t="str">
        <f t="shared" si="69"/>
        <v/>
      </c>
      <c r="F345" s="20" t="str">
        <f t="shared" si="62"/>
        <v/>
      </c>
      <c r="G345" s="20">
        <f t="shared" si="63"/>
        <v>0</v>
      </c>
      <c r="H345" s="20">
        <f t="shared" si="70"/>
        <v>1</v>
      </c>
      <c r="I345" s="20">
        <f t="shared" si="64"/>
        <v>0</v>
      </c>
      <c r="J345" s="20">
        <f t="shared" si="70"/>
        <v>0</v>
      </c>
      <c r="K345" s="20">
        <f t="shared" si="65"/>
        <v>0</v>
      </c>
      <c r="L345" s="20">
        <f t="shared" si="70"/>
        <v>0</v>
      </c>
      <c r="M345" s="20">
        <f t="shared" si="66"/>
        <v>0</v>
      </c>
      <c r="N345" s="20">
        <f>ABS(G345)</f>
        <v>0</v>
      </c>
      <c r="O345" s="20">
        <f>ABS(I345)</f>
        <v>0</v>
      </c>
      <c r="P345" s="20">
        <f>ABS(K345)</f>
        <v>0</v>
      </c>
      <c r="Q345" s="20">
        <f t="shared" si="61"/>
        <v>0</v>
      </c>
    </row>
    <row r="346" spans="4:17" x14ac:dyDescent="0.35">
      <c r="D346" s="20" t="str">
        <f t="shared" si="68"/>
        <v/>
      </c>
      <c r="E346" s="23" t="str">
        <f t="shared" si="69"/>
        <v/>
      </c>
      <c r="F346" s="20" t="str">
        <f t="shared" si="62"/>
        <v/>
      </c>
      <c r="G346" s="20">
        <f t="shared" si="63"/>
        <v>0</v>
      </c>
      <c r="H346" s="20">
        <f t="shared" si="70"/>
        <v>0</v>
      </c>
      <c r="I346" s="20">
        <f t="shared" si="64"/>
        <v>0</v>
      </c>
      <c r="J346" s="20">
        <f t="shared" si="70"/>
        <v>1</v>
      </c>
      <c r="K346" s="20">
        <f t="shared" si="65"/>
        <v>0</v>
      </c>
      <c r="L346" s="20">
        <f t="shared" si="70"/>
        <v>0</v>
      </c>
      <c r="M346" s="20">
        <f t="shared" si="66"/>
        <v>0</v>
      </c>
      <c r="N346" s="20">
        <f>ABS(G346)</f>
        <v>0</v>
      </c>
      <c r="O346" s="20">
        <f>ABS(I346)</f>
        <v>0</v>
      </c>
      <c r="P346" s="20">
        <f>ABS(K346)</f>
        <v>0</v>
      </c>
      <c r="Q346" s="20">
        <f t="shared" si="61"/>
        <v>0</v>
      </c>
    </row>
    <row r="347" spans="4:17" x14ac:dyDescent="0.35">
      <c r="D347" s="20" t="str">
        <f t="shared" si="68"/>
        <v/>
      </c>
      <c r="E347" s="23" t="str">
        <f t="shared" si="69"/>
        <v/>
      </c>
      <c r="F347" s="20" t="str">
        <f t="shared" si="62"/>
        <v/>
      </c>
      <c r="G347" s="20">
        <f t="shared" si="63"/>
        <v>0</v>
      </c>
      <c r="H347" s="20">
        <f t="shared" si="70"/>
        <v>0</v>
      </c>
      <c r="I347" s="20">
        <f t="shared" si="64"/>
        <v>0</v>
      </c>
      <c r="J347" s="20">
        <f t="shared" si="70"/>
        <v>0</v>
      </c>
      <c r="K347" s="20">
        <f t="shared" si="65"/>
        <v>0</v>
      </c>
      <c r="L347" s="20">
        <f t="shared" si="70"/>
        <v>1</v>
      </c>
      <c r="M347" s="20">
        <f t="shared" si="66"/>
        <v>0</v>
      </c>
      <c r="N347" s="20">
        <f>ABS(G347)</f>
        <v>0</v>
      </c>
      <c r="O347" s="20">
        <f>ABS(I347)</f>
        <v>0</v>
      </c>
      <c r="P347" s="20">
        <f>ABS(K347)</f>
        <v>0</v>
      </c>
      <c r="Q347" s="20">
        <f t="shared" si="61"/>
        <v>0</v>
      </c>
    </row>
    <row r="348" spans="4:17" x14ac:dyDescent="0.35">
      <c r="D348" s="20" t="str">
        <f t="shared" si="68"/>
        <v/>
      </c>
      <c r="E348" s="23" t="str">
        <f t="shared" si="69"/>
        <v/>
      </c>
      <c r="F348" s="20" t="str">
        <f t="shared" si="62"/>
        <v/>
      </c>
      <c r="G348" s="20">
        <f t="shared" si="63"/>
        <v>0</v>
      </c>
      <c r="H348" s="20">
        <f t="shared" si="70"/>
        <v>1</v>
      </c>
      <c r="I348" s="20">
        <f t="shared" si="64"/>
        <v>0</v>
      </c>
      <c r="J348" s="20">
        <f t="shared" si="70"/>
        <v>0</v>
      </c>
      <c r="K348" s="20">
        <f t="shared" si="65"/>
        <v>0</v>
      </c>
      <c r="L348" s="20">
        <f t="shared" si="70"/>
        <v>0</v>
      </c>
      <c r="M348" s="20">
        <f t="shared" si="66"/>
        <v>0</v>
      </c>
      <c r="N348" s="20">
        <f>ABS(G348)</f>
        <v>0</v>
      </c>
      <c r="O348" s="20">
        <f>ABS(I348)</f>
        <v>0</v>
      </c>
      <c r="P348" s="20">
        <f>ABS(K348)</f>
        <v>0</v>
      </c>
      <c r="Q348" s="20">
        <f t="shared" si="61"/>
        <v>0</v>
      </c>
    </row>
    <row r="349" spans="4:17" x14ac:dyDescent="0.35">
      <c r="D349" s="20" t="str">
        <f t="shared" si="68"/>
        <v/>
      </c>
      <c r="E349" s="23" t="str">
        <f t="shared" si="69"/>
        <v/>
      </c>
      <c r="F349" s="20" t="str">
        <f t="shared" si="62"/>
        <v/>
      </c>
      <c r="G349" s="20">
        <f t="shared" si="63"/>
        <v>0</v>
      </c>
      <c r="H349" s="20">
        <f t="shared" si="70"/>
        <v>0</v>
      </c>
      <c r="I349" s="20">
        <f t="shared" si="64"/>
        <v>0</v>
      </c>
      <c r="J349" s="20">
        <f t="shared" si="70"/>
        <v>1</v>
      </c>
      <c r="K349" s="20">
        <f t="shared" si="65"/>
        <v>0</v>
      </c>
      <c r="L349" s="20">
        <f t="shared" si="70"/>
        <v>0</v>
      </c>
      <c r="M349" s="20">
        <f t="shared" si="66"/>
        <v>0</v>
      </c>
      <c r="N349" s="20">
        <f>ABS(G349)</f>
        <v>0</v>
      </c>
      <c r="O349" s="20">
        <f>ABS(I349)</f>
        <v>0</v>
      </c>
      <c r="P349" s="20">
        <f>ABS(K349)</f>
        <v>0</v>
      </c>
      <c r="Q349" s="20">
        <f t="shared" si="61"/>
        <v>0</v>
      </c>
    </row>
    <row r="350" spans="4:17" x14ac:dyDescent="0.35">
      <c r="D350" s="20" t="str">
        <f t="shared" si="68"/>
        <v/>
      </c>
      <c r="E350" s="23" t="str">
        <f t="shared" si="69"/>
        <v/>
      </c>
      <c r="F350" s="20" t="str">
        <f t="shared" si="62"/>
        <v/>
      </c>
      <c r="G350" s="20">
        <f t="shared" si="63"/>
        <v>0</v>
      </c>
      <c r="H350" s="20">
        <f t="shared" si="70"/>
        <v>0</v>
      </c>
      <c r="I350" s="20">
        <f t="shared" si="64"/>
        <v>0</v>
      </c>
      <c r="J350" s="20">
        <f t="shared" si="70"/>
        <v>0</v>
      </c>
      <c r="K350" s="20">
        <f t="shared" si="65"/>
        <v>0</v>
      </c>
      <c r="L350" s="20">
        <f t="shared" si="70"/>
        <v>1</v>
      </c>
      <c r="M350" s="20">
        <f t="shared" si="66"/>
        <v>0</v>
      </c>
      <c r="N350" s="20">
        <f>ABS(G350)</f>
        <v>0</v>
      </c>
      <c r="O350" s="20">
        <f>ABS(I350)</f>
        <v>0</v>
      </c>
      <c r="P350" s="20">
        <f>ABS(K350)</f>
        <v>0</v>
      </c>
      <c r="Q350" s="20">
        <f t="shared" si="61"/>
        <v>0</v>
      </c>
    </row>
    <row r="351" spans="4:17" x14ac:dyDescent="0.35">
      <c r="D351" s="20" t="str">
        <f t="shared" si="68"/>
        <v/>
      </c>
      <c r="E351" s="23" t="str">
        <f t="shared" si="69"/>
        <v/>
      </c>
      <c r="F351" s="20" t="str">
        <f t="shared" si="62"/>
        <v/>
      </c>
      <c r="G351" s="20">
        <f t="shared" si="63"/>
        <v>0</v>
      </c>
      <c r="H351" s="20">
        <f t="shared" si="70"/>
        <v>1</v>
      </c>
      <c r="I351" s="20">
        <f t="shared" si="64"/>
        <v>0</v>
      </c>
      <c r="J351" s="20">
        <f t="shared" si="70"/>
        <v>0</v>
      </c>
      <c r="K351" s="20">
        <f t="shared" si="65"/>
        <v>0</v>
      </c>
      <c r="L351" s="20">
        <f t="shared" si="70"/>
        <v>0</v>
      </c>
      <c r="M351" s="20">
        <f t="shared" si="66"/>
        <v>0</v>
      </c>
      <c r="N351" s="20">
        <f>ABS(G351)</f>
        <v>0</v>
      </c>
      <c r="O351" s="20">
        <f>ABS(I351)</f>
        <v>0</v>
      </c>
      <c r="P351" s="20">
        <f>ABS(K351)</f>
        <v>0</v>
      </c>
      <c r="Q351" s="20">
        <f t="shared" si="61"/>
        <v>0</v>
      </c>
    </row>
    <row r="352" spans="4:17" x14ac:dyDescent="0.35">
      <c r="D352" s="20" t="str">
        <f t="shared" si="68"/>
        <v/>
      </c>
      <c r="E352" s="23" t="str">
        <f t="shared" si="69"/>
        <v/>
      </c>
      <c r="F352" s="20" t="str">
        <f t="shared" si="62"/>
        <v/>
      </c>
      <c r="G352" s="20">
        <f t="shared" si="63"/>
        <v>0</v>
      </c>
      <c r="H352" s="20">
        <f t="shared" si="70"/>
        <v>0</v>
      </c>
      <c r="I352" s="20">
        <f t="shared" si="64"/>
        <v>0</v>
      </c>
      <c r="J352" s="20">
        <f t="shared" si="70"/>
        <v>1</v>
      </c>
      <c r="K352" s="20">
        <f t="shared" si="65"/>
        <v>0</v>
      </c>
      <c r="L352" s="20">
        <f t="shared" si="70"/>
        <v>0</v>
      </c>
      <c r="M352" s="20">
        <f t="shared" si="66"/>
        <v>0</v>
      </c>
      <c r="N352" s="20">
        <f>ABS(G352)</f>
        <v>0</v>
      </c>
      <c r="O352" s="20">
        <f>ABS(I352)</f>
        <v>0</v>
      </c>
      <c r="P352" s="20">
        <f>ABS(K352)</f>
        <v>0</v>
      </c>
      <c r="Q352" s="20">
        <f t="shared" si="61"/>
        <v>0</v>
      </c>
    </row>
    <row r="353" spans="4:17" x14ac:dyDescent="0.35">
      <c r="D353" s="20" t="str">
        <f t="shared" si="68"/>
        <v/>
      </c>
      <c r="E353" s="23" t="str">
        <f t="shared" si="69"/>
        <v/>
      </c>
      <c r="F353" s="20" t="str">
        <f t="shared" si="62"/>
        <v/>
      </c>
      <c r="G353" s="20">
        <f t="shared" si="63"/>
        <v>0</v>
      </c>
      <c r="H353" s="20">
        <f t="shared" si="70"/>
        <v>0</v>
      </c>
      <c r="I353" s="20">
        <f t="shared" si="64"/>
        <v>0</v>
      </c>
      <c r="J353" s="20">
        <f t="shared" si="70"/>
        <v>0</v>
      </c>
      <c r="K353" s="20">
        <f t="shared" si="65"/>
        <v>0</v>
      </c>
      <c r="L353" s="20">
        <f t="shared" si="70"/>
        <v>1</v>
      </c>
      <c r="M353" s="20">
        <f t="shared" si="66"/>
        <v>0</v>
      </c>
      <c r="N353" s="20">
        <f>ABS(G353)</f>
        <v>0</v>
      </c>
      <c r="O353" s="20">
        <f>ABS(I353)</f>
        <v>0</v>
      </c>
      <c r="P353" s="20">
        <f>ABS(K353)</f>
        <v>0</v>
      </c>
      <c r="Q353" s="20">
        <f t="shared" si="61"/>
        <v>0</v>
      </c>
    </row>
    <row r="354" spans="4:17" x14ac:dyDescent="0.35">
      <c r="D354" s="20" t="str">
        <f t="shared" si="68"/>
        <v/>
      </c>
      <c r="E354" s="23" t="str">
        <f t="shared" si="69"/>
        <v/>
      </c>
      <c r="F354" s="20" t="str">
        <f t="shared" si="62"/>
        <v/>
      </c>
      <c r="G354" s="20">
        <f t="shared" si="63"/>
        <v>0</v>
      </c>
      <c r="H354" s="20">
        <f t="shared" si="70"/>
        <v>1</v>
      </c>
      <c r="I354" s="20">
        <f t="shared" si="64"/>
        <v>0</v>
      </c>
      <c r="J354" s="20">
        <f t="shared" si="70"/>
        <v>0</v>
      </c>
      <c r="K354" s="20">
        <f t="shared" si="65"/>
        <v>0</v>
      </c>
      <c r="L354" s="20">
        <f t="shared" si="70"/>
        <v>0</v>
      </c>
      <c r="M354" s="20">
        <f t="shared" si="66"/>
        <v>0</v>
      </c>
      <c r="N354" s="20">
        <f>ABS(G354)</f>
        <v>0</v>
      </c>
      <c r="O354" s="20">
        <f>ABS(I354)</f>
        <v>0</v>
      </c>
      <c r="P354" s="20">
        <f>ABS(K354)</f>
        <v>0</v>
      </c>
      <c r="Q354" s="20">
        <f t="shared" si="61"/>
        <v>0</v>
      </c>
    </row>
    <row r="355" spans="4:17" x14ac:dyDescent="0.35">
      <c r="D355" s="20" t="str">
        <f t="shared" si="68"/>
        <v/>
      </c>
      <c r="E355" s="23" t="str">
        <f t="shared" si="69"/>
        <v/>
      </c>
      <c r="F355" s="20" t="str">
        <f t="shared" si="62"/>
        <v/>
      </c>
      <c r="G355" s="20">
        <f t="shared" si="63"/>
        <v>0</v>
      </c>
      <c r="H355" s="20">
        <f t="shared" si="70"/>
        <v>0</v>
      </c>
      <c r="I355" s="20">
        <f t="shared" si="64"/>
        <v>0</v>
      </c>
      <c r="J355" s="20">
        <f t="shared" si="70"/>
        <v>1</v>
      </c>
      <c r="K355" s="20">
        <f t="shared" si="65"/>
        <v>0</v>
      </c>
      <c r="L355" s="20">
        <f t="shared" si="70"/>
        <v>0</v>
      </c>
      <c r="M355" s="20">
        <f t="shared" si="66"/>
        <v>0</v>
      </c>
      <c r="N355" s="20">
        <f>ABS(G355)</f>
        <v>0</v>
      </c>
      <c r="O355" s="20">
        <f>ABS(I355)</f>
        <v>0</v>
      </c>
      <c r="P355" s="20">
        <f>ABS(K355)</f>
        <v>0</v>
      </c>
      <c r="Q355" s="20">
        <f t="shared" si="61"/>
        <v>0</v>
      </c>
    </row>
    <row r="356" spans="4:17" x14ac:dyDescent="0.35">
      <c r="D356" s="20" t="str">
        <f t="shared" si="68"/>
        <v/>
      </c>
      <c r="E356" s="23" t="str">
        <f t="shared" si="69"/>
        <v/>
      </c>
      <c r="F356" s="20" t="str">
        <f t="shared" si="62"/>
        <v/>
      </c>
      <c r="G356" s="20">
        <f t="shared" si="63"/>
        <v>0</v>
      </c>
      <c r="H356" s="20">
        <f t="shared" si="70"/>
        <v>0</v>
      </c>
      <c r="I356" s="20">
        <f t="shared" si="64"/>
        <v>0</v>
      </c>
      <c r="J356" s="20">
        <f t="shared" si="70"/>
        <v>0</v>
      </c>
      <c r="K356" s="20">
        <f t="shared" si="65"/>
        <v>0</v>
      </c>
      <c r="L356" s="20">
        <f t="shared" si="70"/>
        <v>1</v>
      </c>
      <c r="M356" s="20">
        <f t="shared" si="66"/>
        <v>0</v>
      </c>
      <c r="N356" s="20">
        <f>ABS(G356)</f>
        <v>0</v>
      </c>
      <c r="O356" s="20">
        <f>ABS(I356)</f>
        <v>0</v>
      </c>
      <c r="P356" s="20">
        <f>ABS(K356)</f>
        <v>0</v>
      </c>
      <c r="Q356" s="20">
        <f t="shared" si="61"/>
        <v>0</v>
      </c>
    </row>
    <row r="357" spans="4:17" x14ac:dyDescent="0.35">
      <c r="D357" s="20" t="str">
        <f t="shared" si="68"/>
        <v/>
      </c>
      <c r="E357" s="23" t="str">
        <f t="shared" si="69"/>
        <v/>
      </c>
      <c r="F357" s="20" t="str">
        <f t="shared" si="62"/>
        <v/>
      </c>
      <c r="G357" s="20">
        <f t="shared" si="63"/>
        <v>0</v>
      </c>
      <c r="H357" s="20">
        <f t="shared" si="70"/>
        <v>1</v>
      </c>
      <c r="I357" s="20">
        <f t="shared" si="64"/>
        <v>0</v>
      </c>
      <c r="J357" s="20">
        <f t="shared" si="70"/>
        <v>0</v>
      </c>
      <c r="K357" s="20">
        <f t="shared" si="65"/>
        <v>0</v>
      </c>
      <c r="L357" s="20">
        <f t="shared" si="70"/>
        <v>0</v>
      </c>
      <c r="M357" s="20">
        <f t="shared" si="66"/>
        <v>0</v>
      </c>
      <c r="N357" s="20">
        <f>ABS(G357)</f>
        <v>0</v>
      </c>
      <c r="O357" s="20">
        <f>ABS(I357)</f>
        <v>0</v>
      </c>
      <c r="P357" s="20">
        <f>ABS(K357)</f>
        <v>0</v>
      </c>
      <c r="Q357" s="20">
        <f t="shared" si="61"/>
        <v>0</v>
      </c>
    </row>
    <row r="358" spans="4:17" x14ac:dyDescent="0.35">
      <c r="D358" s="20" t="str">
        <f t="shared" si="68"/>
        <v/>
      </c>
      <c r="E358" s="23" t="str">
        <f t="shared" si="69"/>
        <v/>
      </c>
      <c r="F358" s="20" t="str">
        <f t="shared" si="62"/>
        <v/>
      </c>
      <c r="G358" s="20">
        <f t="shared" si="63"/>
        <v>0</v>
      </c>
      <c r="H358" s="20">
        <f t="shared" si="70"/>
        <v>0</v>
      </c>
      <c r="I358" s="20">
        <f t="shared" si="64"/>
        <v>0</v>
      </c>
      <c r="J358" s="20">
        <f t="shared" si="70"/>
        <v>1</v>
      </c>
      <c r="K358" s="20">
        <f t="shared" si="65"/>
        <v>0</v>
      </c>
      <c r="L358" s="20">
        <f t="shared" si="70"/>
        <v>0</v>
      </c>
      <c r="M358" s="20">
        <f t="shared" si="66"/>
        <v>0</v>
      </c>
      <c r="N358" s="20">
        <f>ABS(G358)</f>
        <v>0</v>
      </c>
      <c r="O358" s="20">
        <f>ABS(I358)</f>
        <v>0</v>
      </c>
      <c r="P358" s="20">
        <f>ABS(K358)</f>
        <v>0</v>
      </c>
      <c r="Q358" s="20">
        <f t="shared" si="61"/>
        <v>0</v>
      </c>
    </row>
    <row r="359" spans="4:17" x14ac:dyDescent="0.35">
      <c r="D359" s="20" t="str">
        <f t="shared" si="68"/>
        <v/>
      </c>
      <c r="E359" s="23" t="str">
        <f t="shared" si="69"/>
        <v/>
      </c>
      <c r="F359" s="20" t="str">
        <f t="shared" si="62"/>
        <v/>
      </c>
      <c r="G359" s="20">
        <f t="shared" si="63"/>
        <v>0</v>
      </c>
      <c r="H359" s="20">
        <f t="shared" ref="H359:L374" si="71">IF(H358+H357=0,1,0)</f>
        <v>0</v>
      </c>
      <c r="I359" s="20">
        <f t="shared" si="64"/>
        <v>0</v>
      </c>
      <c r="J359" s="20">
        <f t="shared" si="71"/>
        <v>0</v>
      </c>
      <c r="K359" s="20">
        <f t="shared" si="65"/>
        <v>0</v>
      </c>
      <c r="L359" s="20">
        <f t="shared" si="71"/>
        <v>1</v>
      </c>
      <c r="M359" s="20">
        <f t="shared" si="66"/>
        <v>0</v>
      </c>
      <c r="N359" s="20">
        <f>ABS(G359)</f>
        <v>0</v>
      </c>
      <c r="O359" s="20">
        <f>ABS(I359)</f>
        <v>0</v>
      </c>
      <c r="P359" s="20">
        <f>ABS(K359)</f>
        <v>0</v>
      </c>
      <c r="Q359" s="20">
        <f t="shared" si="61"/>
        <v>0</v>
      </c>
    </row>
    <row r="360" spans="4:17" x14ac:dyDescent="0.35">
      <c r="D360" s="20" t="str">
        <f t="shared" si="68"/>
        <v/>
      </c>
      <c r="E360" s="23" t="str">
        <f t="shared" si="69"/>
        <v/>
      </c>
      <c r="F360" s="20" t="str">
        <f t="shared" si="62"/>
        <v/>
      </c>
      <c r="G360" s="20">
        <f t="shared" si="63"/>
        <v>0</v>
      </c>
      <c r="H360" s="20">
        <f t="shared" si="71"/>
        <v>1</v>
      </c>
      <c r="I360" s="20">
        <f t="shared" si="64"/>
        <v>0</v>
      </c>
      <c r="J360" s="20">
        <f t="shared" si="71"/>
        <v>0</v>
      </c>
      <c r="K360" s="20">
        <f t="shared" si="65"/>
        <v>0</v>
      </c>
      <c r="L360" s="20">
        <f t="shared" si="71"/>
        <v>0</v>
      </c>
      <c r="M360" s="20">
        <f t="shared" si="66"/>
        <v>0</v>
      </c>
      <c r="N360" s="20">
        <f>ABS(G360)</f>
        <v>0</v>
      </c>
      <c r="O360" s="20">
        <f>ABS(I360)</f>
        <v>0</v>
      </c>
      <c r="P360" s="20">
        <f>ABS(K360)</f>
        <v>0</v>
      </c>
      <c r="Q360" s="20">
        <f t="shared" si="61"/>
        <v>0</v>
      </c>
    </row>
    <row r="361" spans="4:17" x14ac:dyDescent="0.35">
      <c r="D361" s="20" t="str">
        <f t="shared" si="68"/>
        <v/>
      </c>
      <c r="E361" s="23" t="str">
        <f t="shared" si="69"/>
        <v/>
      </c>
      <c r="F361" s="20" t="str">
        <f t="shared" si="62"/>
        <v/>
      </c>
      <c r="G361" s="20">
        <f t="shared" si="63"/>
        <v>0</v>
      </c>
      <c r="H361" s="20">
        <f t="shared" si="71"/>
        <v>0</v>
      </c>
      <c r="I361" s="20">
        <f t="shared" si="64"/>
        <v>0</v>
      </c>
      <c r="J361" s="20">
        <f t="shared" si="71"/>
        <v>1</v>
      </c>
      <c r="K361" s="20">
        <f t="shared" si="65"/>
        <v>0</v>
      </c>
      <c r="L361" s="20">
        <f t="shared" si="71"/>
        <v>0</v>
      </c>
      <c r="M361" s="20">
        <f t="shared" si="66"/>
        <v>0</v>
      </c>
      <c r="N361" s="20">
        <f>ABS(G361)</f>
        <v>0</v>
      </c>
      <c r="O361" s="20">
        <f>ABS(I361)</f>
        <v>0</v>
      </c>
      <c r="P361" s="20">
        <f>ABS(K361)</f>
        <v>0</v>
      </c>
      <c r="Q361" s="20">
        <f t="shared" si="61"/>
        <v>0</v>
      </c>
    </row>
    <row r="362" spans="4:17" x14ac:dyDescent="0.35">
      <c r="D362" s="20" t="str">
        <f t="shared" si="68"/>
        <v/>
      </c>
      <c r="E362" s="23" t="str">
        <f t="shared" si="69"/>
        <v/>
      </c>
      <c r="F362" s="20" t="str">
        <f t="shared" si="62"/>
        <v/>
      </c>
      <c r="G362" s="20">
        <f t="shared" si="63"/>
        <v>0</v>
      </c>
      <c r="H362" s="20">
        <f t="shared" si="71"/>
        <v>0</v>
      </c>
      <c r="I362" s="20">
        <f t="shared" si="64"/>
        <v>0</v>
      </c>
      <c r="J362" s="20">
        <f t="shared" si="71"/>
        <v>0</v>
      </c>
      <c r="K362" s="20">
        <f t="shared" si="65"/>
        <v>0</v>
      </c>
      <c r="L362" s="20">
        <f t="shared" si="71"/>
        <v>1</v>
      </c>
      <c r="M362" s="20">
        <f t="shared" si="66"/>
        <v>0</v>
      </c>
      <c r="N362" s="20">
        <f>ABS(G362)</f>
        <v>0</v>
      </c>
      <c r="O362" s="20">
        <f>ABS(I362)</f>
        <v>0</v>
      </c>
      <c r="P362" s="20">
        <f>ABS(K362)</f>
        <v>0</v>
      </c>
      <c r="Q362" s="20">
        <f t="shared" si="61"/>
        <v>0</v>
      </c>
    </row>
    <row r="363" spans="4:17" x14ac:dyDescent="0.35">
      <c r="D363" s="20" t="str">
        <f t="shared" si="68"/>
        <v/>
      </c>
      <c r="E363" s="23" t="str">
        <f t="shared" si="69"/>
        <v/>
      </c>
      <c r="F363" s="20" t="str">
        <f t="shared" si="62"/>
        <v/>
      </c>
      <c r="G363" s="20">
        <f t="shared" si="63"/>
        <v>0</v>
      </c>
      <c r="H363" s="20">
        <f t="shared" si="71"/>
        <v>1</v>
      </c>
      <c r="I363" s="20">
        <f t="shared" si="64"/>
        <v>0</v>
      </c>
      <c r="J363" s="20">
        <f t="shared" si="71"/>
        <v>0</v>
      </c>
      <c r="K363" s="20">
        <f t="shared" si="65"/>
        <v>0</v>
      </c>
      <c r="L363" s="20">
        <f t="shared" si="71"/>
        <v>0</v>
      </c>
      <c r="M363" s="20">
        <f t="shared" si="66"/>
        <v>0</v>
      </c>
      <c r="N363" s="20">
        <f>ABS(G363)</f>
        <v>0</v>
      </c>
      <c r="O363" s="20">
        <f>ABS(I363)</f>
        <v>0</v>
      </c>
      <c r="P363" s="20">
        <f>ABS(K363)</f>
        <v>0</v>
      </c>
      <c r="Q363" s="20">
        <f t="shared" si="61"/>
        <v>0</v>
      </c>
    </row>
    <row r="364" spans="4:17" x14ac:dyDescent="0.35">
      <c r="D364" s="20" t="str">
        <f t="shared" si="68"/>
        <v/>
      </c>
      <c r="E364" s="23" t="str">
        <f t="shared" si="69"/>
        <v/>
      </c>
      <c r="F364" s="20" t="str">
        <f t="shared" si="62"/>
        <v/>
      </c>
      <c r="G364" s="20">
        <f t="shared" si="63"/>
        <v>0</v>
      </c>
      <c r="H364" s="20">
        <f t="shared" si="71"/>
        <v>0</v>
      </c>
      <c r="I364" s="20">
        <f t="shared" si="64"/>
        <v>0</v>
      </c>
      <c r="J364" s="20">
        <f t="shared" si="71"/>
        <v>1</v>
      </c>
      <c r="K364" s="20">
        <f t="shared" si="65"/>
        <v>0</v>
      </c>
      <c r="L364" s="20">
        <f t="shared" si="71"/>
        <v>0</v>
      </c>
      <c r="M364" s="20">
        <f t="shared" si="66"/>
        <v>0</v>
      </c>
      <c r="N364" s="20">
        <f>ABS(G364)</f>
        <v>0</v>
      </c>
      <c r="O364" s="20">
        <f>ABS(I364)</f>
        <v>0</v>
      </c>
      <c r="P364" s="20">
        <f>ABS(K364)</f>
        <v>0</v>
      </c>
      <c r="Q364" s="20">
        <f t="shared" si="61"/>
        <v>0</v>
      </c>
    </row>
    <row r="365" spans="4:17" x14ac:dyDescent="0.35">
      <c r="D365" s="20" t="str">
        <f t="shared" si="68"/>
        <v/>
      </c>
      <c r="E365" s="23" t="str">
        <f t="shared" si="69"/>
        <v/>
      </c>
      <c r="F365" s="20" t="str">
        <f t="shared" si="62"/>
        <v/>
      </c>
      <c r="G365" s="20">
        <f t="shared" si="63"/>
        <v>0</v>
      </c>
      <c r="H365" s="20">
        <f t="shared" si="71"/>
        <v>0</v>
      </c>
      <c r="I365" s="20">
        <f t="shared" si="64"/>
        <v>0</v>
      </c>
      <c r="J365" s="20">
        <f t="shared" si="71"/>
        <v>0</v>
      </c>
      <c r="K365" s="20">
        <f t="shared" si="65"/>
        <v>0</v>
      </c>
      <c r="L365" s="20">
        <f t="shared" si="71"/>
        <v>1</v>
      </c>
      <c r="M365" s="20">
        <f t="shared" si="66"/>
        <v>0</v>
      </c>
      <c r="N365" s="20">
        <f>ABS(G365)</f>
        <v>0</v>
      </c>
      <c r="O365" s="20">
        <f>ABS(I365)</f>
        <v>0</v>
      </c>
      <c r="P365" s="20">
        <f>ABS(K365)</f>
        <v>0</v>
      </c>
      <c r="Q365" s="20">
        <f t="shared" si="61"/>
        <v>0</v>
      </c>
    </row>
    <row r="366" spans="4:17" x14ac:dyDescent="0.35">
      <c r="D366" s="20" t="str">
        <f t="shared" si="68"/>
        <v/>
      </c>
      <c r="E366" s="23" t="str">
        <f t="shared" si="69"/>
        <v/>
      </c>
      <c r="F366" s="20" t="str">
        <f t="shared" si="62"/>
        <v/>
      </c>
      <c r="G366" s="20">
        <f t="shared" si="63"/>
        <v>0</v>
      </c>
      <c r="H366" s="20">
        <f t="shared" si="71"/>
        <v>1</v>
      </c>
      <c r="I366" s="20">
        <f t="shared" si="64"/>
        <v>0</v>
      </c>
      <c r="J366" s="20">
        <f t="shared" si="71"/>
        <v>0</v>
      </c>
      <c r="K366" s="20">
        <f t="shared" si="65"/>
        <v>0</v>
      </c>
      <c r="L366" s="20">
        <f t="shared" si="71"/>
        <v>0</v>
      </c>
      <c r="M366" s="20">
        <f t="shared" si="66"/>
        <v>0</v>
      </c>
      <c r="N366" s="20">
        <f>ABS(G366)</f>
        <v>0</v>
      </c>
      <c r="O366" s="20">
        <f>ABS(I366)</f>
        <v>0</v>
      </c>
      <c r="P366" s="20">
        <f>ABS(K366)</f>
        <v>0</v>
      </c>
      <c r="Q366" s="20">
        <f t="shared" si="61"/>
        <v>0</v>
      </c>
    </row>
    <row r="367" spans="4:17" x14ac:dyDescent="0.35">
      <c r="D367" s="20" t="str">
        <f t="shared" si="68"/>
        <v/>
      </c>
      <c r="E367" s="23" t="str">
        <f t="shared" si="69"/>
        <v/>
      </c>
      <c r="F367" s="20" t="str">
        <f t="shared" si="62"/>
        <v/>
      </c>
      <c r="G367" s="20">
        <f t="shared" si="63"/>
        <v>0</v>
      </c>
      <c r="H367" s="20">
        <f t="shared" si="71"/>
        <v>0</v>
      </c>
      <c r="I367" s="20">
        <f t="shared" si="64"/>
        <v>0</v>
      </c>
      <c r="J367" s="20">
        <f t="shared" si="71"/>
        <v>1</v>
      </c>
      <c r="K367" s="20">
        <f t="shared" si="65"/>
        <v>0</v>
      </c>
      <c r="L367" s="20">
        <f t="shared" si="71"/>
        <v>0</v>
      </c>
      <c r="M367" s="20">
        <f t="shared" si="66"/>
        <v>0</v>
      </c>
      <c r="N367" s="20">
        <f>ABS(G367)</f>
        <v>0</v>
      </c>
      <c r="O367" s="20">
        <f>ABS(I367)</f>
        <v>0</v>
      </c>
      <c r="P367" s="20">
        <f>ABS(K367)</f>
        <v>0</v>
      </c>
      <c r="Q367" s="20">
        <f t="shared" si="61"/>
        <v>0</v>
      </c>
    </row>
    <row r="368" spans="4:17" x14ac:dyDescent="0.35">
      <c r="D368" s="20" t="str">
        <f t="shared" si="68"/>
        <v/>
      </c>
      <c r="E368" s="23" t="str">
        <f t="shared" si="69"/>
        <v/>
      </c>
      <c r="F368" s="20" t="str">
        <f t="shared" si="62"/>
        <v/>
      </c>
      <c r="G368" s="20">
        <f t="shared" si="63"/>
        <v>0</v>
      </c>
      <c r="H368" s="20">
        <f t="shared" si="71"/>
        <v>0</v>
      </c>
      <c r="I368" s="20">
        <f t="shared" si="64"/>
        <v>0</v>
      </c>
      <c r="J368" s="20">
        <f t="shared" si="71"/>
        <v>0</v>
      </c>
      <c r="K368" s="20">
        <f t="shared" si="65"/>
        <v>0</v>
      </c>
      <c r="L368" s="20">
        <f t="shared" si="71"/>
        <v>1</v>
      </c>
      <c r="M368" s="20">
        <f t="shared" si="66"/>
        <v>0</v>
      </c>
      <c r="N368" s="20">
        <f>ABS(G368)</f>
        <v>0</v>
      </c>
      <c r="O368" s="20">
        <f>ABS(I368)</f>
        <v>0</v>
      </c>
      <c r="P368" s="20">
        <f>ABS(K368)</f>
        <v>0</v>
      </c>
      <c r="Q368" s="20">
        <f t="shared" si="61"/>
        <v>0</v>
      </c>
    </row>
    <row r="369" spans="4:17" x14ac:dyDescent="0.35">
      <c r="D369" s="20" t="str">
        <f t="shared" si="68"/>
        <v/>
      </c>
      <c r="E369" s="23" t="str">
        <f t="shared" si="69"/>
        <v/>
      </c>
      <c r="F369" s="20" t="str">
        <f t="shared" si="62"/>
        <v/>
      </c>
      <c r="G369" s="20">
        <f t="shared" si="63"/>
        <v>0</v>
      </c>
      <c r="H369" s="20">
        <f t="shared" si="71"/>
        <v>1</v>
      </c>
      <c r="I369" s="20">
        <f t="shared" si="64"/>
        <v>0</v>
      </c>
      <c r="J369" s="20">
        <f t="shared" si="71"/>
        <v>0</v>
      </c>
      <c r="K369" s="20">
        <f t="shared" si="65"/>
        <v>0</v>
      </c>
      <c r="L369" s="20">
        <f t="shared" si="71"/>
        <v>0</v>
      </c>
      <c r="M369" s="20">
        <f t="shared" si="66"/>
        <v>0</v>
      </c>
      <c r="N369" s="20">
        <f>ABS(G369)</f>
        <v>0</v>
      </c>
      <c r="O369" s="20">
        <f>ABS(I369)</f>
        <v>0</v>
      </c>
      <c r="P369" s="20">
        <f>ABS(K369)</f>
        <v>0</v>
      </c>
      <c r="Q369" s="20">
        <f t="shared" si="61"/>
        <v>0</v>
      </c>
    </row>
    <row r="370" spans="4:17" x14ac:dyDescent="0.35">
      <c r="D370" s="20" t="str">
        <f t="shared" si="68"/>
        <v/>
      </c>
      <c r="E370" s="23" t="str">
        <f t="shared" si="69"/>
        <v/>
      </c>
      <c r="F370" s="20" t="str">
        <f t="shared" si="62"/>
        <v/>
      </c>
      <c r="G370" s="20">
        <f t="shared" si="63"/>
        <v>0</v>
      </c>
      <c r="H370" s="20">
        <f t="shared" si="71"/>
        <v>0</v>
      </c>
      <c r="I370" s="20">
        <f t="shared" si="64"/>
        <v>0</v>
      </c>
      <c r="J370" s="20">
        <f t="shared" si="71"/>
        <v>1</v>
      </c>
      <c r="K370" s="20">
        <f t="shared" si="65"/>
        <v>0</v>
      </c>
      <c r="L370" s="20">
        <f t="shared" si="71"/>
        <v>0</v>
      </c>
      <c r="M370" s="20">
        <f t="shared" si="66"/>
        <v>0</v>
      </c>
      <c r="N370" s="20">
        <f>ABS(G370)</f>
        <v>0</v>
      </c>
      <c r="O370" s="20">
        <f>ABS(I370)</f>
        <v>0</v>
      </c>
      <c r="P370" s="20">
        <f>ABS(K370)</f>
        <v>0</v>
      </c>
      <c r="Q370" s="20">
        <f t="shared" si="61"/>
        <v>0</v>
      </c>
    </row>
    <row r="371" spans="4:17" x14ac:dyDescent="0.35">
      <c r="D371" s="20" t="str">
        <f t="shared" si="68"/>
        <v/>
      </c>
      <c r="E371" s="23" t="str">
        <f t="shared" si="69"/>
        <v/>
      </c>
      <c r="F371" s="20" t="str">
        <f t="shared" si="62"/>
        <v/>
      </c>
      <c r="G371" s="20">
        <f t="shared" si="63"/>
        <v>0</v>
      </c>
      <c r="H371" s="20">
        <f t="shared" si="71"/>
        <v>0</v>
      </c>
      <c r="I371" s="20">
        <f t="shared" si="64"/>
        <v>0</v>
      </c>
      <c r="J371" s="20">
        <f t="shared" si="71"/>
        <v>0</v>
      </c>
      <c r="K371" s="20">
        <f t="shared" si="65"/>
        <v>0</v>
      </c>
      <c r="L371" s="20">
        <f t="shared" si="71"/>
        <v>1</v>
      </c>
      <c r="M371" s="20">
        <f t="shared" si="66"/>
        <v>0</v>
      </c>
      <c r="N371" s="20">
        <f>ABS(G371)</f>
        <v>0</v>
      </c>
      <c r="O371" s="20">
        <f>ABS(I371)</f>
        <v>0</v>
      </c>
      <c r="P371" s="20">
        <f>ABS(K371)</f>
        <v>0</v>
      </c>
      <c r="Q371" s="20">
        <f t="shared" si="61"/>
        <v>0</v>
      </c>
    </row>
    <row r="372" spans="4:17" x14ac:dyDescent="0.35">
      <c r="D372" s="20" t="str">
        <f t="shared" si="68"/>
        <v/>
      </c>
      <c r="E372" s="23" t="str">
        <f t="shared" si="69"/>
        <v/>
      </c>
      <c r="F372" s="20" t="str">
        <f t="shared" si="62"/>
        <v/>
      </c>
      <c r="G372" s="20">
        <f t="shared" si="63"/>
        <v>0</v>
      </c>
      <c r="H372" s="20">
        <f t="shared" si="71"/>
        <v>1</v>
      </c>
      <c r="I372" s="20">
        <f t="shared" si="64"/>
        <v>0</v>
      </c>
      <c r="J372" s="20">
        <f t="shared" si="71"/>
        <v>0</v>
      </c>
      <c r="K372" s="20">
        <f t="shared" si="65"/>
        <v>0</v>
      </c>
      <c r="L372" s="20">
        <f t="shared" si="71"/>
        <v>0</v>
      </c>
      <c r="M372" s="20">
        <f t="shared" si="66"/>
        <v>0</v>
      </c>
      <c r="N372" s="20">
        <f>ABS(G372)</f>
        <v>0</v>
      </c>
      <c r="O372" s="20">
        <f>ABS(I372)</f>
        <v>0</v>
      </c>
      <c r="P372" s="20">
        <f>ABS(K372)</f>
        <v>0</v>
      </c>
      <c r="Q372" s="20">
        <f t="shared" si="61"/>
        <v>0</v>
      </c>
    </row>
    <row r="373" spans="4:17" x14ac:dyDescent="0.35">
      <c r="D373" s="20" t="str">
        <f t="shared" si="68"/>
        <v/>
      </c>
      <c r="E373" s="23" t="str">
        <f t="shared" si="69"/>
        <v/>
      </c>
      <c r="F373" s="20" t="str">
        <f t="shared" si="62"/>
        <v/>
      </c>
      <c r="G373" s="20">
        <f t="shared" si="63"/>
        <v>0</v>
      </c>
      <c r="H373" s="20">
        <f t="shared" si="71"/>
        <v>0</v>
      </c>
      <c r="I373" s="20">
        <f t="shared" si="64"/>
        <v>0</v>
      </c>
      <c r="J373" s="20">
        <f t="shared" si="71"/>
        <v>1</v>
      </c>
      <c r="K373" s="20">
        <f t="shared" si="65"/>
        <v>0</v>
      </c>
      <c r="L373" s="20">
        <f t="shared" si="71"/>
        <v>0</v>
      </c>
      <c r="M373" s="20">
        <f t="shared" si="66"/>
        <v>0</v>
      </c>
      <c r="N373" s="20">
        <f>ABS(G373)</f>
        <v>0</v>
      </c>
      <c r="O373" s="20">
        <f>ABS(I373)</f>
        <v>0</v>
      </c>
      <c r="P373" s="20">
        <f>ABS(K373)</f>
        <v>0</v>
      </c>
      <c r="Q373" s="20">
        <f t="shared" si="61"/>
        <v>0</v>
      </c>
    </row>
    <row r="374" spans="4:17" x14ac:dyDescent="0.35">
      <c r="D374" s="20" t="str">
        <f t="shared" si="68"/>
        <v/>
      </c>
      <c r="E374" s="23" t="str">
        <f t="shared" si="69"/>
        <v/>
      </c>
      <c r="F374" s="20" t="str">
        <f t="shared" si="62"/>
        <v/>
      </c>
      <c r="G374" s="20">
        <f t="shared" si="63"/>
        <v>0</v>
      </c>
      <c r="H374" s="20">
        <f t="shared" si="71"/>
        <v>0</v>
      </c>
      <c r="I374" s="20">
        <f t="shared" si="64"/>
        <v>0</v>
      </c>
      <c r="J374" s="20">
        <f t="shared" si="71"/>
        <v>0</v>
      </c>
      <c r="K374" s="20">
        <f t="shared" si="65"/>
        <v>0</v>
      </c>
      <c r="L374" s="20">
        <f t="shared" si="71"/>
        <v>1</v>
      </c>
      <c r="M374" s="20">
        <f t="shared" si="66"/>
        <v>0</v>
      </c>
      <c r="N374" s="20">
        <f>ABS(G374)</f>
        <v>0</v>
      </c>
      <c r="O374" s="20">
        <f>ABS(I374)</f>
        <v>0</v>
      </c>
      <c r="P374" s="20">
        <f>ABS(K374)</f>
        <v>0</v>
      </c>
      <c r="Q374" s="20">
        <f t="shared" si="61"/>
        <v>0</v>
      </c>
    </row>
    <row r="375" spans="4:17" x14ac:dyDescent="0.35">
      <c r="D375" s="20" t="str">
        <f t="shared" si="68"/>
        <v/>
      </c>
      <c r="E375" s="23" t="str">
        <f t="shared" si="69"/>
        <v/>
      </c>
      <c r="F375" s="20" t="str">
        <f t="shared" si="62"/>
        <v/>
      </c>
      <c r="G375" s="20">
        <f t="shared" si="63"/>
        <v>0</v>
      </c>
      <c r="H375" s="20">
        <f t="shared" ref="H375:L390" si="72">IF(H374+H373=0,1,0)</f>
        <v>1</v>
      </c>
      <c r="I375" s="20">
        <f t="shared" si="64"/>
        <v>0</v>
      </c>
      <c r="J375" s="20">
        <f t="shared" si="72"/>
        <v>0</v>
      </c>
      <c r="K375" s="20">
        <f t="shared" si="65"/>
        <v>0</v>
      </c>
      <c r="L375" s="20">
        <f t="shared" si="72"/>
        <v>0</v>
      </c>
      <c r="M375" s="20">
        <f t="shared" si="66"/>
        <v>0</v>
      </c>
      <c r="N375" s="20">
        <f>ABS(G375)</f>
        <v>0</v>
      </c>
      <c r="O375" s="20">
        <f>ABS(I375)</f>
        <v>0</v>
      </c>
      <c r="P375" s="20">
        <f>ABS(K375)</f>
        <v>0</v>
      </c>
      <c r="Q375" s="20">
        <f t="shared" si="61"/>
        <v>0</v>
      </c>
    </row>
    <row r="376" spans="4:17" x14ac:dyDescent="0.35">
      <c r="D376" s="20" t="str">
        <f t="shared" si="68"/>
        <v/>
      </c>
      <c r="E376" s="23" t="str">
        <f t="shared" si="69"/>
        <v/>
      </c>
      <c r="F376" s="20" t="str">
        <f t="shared" si="62"/>
        <v/>
      </c>
      <c r="G376" s="20">
        <f t="shared" si="63"/>
        <v>0</v>
      </c>
      <c r="H376" s="20">
        <f t="shared" si="72"/>
        <v>0</v>
      </c>
      <c r="I376" s="20">
        <f t="shared" si="64"/>
        <v>0</v>
      </c>
      <c r="J376" s="20">
        <f t="shared" si="72"/>
        <v>1</v>
      </c>
      <c r="K376" s="20">
        <f t="shared" si="65"/>
        <v>0</v>
      </c>
      <c r="L376" s="20">
        <f t="shared" si="72"/>
        <v>0</v>
      </c>
      <c r="M376" s="20">
        <f t="shared" si="66"/>
        <v>0</v>
      </c>
      <c r="N376" s="20">
        <f>ABS(G376)</f>
        <v>0</v>
      </c>
      <c r="O376" s="20">
        <f>ABS(I376)</f>
        <v>0</v>
      </c>
      <c r="P376" s="20">
        <f>ABS(K376)</f>
        <v>0</v>
      </c>
      <c r="Q376" s="20">
        <f t="shared" si="61"/>
        <v>0</v>
      </c>
    </row>
    <row r="377" spans="4:17" x14ac:dyDescent="0.35">
      <c r="D377" s="20" t="str">
        <f t="shared" si="68"/>
        <v/>
      </c>
      <c r="E377" s="23" t="str">
        <f t="shared" si="69"/>
        <v/>
      </c>
      <c r="F377" s="20" t="str">
        <f t="shared" si="62"/>
        <v/>
      </c>
      <c r="G377" s="20">
        <f t="shared" si="63"/>
        <v>0</v>
      </c>
      <c r="H377" s="20">
        <f t="shared" si="72"/>
        <v>0</v>
      </c>
      <c r="I377" s="20">
        <f t="shared" si="64"/>
        <v>0</v>
      </c>
      <c r="J377" s="20">
        <f t="shared" si="72"/>
        <v>0</v>
      </c>
      <c r="K377" s="20">
        <f t="shared" si="65"/>
        <v>0</v>
      </c>
      <c r="L377" s="20">
        <f t="shared" si="72"/>
        <v>1</v>
      </c>
      <c r="M377" s="20">
        <f t="shared" si="66"/>
        <v>0</v>
      </c>
      <c r="N377" s="20">
        <f>ABS(G377)</f>
        <v>0</v>
      </c>
      <c r="O377" s="20">
        <f>ABS(I377)</f>
        <v>0</v>
      </c>
      <c r="P377" s="20">
        <f>ABS(K377)</f>
        <v>0</v>
      </c>
      <c r="Q377" s="20">
        <f t="shared" si="61"/>
        <v>0</v>
      </c>
    </row>
    <row r="378" spans="4:17" x14ac:dyDescent="0.35">
      <c r="D378" s="20" t="str">
        <f t="shared" si="68"/>
        <v/>
      </c>
      <c r="E378" s="23" t="str">
        <f t="shared" si="69"/>
        <v/>
      </c>
      <c r="F378" s="20" t="str">
        <f t="shared" si="62"/>
        <v/>
      </c>
      <c r="G378" s="20">
        <f t="shared" si="63"/>
        <v>0</v>
      </c>
      <c r="H378" s="20">
        <f t="shared" si="72"/>
        <v>1</v>
      </c>
      <c r="I378" s="20">
        <f t="shared" si="64"/>
        <v>0</v>
      </c>
      <c r="J378" s="20">
        <f t="shared" si="72"/>
        <v>0</v>
      </c>
      <c r="K378" s="20">
        <f t="shared" si="65"/>
        <v>0</v>
      </c>
      <c r="L378" s="20">
        <f t="shared" si="72"/>
        <v>0</v>
      </c>
      <c r="M378" s="20">
        <f t="shared" si="66"/>
        <v>0</v>
      </c>
      <c r="N378" s="20">
        <f>ABS(G378)</f>
        <v>0</v>
      </c>
      <c r="O378" s="20">
        <f>ABS(I378)</f>
        <v>0</v>
      </c>
      <c r="P378" s="20">
        <f>ABS(K378)</f>
        <v>0</v>
      </c>
      <c r="Q378" s="20">
        <f t="shared" si="61"/>
        <v>0</v>
      </c>
    </row>
    <row r="379" spans="4:17" x14ac:dyDescent="0.35">
      <c r="D379" s="20" t="str">
        <f t="shared" si="68"/>
        <v/>
      </c>
      <c r="E379" s="23" t="str">
        <f t="shared" si="69"/>
        <v/>
      </c>
      <c r="F379" s="20" t="str">
        <f t="shared" si="62"/>
        <v/>
      </c>
      <c r="G379" s="20">
        <f t="shared" si="63"/>
        <v>0</v>
      </c>
      <c r="H379" s="20">
        <f t="shared" si="72"/>
        <v>0</v>
      </c>
      <c r="I379" s="20">
        <f t="shared" si="64"/>
        <v>0</v>
      </c>
      <c r="J379" s="20">
        <f t="shared" si="72"/>
        <v>1</v>
      </c>
      <c r="K379" s="20">
        <f t="shared" si="65"/>
        <v>0</v>
      </c>
      <c r="L379" s="20">
        <f t="shared" si="72"/>
        <v>0</v>
      </c>
      <c r="M379" s="20">
        <f t="shared" si="66"/>
        <v>0</v>
      </c>
      <c r="N379" s="20">
        <f>ABS(G379)</f>
        <v>0</v>
      </c>
      <c r="O379" s="20">
        <f>ABS(I379)</f>
        <v>0</v>
      </c>
      <c r="P379" s="20">
        <f>ABS(K379)</f>
        <v>0</v>
      </c>
      <c r="Q379" s="20">
        <f t="shared" si="61"/>
        <v>0</v>
      </c>
    </row>
    <row r="380" spans="4:17" x14ac:dyDescent="0.35">
      <c r="D380" s="20" t="str">
        <f t="shared" si="68"/>
        <v/>
      </c>
      <c r="E380" s="23" t="str">
        <f t="shared" si="69"/>
        <v/>
      </c>
      <c r="F380" s="20" t="str">
        <f t="shared" si="62"/>
        <v/>
      </c>
      <c r="G380" s="20">
        <f t="shared" si="63"/>
        <v>0</v>
      </c>
      <c r="H380" s="20">
        <f t="shared" si="72"/>
        <v>0</v>
      </c>
      <c r="I380" s="20">
        <f t="shared" si="64"/>
        <v>0</v>
      </c>
      <c r="J380" s="20">
        <f t="shared" si="72"/>
        <v>0</v>
      </c>
      <c r="K380" s="20">
        <f t="shared" si="65"/>
        <v>0</v>
      </c>
      <c r="L380" s="20">
        <f t="shared" si="72"/>
        <v>1</v>
      </c>
      <c r="M380" s="20">
        <f t="shared" si="66"/>
        <v>0</v>
      </c>
      <c r="N380" s="20">
        <f>ABS(G380)</f>
        <v>0</v>
      </c>
      <c r="O380" s="20">
        <f>ABS(I380)</f>
        <v>0</v>
      </c>
      <c r="P380" s="20">
        <f>ABS(K380)</f>
        <v>0</v>
      </c>
      <c r="Q380" s="20">
        <f t="shared" si="61"/>
        <v>0</v>
      </c>
    </row>
    <row r="381" spans="4:17" x14ac:dyDescent="0.35">
      <c r="D381" s="20" t="str">
        <f t="shared" si="68"/>
        <v/>
      </c>
      <c r="E381" s="23" t="str">
        <f t="shared" si="69"/>
        <v/>
      </c>
      <c r="F381" s="20" t="str">
        <f t="shared" si="62"/>
        <v/>
      </c>
      <c r="G381" s="20">
        <f t="shared" si="63"/>
        <v>0</v>
      </c>
      <c r="H381" s="20">
        <f t="shared" si="72"/>
        <v>1</v>
      </c>
      <c r="I381" s="20">
        <f t="shared" si="64"/>
        <v>0</v>
      </c>
      <c r="J381" s="20">
        <f t="shared" si="72"/>
        <v>0</v>
      </c>
      <c r="K381" s="20">
        <f t="shared" si="65"/>
        <v>0</v>
      </c>
      <c r="L381" s="20">
        <f t="shared" si="72"/>
        <v>0</v>
      </c>
      <c r="M381" s="20">
        <f t="shared" si="66"/>
        <v>0</v>
      </c>
      <c r="N381" s="20">
        <f>ABS(G381)</f>
        <v>0</v>
      </c>
      <c r="O381" s="20">
        <f>ABS(I381)</f>
        <v>0</v>
      </c>
      <c r="P381" s="20">
        <f>ABS(K381)</f>
        <v>0</v>
      </c>
      <c r="Q381" s="20">
        <f t="shared" si="61"/>
        <v>0</v>
      </c>
    </row>
    <row r="382" spans="4:17" x14ac:dyDescent="0.35">
      <c r="D382" s="20" t="str">
        <f t="shared" si="68"/>
        <v/>
      </c>
      <c r="E382" s="23" t="str">
        <f t="shared" si="69"/>
        <v/>
      </c>
      <c r="F382" s="20" t="str">
        <f t="shared" si="62"/>
        <v/>
      </c>
      <c r="G382" s="20">
        <f t="shared" si="63"/>
        <v>0</v>
      </c>
      <c r="H382" s="20">
        <f t="shared" si="72"/>
        <v>0</v>
      </c>
      <c r="I382" s="20">
        <f t="shared" si="64"/>
        <v>0</v>
      </c>
      <c r="J382" s="20">
        <f t="shared" si="72"/>
        <v>1</v>
      </c>
      <c r="K382" s="20">
        <f t="shared" si="65"/>
        <v>0</v>
      </c>
      <c r="L382" s="20">
        <f t="shared" si="72"/>
        <v>0</v>
      </c>
      <c r="M382" s="20">
        <f t="shared" si="66"/>
        <v>0</v>
      </c>
      <c r="N382" s="20">
        <f>ABS(G382)</f>
        <v>0</v>
      </c>
      <c r="O382" s="20">
        <f>ABS(I382)</f>
        <v>0</v>
      </c>
      <c r="P382" s="20">
        <f>ABS(K382)</f>
        <v>0</v>
      </c>
      <c r="Q382" s="20">
        <f t="shared" si="61"/>
        <v>0</v>
      </c>
    </row>
    <row r="383" spans="4:17" x14ac:dyDescent="0.35">
      <c r="D383" s="20" t="str">
        <f t="shared" si="68"/>
        <v/>
      </c>
      <c r="E383" s="23" t="str">
        <f t="shared" si="69"/>
        <v/>
      </c>
      <c r="F383" s="20" t="str">
        <f t="shared" si="62"/>
        <v/>
      </c>
      <c r="G383" s="20">
        <f t="shared" si="63"/>
        <v>0</v>
      </c>
      <c r="H383" s="20">
        <f t="shared" si="72"/>
        <v>0</v>
      </c>
      <c r="I383" s="20">
        <f t="shared" si="64"/>
        <v>0</v>
      </c>
      <c r="J383" s="20">
        <f t="shared" si="72"/>
        <v>0</v>
      </c>
      <c r="K383" s="20">
        <f t="shared" si="65"/>
        <v>0</v>
      </c>
      <c r="L383" s="20">
        <f t="shared" si="72"/>
        <v>1</v>
      </c>
      <c r="M383" s="20">
        <f t="shared" si="66"/>
        <v>0</v>
      </c>
      <c r="N383" s="20">
        <f>ABS(G383)</f>
        <v>0</v>
      </c>
      <c r="O383" s="20">
        <f>ABS(I383)</f>
        <v>0</v>
      </c>
      <c r="P383" s="20">
        <f>ABS(K383)</f>
        <v>0</v>
      </c>
      <c r="Q383" s="20">
        <f t="shared" si="61"/>
        <v>0</v>
      </c>
    </row>
    <row r="384" spans="4:17" x14ac:dyDescent="0.35">
      <c r="D384" s="20" t="str">
        <f t="shared" si="68"/>
        <v/>
      </c>
      <c r="E384" s="23" t="str">
        <f t="shared" si="69"/>
        <v/>
      </c>
      <c r="F384" s="20" t="str">
        <f t="shared" si="62"/>
        <v/>
      </c>
      <c r="G384" s="20">
        <f t="shared" si="63"/>
        <v>0</v>
      </c>
      <c r="H384" s="20">
        <f t="shared" si="72"/>
        <v>1</v>
      </c>
      <c r="I384" s="20">
        <f t="shared" si="64"/>
        <v>0</v>
      </c>
      <c r="J384" s="20">
        <f t="shared" si="72"/>
        <v>0</v>
      </c>
      <c r="K384" s="20">
        <f t="shared" si="65"/>
        <v>0</v>
      </c>
      <c r="L384" s="20">
        <f t="shared" si="72"/>
        <v>0</v>
      </c>
      <c r="M384" s="20">
        <f t="shared" si="66"/>
        <v>0</v>
      </c>
      <c r="N384" s="20">
        <f>ABS(G384)</f>
        <v>0</v>
      </c>
      <c r="O384" s="20">
        <f>ABS(I384)</f>
        <v>0</v>
      </c>
      <c r="P384" s="20">
        <f>ABS(K384)</f>
        <v>0</v>
      </c>
      <c r="Q384" s="20">
        <f t="shared" si="61"/>
        <v>0</v>
      </c>
    </row>
    <row r="385" spans="4:17" x14ac:dyDescent="0.35">
      <c r="D385" s="20" t="str">
        <f t="shared" si="68"/>
        <v/>
      </c>
      <c r="E385" s="23" t="str">
        <f t="shared" si="69"/>
        <v/>
      </c>
      <c r="F385" s="20" t="str">
        <f t="shared" si="62"/>
        <v/>
      </c>
      <c r="G385" s="20">
        <f t="shared" si="63"/>
        <v>0</v>
      </c>
      <c r="H385" s="20">
        <f t="shared" si="72"/>
        <v>0</v>
      </c>
      <c r="I385" s="20">
        <f t="shared" si="64"/>
        <v>0</v>
      </c>
      <c r="J385" s="20">
        <f t="shared" si="72"/>
        <v>1</v>
      </c>
      <c r="K385" s="20">
        <f t="shared" si="65"/>
        <v>0</v>
      </c>
      <c r="L385" s="20">
        <f t="shared" si="72"/>
        <v>0</v>
      </c>
      <c r="M385" s="20">
        <f t="shared" si="66"/>
        <v>0</v>
      </c>
      <c r="N385" s="20">
        <f>ABS(G385)</f>
        <v>0</v>
      </c>
      <c r="O385" s="20">
        <f>ABS(I385)</f>
        <v>0</v>
      </c>
      <c r="P385" s="20">
        <f>ABS(K385)</f>
        <v>0</v>
      </c>
      <c r="Q385" s="20">
        <f t="shared" si="61"/>
        <v>0</v>
      </c>
    </row>
    <row r="386" spans="4:17" x14ac:dyDescent="0.35">
      <c r="D386" s="20" t="str">
        <f t="shared" si="68"/>
        <v/>
      </c>
      <c r="E386" s="23" t="str">
        <f t="shared" si="69"/>
        <v/>
      </c>
      <c r="F386" s="20" t="str">
        <f t="shared" si="62"/>
        <v/>
      </c>
      <c r="G386" s="20">
        <f t="shared" si="63"/>
        <v>0</v>
      </c>
      <c r="H386" s="20">
        <f t="shared" si="72"/>
        <v>0</v>
      </c>
      <c r="I386" s="20">
        <f t="shared" si="64"/>
        <v>0</v>
      </c>
      <c r="J386" s="20">
        <f t="shared" si="72"/>
        <v>0</v>
      </c>
      <c r="K386" s="20">
        <f t="shared" si="65"/>
        <v>0</v>
      </c>
      <c r="L386" s="20">
        <f t="shared" si="72"/>
        <v>1</v>
      </c>
      <c r="M386" s="20">
        <f t="shared" si="66"/>
        <v>0</v>
      </c>
      <c r="N386" s="20">
        <f>ABS(G386)</f>
        <v>0</v>
      </c>
      <c r="O386" s="20">
        <f>ABS(I386)</f>
        <v>0</v>
      </c>
      <c r="P386" s="20">
        <f>ABS(K386)</f>
        <v>0</v>
      </c>
      <c r="Q386" s="20">
        <f t="shared" ref="Q386:Q449" si="73">ABS(M386)</f>
        <v>0</v>
      </c>
    </row>
    <row r="387" spans="4:17" x14ac:dyDescent="0.35">
      <c r="D387" s="20" t="str">
        <f t="shared" si="68"/>
        <v/>
      </c>
      <c r="E387" s="23" t="str">
        <f t="shared" si="69"/>
        <v/>
      </c>
      <c r="F387" s="20" t="str">
        <f t="shared" si="62"/>
        <v/>
      </c>
      <c r="G387" s="20">
        <f t="shared" si="63"/>
        <v>0</v>
      </c>
      <c r="H387" s="20">
        <f t="shared" si="72"/>
        <v>1</v>
      </c>
      <c r="I387" s="20">
        <f t="shared" si="64"/>
        <v>0</v>
      </c>
      <c r="J387" s="20">
        <f t="shared" si="72"/>
        <v>0</v>
      </c>
      <c r="K387" s="20">
        <f t="shared" si="65"/>
        <v>0</v>
      </c>
      <c r="L387" s="20">
        <f t="shared" si="72"/>
        <v>0</v>
      </c>
      <c r="M387" s="20">
        <f t="shared" si="66"/>
        <v>0</v>
      </c>
      <c r="N387" s="20">
        <f>ABS(G387)</f>
        <v>0</v>
      </c>
      <c r="O387" s="20">
        <f>ABS(I387)</f>
        <v>0</v>
      </c>
      <c r="P387" s="20">
        <f>ABS(K387)</f>
        <v>0</v>
      </c>
      <c r="Q387" s="20">
        <f t="shared" si="73"/>
        <v>0</v>
      </c>
    </row>
    <row r="388" spans="4:17" x14ac:dyDescent="0.35">
      <c r="D388" s="20" t="str">
        <f t="shared" si="68"/>
        <v/>
      </c>
      <c r="E388" s="23" t="str">
        <f t="shared" si="69"/>
        <v/>
      </c>
      <c r="F388" s="20" t="str">
        <f t="shared" ref="F388:F451" si="74">IF(D387&lt;=$B$5,((3*E388^2)-(4*E388)*(SIN(1.4*E388^3)^2))/((0.4*E388^2+1)^(1/4)),"")</f>
        <v/>
      </c>
      <c r="G388" s="20">
        <f t="shared" ref="G388:G451" si="75">IF(D388=$B$5+1,F388,0)</f>
        <v>0</v>
      </c>
      <c r="H388" s="20">
        <f t="shared" si="72"/>
        <v>0</v>
      </c>
      <c r="I388" s="20">
        <f t="shared" ref="I388:I451" si="76">IF(D387&lt;$B$5,F388*H388,0)</f>
        <v>0</v>
      </c>
      <c r="J388" s="20">
        <f t="shared" si="72"/>
        <v>1</v>
      </c>
      <c r="K388" s="20">
        <f t="shared" ref="K388:K451" si="77">IF(D387&lt;$B$5,F388*J388,0)</f>
        <v>0</v>
      </c>
      <c r="L388" s="20">
        <f t="shared" si="72"/>
        <v>0</v>
      </c>
      <c r="M388" s="20">
        <f t="shared" ref="M388:M451" si="78">IF(D387&lt;$B$5,F388*L388,0)</f>
        <v>0</v>
      </c>
      <c r="N388" s="20">
        <f>ABS(G388)</f>
        <v>0</v>
      </c>
      <c r="O388" s="20">
        <f>ABS(I388)</f>
        <v>0</v>
      </c>
      <c r="P388" s="20">
        <f>ABS(K388)</f>
        <v>0</v>
      </c>
      <c r="Q388" s="20">
        <f t="shared" si="73"/>
        <v>0</v>
      </c>
    </row>
    <row r="389" spans="4:17" x14ac:dyDescent="0.35">
      <c r="D389" s="20" t="str">
        <f t="shared" si="68"/>
        <v/>
      </c>
      <c r="E389" s="23" t="str">
        <f t="shared" si="69"/>
        <v/>
      </c>
      <c r="F389" s="20" t="str">
        <f t="shared" si="74"/>
        <v/>
      </c>
      <c r="G389" s="20">
        <f t="shared" si="75"/>
        <v>0</v>
      </c>
      <c r="H389" s="20">
        <f t="shared" si="72"/>
        <v>0</v>
      </c>
      <c r="I389" s="20">
        <f t="shared" si="76"/>
        <v>0</v>
      </c>
      <c r="J389" s="20">
        <f t="shared" si="72"/>
        <v>0</v>
      </c>
      <c r="K389" s="20">
        <f t="shared" si="77"/>
        <v>0</v>
      </c>
      <c r="L389" s="20">
        <f t="shared" si="72"/>
        <v>1</v>
      </c>
      <c r="M389" s="20">
        <f t="shared" si="78"/>
        <v>0</v>
      </c>
      <c r="N389" s="20">
        <f>ABS(G389)</f>
        <v>0</v>
      </c>
      <c r="O389" s="20">
        <f>ABS(I389)</f>
        <v>0</v>
      </c>
      <c r="P389" s="20">
        <f>ABS(K389)</f>
        <v>0</v>
      </c>
      <c r="Q389" s="20">
        <f t="shared" si="73"/>
        <v>0</v>
      </c>
    </row>
    <row r="390" spans="4:17" x14ac:dyDescent="0.35">
      <c r="D390" s="20" t="str">
        <f t="shared" si="68"/>
        <v/>
      </c>
      <c r="E390" s="23" t="str">
        <f t="shared" si="69"/>
        <v/>
      </c>
      <c r="F390" s="20" t="str">
        <f t="shared" si="74"/>
        <v/>
      </c>
      <c r="G390" s="20">
        <f t="shared" si="75"/>
        <v>0</v>
      </c>
      <c r="H390" s="20">
        <f t="shared" si="72"/>
        <v>1</v>
      </c>
      <c r="I390" s="20">
        <f t="shared" si="76"/>
        <v>0</v>
      </c>
      <c r="J390" s="20">
        <f t="shared" si="72"/>
        <v>0</v>
      </c>
      <c r="K390" s="20">
        <f t="shared" si="77"/>
        <v>0</v>
      </c>
      <c r="L390" s="20">
        <f t="shared" si="72"/>
        <v>0</v>
      </c>
      <c r="M390" s="20">
        <f t="shared" si="78"/>
        <v>0</v>
      </c>
      <c r="N390" s="20">
        <f>ABS(G390)</f>
        <v>0</v>
      </c>
      <c r="O390" s="20">
        <f>ABS(I390)</f>
        <v>0</v>
      </c>
      <c r="P390" s="20">
        <f>ABS(K390)</f>
        <v>0</v>
      </c>
      <c r="Q390" s="20">
        <f t="shared" si="73"/>
        <v>0</v>
      </c>
    </row>
    <row r="391" spans="4:17" x14ac:dyDescent="0.35">
      <c r="D391" s="20" t="str">
        <f t="shared" si="68"/>
        <v/>
      </c>
      <c r="E391" s="23" t="str">
        <f t="shared" si="69"/>
        <v/>
      </c>
      <c r="F391" s="20" t="str">
        <f t="shared" si="74"/>
        <v/>
      </c>
      <c r="G391" s="20">
        <f t="shared" si="75"/>
        <v>0</v>
      </c>
      <c r="H391" s="20">
        <f t="shared" ref="H391:L406" si="79">IF(H390+H389=0,1,0)</f>
        <v>0</v>
      </c>
      <c r="I391" s="20">
        <f t="shared" si="76"/>
        <v>0</v>
      </c>
      <c r="J391" s="20">
        <f t="shared" si="79"/>
        <v>1</v>
      </c>
      <c r="K391" s="20">
        <f t="shared" si="77"/>
        <v>0</v>
      </c>
      <c r="L391" s="20">
        <f t="shared" si="79"/>
        <v>0</v>
      </c>
      <c r="M391" s="20">
        <f t="shared" si="78"/>
        <v>0</v>
      </c>
      <c r="N391" s="20">
        <f>ABS(G391)</f>
        <v>0</v>
      </c>
      <c r="O391" s="20">
        <f>ABS(I391)</f>
        <v>0</v>
      </c>
      <c r="P391" s="20">
        <f>ABS(K391)</f>
        <v>0</v>
      </c>
      <c r="Q391" s="20">
        <f t="shared" si="73"/>
        <v>0</v>
      </c>
    </row>
    <row r="392" spans="4:17" x14ac:dyDescent="0.35">
      <c r="D392" s="20" t="str">
        <f t="shared" si="68"/>
        <v/>
      </c>
      <c r="E392" s="23" t="str">
        <f t="shared" si="69"/>
        <v/>
      </c>
      <c r="F392" s="20" t="str">
        <f t="shared" si="74"/>
        <v/>
      </c>
      <c r="G392" s="20">
        <f t="shared" si="75"/>
        <v>0</v>
      </c>
      <c r="H392" s="20">
        <f t="shared" si="79"/>
        <v>0</v>
      </c>
      <c r="I392" s="20">
        <f t="shared" si="76"/>
        <v>0</v>
      </c>
      <c r="J392" s="20">
        <f t="shared" si="79"/>
        <v>0</v>
      </c>
      <c r="K392" s="20">
        <f t="shared" si="77"/>
        <v>0</v>
      </c>
      <c r="L392" s="20">
        <f t="shared" si="79"/>
        <v>1</v>
      </c>
      <c r="M392" s="20">
        <f t="shared" si="78"/>
        <v>0</v>
      </c>
      <c r="N392" s="20">
        <f>ABS(G392)</f>
        <v>0</v>
      </c>
      <c r="O392" s="20">
        <f>ABS(I392)</f>
        <v>0</v>
      </c>
      <c r="P392" s="20">
        <f>ABS(K392)</f>
        <v>0</v>
      </c>
      <c r="Q392" s="20">
        <f t="shared" si="73"/>
        <v>0</v>
      </c>
    </row>
    <row r="393" spans="4:17" x14ac:dyDescent="0.35">
      <c r="D393" s="20" t="str">
        <f t="shared" si="68"/>
        <v/>
      </c>
      <c r="E393" s="23" t="str">
        <f t="shared" si="69"/>
        <v/>
      </c>
      <c r="F393" s="20" t="str">
        <f t="shared" si="74"/>
        <v/>
      </c>
      <c r="G393" s="20">
        <f t="shared" si="75"/>
        <v>0</v>
      </c>
      <c r="H393" s="20">
        <f t="shared" si="79"/>
        <v>1</v>
      </c>
      <c r="I393" s="20">
        <f t="shared" si="76"/>
        <v>0</v>
      </c>
      <c r="J393" s="20">
        <f t="shared" si="79"/>
        <v>0</v>
      </c>
      <c r="K393" s="20">
        <f t="shared" si="77"/>
        <v>0</v>
      </c>
      <c r="L393" s="20">
        <f t="shared" si="79"/>
        <v>0</v>
      </c>
      <c r="M393" s="20">
        <f t="shared" si="78"/>
        <v>0</v>
      </c>
      <c r="N393" s="20">
        <f>ABS(G393)</f>
        <v>0</v>
      </c>
      <c r="O393" s="20">
        <f>ABS(I393)</f>
        <v>0</v>
      </c>
      <c r="P393" s="20">
        <f>ABS(K393)</f>
        <v>0</v>
      </c>
      <c r="Q393" s="20">
        <f t="shared" si="73"/>
        <v>0</v>
      </c>
    </row>
    <row r="394" spans="4:17" x14ac:dyDescent="0.35">
      <c r="D394" s="20" t="str">
        <f t="shared" si="68"/>
        <v/>
      </c>
      <c r="E394" s="23" t="str">
        <f t="shared" si="69"/>
        <v/>
      </c>
      <c r="F394" s="20" t="str">
        <f t="shared" si="74"/>
        <v/>
      </c>
      <c r="G394" s="20">
        <f t="shared" si="75"/>
        <v>0</v>
      </c>
      <c r="H394" s="20">
        <f t="shared" si="79"/>
        <v>0</v>
      </c>
      <c r="I394" s="20">
        <f t="shared" si="76"/>
        <v>0</v>
      </c>
      <c r="J394" s="20">
        <f t="shared" si="79"/>
        <v>1</v>
      </c>
      <c r="K394" s="20">
        <f t="shared" si="77"/>
        <v>0</v>
      </c>
      <c r="L394" s="20">
        <f t="shared" si="79"/>
        <v>0</v>
      </c>
      <c r="M394" s="20">
        <f t="shared" si="78"/>
        <v>0</v>
      </c>
      <c r="N394" s="20">
        <f>ABS(G394)</f>
        <v>0</v>
      </c>
      <c r="O394" s="20">
        <f>ABS(I394)</f>
        <v>0</v>
      </c>
      <c r="P394" s="20">
        <f>ABS(K394)</f>
        <v>0</v>
      </c>
      <c r="Q394" s="20">
        <f t="shared" si="73"/>
        <v>0</v>
      </c>
    </row>
    <row r="395" spans="4:17" x14ac:dyDescent="0.35">
      <c r="D395" s="20" t="str">
        <f t="shared" si="68"/>
        <v/>
      </c>
      <c r="E395" s="23" t="str">
        <f t="shared" si="69"/>
        <v/>
      </c>
      <c r="F395" s="20" t="str">
        <f t="shared" si="74"/>
        <v/>
      </c>
      <c r="G395" s="20">
        <f t="shared" si="75"/>
        <v>0</v>
      </c>
      <c r="H395" s="20">
        <f t="shared" si="79"/>
        <v>0</v>
      </c>
      <c r="I395" s="20">
        <f t="shared" si="76"/>
        <v>0</v>
      </c>
      <c r="J395" s="20">
        <f t="shared" si="79"/>
        <v>0</v>
      </c>
      <c r="K395" s="20">
        <f t="shared" si="77"/>
        <v>0</v>
      </c>
      <c r="L395" s="20">
        <f t="shared" si="79"/>
        <v>1</v>
      </c>
      <c r="M395" s="20">
        <f t="shared" si="78"/>
        <v>0</v>
      </c>
      <c r="N395" s="20">
        <f>ABS(G395)</f>
        <v>0</v>
      </c>
      <c r="O395" s="20">
        <f>ABS(I395)</f>
        <v>0</v>
      </c>
      <c r="P395" s="20">
        <f>ABS(K395)</f>
        <v>0</v>
      </c>
      <c r="Q395" s="20">
        <f t="shared" si="73"/>
        <v>0</v>
      </c>
    </row>
    <row r="396" spans="4:17" x14ac:dyDescent="0.35">
      <c r="D396" s="20" t="str">
        <f t="shared" si="68"/>
        <v/>
      </c>
      <c r="E396" s="23" t="str">
        <f t="shared" si="69"/>
        <v/>
      </c>
      <c r="F396" s="20" t="str">
        <f t="shared" si="74"/>
        <v/>
      </c>
      <c r="G396" s="20">
        <f t="shared" si="75"/>
        <v>0</v>
      </c>
      <c r="H396" s="20">
        <f t="shared" si="79"/>
        <v>1</v>
      </c>
      <c r="I396" s="20">
        <f t="shared" si="76"/>
        <v>0</v>
      </c>
      <c r="J396" s="20">
        <f t="shared" si="79"/>
        <v>0</v>
      </c>
      <c r="K396" s="20">
        <f t="shared" si="77"/>
        <v>0</v>
      </c>
      <c r="L396" s="20">
        <f t="shared" si="79"/>
        <v>0</v>
      </c>
      <c r="M396" s="20">
        <f t="shared" si="78"/>
        <v>0</v>
      </c>
      <c r="N396" s="20">
        <f>ABS(G396)</f>
        <v>0</v>
      </c>
      <c r="O396" s="20">
        <f>ABS(I396)</f>
        <v>0</v>
      </c>
      <c r="P396" s="20">
        <f>ABS(K396)</f>
        <v>0</v>
      </c>
      <c r="Q396" s="20">
        <f t="shared" si="73"/>
        <v>0</v>
      </c>
    </row>
    <row r="397" spans="4:17" x14ac:dyDescent="0.35">
      <c r="D397" s="20" t="str">
        <f t="shared" si="68"/>
        <v/>
      </c>
      <c r="E397" s="23" t="str">
        <f t="shared" si="69"/>
        <v/>
      </c>
      <c r="F397" s="20" t="str">
        <f t="shared" si="74"/>
        <v/>
      </c>
      <c r="G397" s="20">
        <f t="shared" si="75"/>
        <v>0</v>
      </c>
      <c r="H397" s="20">
        <f t="shared" si="79"/>
        <v>0</v>
      </c>
      <c r="I397" s="20">
        <f t="shared" si="76"/>
        <v>0</v>
      </c>
      <c r="J397" s="20">
        <f t="shared" si="79"/>
        <v>1</v>
      </c>
      <c r="K397" s="20">
        <f t="shared" si="77"/>
        <v>0</v>
      </c>
      <c r="L397" s="20">
        <f t="shared" si="79"/>
        <v>0</v>
      </c>
      <c r="M397" s="20">
        <f t="shared" si="78"/>
        <v>0</v>
      </c>
      <c r="N397" s="20">
        <f>ABS(G397)</f>
        <v>0</v>
      </c>
      <c r="O397" s="20">
        <f>ABS(I397)</f>
        <v>0</v>
      </c>
      <c r="P397" s="20">
        <f>ABS(K397)</f>
        <v>0</v>
      </c>
      <c r="Q397" s="20">
        <f t="shared" si="73"/>
        <v>0</v>
      </c>
    </row>
    <row r="398" spans="4:17" x14ac:dyDescent="0.35">
      <c r="D398" s="20" t="str">
        <f t="shared" si="68"/>
        <v/>
      </c>
      <c r="E398" s="23" t="str">
        <f t="shared" si="69"/>
        <v/>
      </c>
      <c r="F398" s="20" t="str">
        <f t="shared" si="74"/>
        <v/>
      </c>
      <c r="G398" s="20">
        <f t="shared" si="75"/>
        <v>0</v>
      </c>
      <c r="H398" s="20">
        <f t="shared" si="79"/>
        <v>0</v>
      </c>
      <c r="I398" s="20">
        <f t="shared" si="76"/>
        <v>0</v>
      </c>
      <c r="J398" s="20">
        <f t="shared" si="79"/>
        <v>0</v>
      </c>
      <c r="K398" s="20">
        <f t="shared" si="77"/>
        <v>0</v>
      </c>
      <c r="L398" s="20">
        <f t="shared" si="79"/>
        <v>1</v>
      </c>
      <c r="M398" s="20">
        <f t="shared" si="78"/>
        <v>0</v>
      </c>
      <c r="N398" s="20">
        <f>ABS(G398)</f>
        <v>0</v>
      </c>
      <c r="O398" s="20">
        <f>ABS(I398)</f>
        <v>0</v>
      </c>
      <c r="P398" s="20">
        <f>ABS(K398)</f>
        <v>0</v>
      </c>
      <c r="Q398" s="20">
        <f t="shared" si="73"/>
        <v>0</v>
      </c>
    </row>
    <row r="399" spans="4:17" x14ac:dyDescent="0.35">
      <c r="D399" s="20" t="str">
        <f t="shared" si="68"/>
        <v/>
      </c>
      <c r="E399" s="23" t="str">
        <f t="shared" si="69"/>
        <v/>
      </c>
      <c r="F399" s="20" t="str">
        <f t="shared" si="74"/>
        <v/>
      </c>
      <c r="G399" s="20">
        <f t="shared" si="75"/>
        <v>0</v>
      </c>
      <c r="H399" s="20">
        <f t="shared" si="79"/>
        <v>1</v>
      </c>
      <c r="I399" s="20">
        <f t="shared" si="76"/>
        <v>0</v>
      </c>
      <c r="J399" s="20">
        <f t="shared" si="79"/>
        <v>0</v>
      </c>
      <c r="K399" s="20">
        <f t="shared" si="77"/>
        <v>0</v>
      </c>
      <c r="L399" s="20">
        <f t="shared" si="79"/>
        <v>0</v>
      </c>
      <c r="M399" s="20">
        <f t="shared" si="78"/>
        <v>0</v>
      </c>
      <c r="N399" s="20">
        <f>ABS(G399)</f>
        <v>0</v>
      </c>
      <c r="O399" s="20">
        <f>ABS(I399)</f>
        <v>0</v>
      </c>
      <c r="P399" s="20">
        <f>ABS(K399)</f>
        <v>0</v>
      </c>
      <c r="Q399" s="20">
        <f t="shared" si="73"/>
        <v>0</v>
      </c>
    </row>
    <row r="400" spans="4:17" x14ac:dyDescent="0.35">
      <c r="D400" s="20" t="str">
        <f t="shared" si="68"/>
        <v/>
      </c>
      <c r="E400" s="23" t="str">
        <f t="shared" si="69"/>
        <v/>
      </c>
      <c r="F400" s="20" t="str">
        <f t="shared" si="74"/>
        <v/>
      </c>
      <c r="G400" s="20">
        <f t="shared" si="75"/>
        <v>0</v>
      </c>
      <c r="H400" s="20">
        <f t="shared" si="79"/>
        <v>0</v>
      </c>
      <c r="I400" s="20">
        <f t="shared" si="76"/>
        <v>0</v>
      </c>
      <c r="J400" s="20">
        <f t="shared" si="79"/>
        <v>1</v>
      </c>
      <c r="K400" s="20">
        <f t="shared" si="77"/>
        <v>0</v>
      </c>
      <c r="L400" s="20">
        <f t="shared" si="79"/>
        <v>0</v>
      </c>
      <c r="M400" s="20">
        <f t="shared" si="78"/>
        <v>0</v>
      </c>
      <c r="N400" s="20">
        <f>ABS(G400)</f>
        <v>0</v>
      </c>
      <c r="O400" s="20">
        <f>ABS(I400)</f>
        <v>0</v>
      </c>
      <c r="P400" s="20">
        <f>ABS(K400)</f>
        <v>0</v>
      </c>
      <c r="Q400" s="20">
        <f t="shared" si="73"/>
        <v>0</v>
      </c>
    </row>
    <row r="401" spans="4:17" x14ac:dyDescent="0.35">
      <c r="D401" s="20" t="str">
        <f t="shared" si="68"/>
        <v/>
      </c>
      <c r="E401" s="23" t="str">
        <f t="shared" si="69"/>
        <v/>
      </c>
      <c r="F401" s="20" t="str">
        <f t="shared" si="74"/>
        <v/>
      </c>
      <c r="G401" s="20">
        <f t="shared" si="75"/>
        <v>0</v>
      </c>
      <c r="H401" s="20">
        <f t="shared" si="79"/>
        <v>0</v>
      </c>
      <c r="I401" s="20">
        <f t="shared" si="76"/>
        <v>0</v>
      </c>
      <c r="J401" s="20">
        <f t="shared" si="79"/>
        <v>0</v>
      </c>
      <c r="K401" s="20">
        <f t="shared" si="77"/>
        <v>0</v>
      </c>
      <c r="L401" s="20">
        <f t="shared" si="79"/>
        <v>1</v>
      </c>
      <c r="M401" s="20">
        <f t="shared" si="78"/>
        <v>0</v>
      </c>
      <c r="N401" s="20">
        <f>ABS(G401)</f>
        <v>0</v>
      </c>
      <c r="O401" s="20">
        <f>ABS(I401)</f>
        <v>0</v>
      </c>
      <c r="P401" s="20">
        <f>ABS(K401)</f>
        <v>0</v>
      </c>
      <c r="Q401" s="20">
        <f t="shared" si="73"/>
        <v>0</v>
      </c>
    </row>
    <row r="402" spans="4:17" x14ac:dyDescent="0.35">
      <c r="D402" s="20" t="str">
        <f t="shared" si="68"/>
        <v/>
      </c>
      <c r="E402" s="23" t="str">
        <f t="shared" si="69"/>
        <v/>
      </c>
      <c r="F402" s="20" t="str">
        <f t="shared" si="74"/>
        <v/>
      </c>
      <c r="G402" s="20">
        <f t="shared" si="75"/>
        <v>0</v>
      </c>
      <c r="H402" s="20">
        <f t="shared" si="79"/>
        <v>1</v>
      </c>
      <c r="I402" s="20">
        <f t="shared" si="76"/>
        <v>0</v>
      </c>
      <c r="J402" s="20">
        <f t="shared" si="79"/>
        <v>0</v>
      </c>
      <c r="K402" s="20">
        <f t="shared" si="77"/>
        <v>0</v>
      </c>
      <c r="L402" s="20">
        <f t="shared" si="79"/>
        <v>0</v>
      </c>
      <c r="M402" s="20">
        <f t="shared" si="78"/>
        <v>0</v>
      </c>
      <c r="N402" s="20">
        <f>ABS(G402)</f>
        <v>0</v>
      </c>
      <c r="O402" s="20">
        <f>ABS(I402)</f>
        <v>0</v>
      </c>
      <c r="P402" s="20">
        <f>ABS(K402)</f>
        <v>0</v>
      </c>
      <c r="Q402" s="20">
        <f t="shared" si="73"/>
        <v>0</v>
      </c>
    </row>
    <row r="403" spans="4:17" x14ac:dyDescent="0.35">
      <c r="D403" s="20" t="str">
        <f t="shared" si="68"/>
        <v/>
      </c>
      <c r="E403" s="23" t="str">
        <f t="shared" si="69"/>
        <v/>
      </c>
      <c r="F403" s="20" t="str">
        <f t="shared" si="74"/>
        <v/>
      </c>
      <c r="G403" s="20">
        <f t="shared" si="75"/>
        <v>0</v>
      </c>
      <c r="H403" s="20">
        <f t="shared" si="79"/>
        <v>0</v>
      </c>
      <c r="I403" s="20">
        <f t="shared" si="76"/>
        <v>0</v>
      </c>
      <c r="J403" s="20">
        <f t="shared" si="79"/>
        <v>1</v>
      </c>
      <c r="K403" s="20">
        <f t="shared" si="77"/>
        <v>0</v>
      </c>
      <c r="L403" s="20">
        <f t="shared" si="79"/>
        <v>0</v>
      </c>
      <c r="M403" s="20">
        <f t="shared" si="78"/>
        <v>0</v>
      </c>
      <c r="N403" s="20">
        <f>ABS(G403)</f>
        <v>0</v>
      </c>
      <c r="O403" s="20">
        <f>ABS(I403)</f>
        <v>0</v>
      </c>
      <c r="P403" s="20">
        <f>ABS(K403)</f>
        <v>0</v>
      </c>
      <c r="Q403" s="20">
        <f t="shared" si="73"/>
        <v>0</v>
      </c>
    </row>
    <row r="404" spans="4:17" x14ac:dyDescent="0.35">
      <c r="D404" s="20" t="str">
        <f t="shared" si="68"/>
        <v/>
      </c>
      <c r="E404" s="23" t="str">
        <f t="shared" si="69"/>
        <v/>
      </c>
      <c r="F404" s="20" t="str">
        <f t="shared" si="74"/>
        <v/>
      </c>
      <c r="G404" s="20">
        <f t="shared" si="75"/>
        <v>0</v>
      </c>
      <c r="H404" s="20">
        <f t="shared" si="79"/>
        <v>0</v>
      </c>
      <c r="I404" s="20">
        <f t="shared" si="76"/>
        <v>0</v>
      </c>
      <c r="J404" s="20">
        <f t="shared" si="79"/>
        <v>0</v>
      </c>
      <c r="K404" s="20">
        <f t="shared" si="77"/>
        <v>0</v>
      </c>
      <c r="L404" s="20">
        <f t="shared" si="79"/>
        <v>1</v>
      </c>
      <c r="M404" s="20">
        <f t="shared" si="78"/>
        <v>0</v>
      </c>
      <c r="N404" s="20">
        <f>ABS(G404)</f>
        <v>0</v>
      </c>
      <c r="O404" s="20">
        <f>ABS(I404)</f>
        <v>0</v>
      </c>
      <c r="P404" s="20">
        <f>ABS(K404)</f>
        <v>0</v>
      </c>
      <c r="Q404" s="20">
        <f t="shared" si="73"/>
        <v>0</v>
      </c>
    </row>
    <row r="405" spans="4:17" x14ac:dyDescent="0.35">
      <c r="D405" s="20" t="str">
        <f t="shared" si="68"/>
        <v/>
      </c>
      <c r="E405" s="23" t="str">
        <f t="shared" si="69"/>
        <v/>
      </c>
      <c r="F405" s="20" t="str">
        <f t="shared" si="74"/>
        <v/>
      </c>
      <c r="G405" s="20">
        <f t="shared" si="75"/>
        <v>0</v>
      </c>
      <c r="H405" s="20">
        <f t="shared" si="79"/>
        <v>1</v>
      </c>
      <c r="I405" s="20">
        <f t="shared" si="76"/>
        <v>0</v>
      </c>
      <c r="J405" s="20">
        <f t="shared" si="79"/>
        <v>0</v>
      </c>
      <c r="K405" s="20">
        <f t="shared" si="77"/>
        <v>0</v>
      </c>
      <c r="L405" s="20">
        <f t="shared" si="79"/>
        <v>0</v>
      </c>
      <c r="M405" s="20">
        <f t="shared" si="78"/>
        <v>0</v>
      </c>
      <c r="N405" s="20">
        <f>ABS(G405)</f>
        <v>0</v>
      </c>
      <c r="O405" s="20">
        <f>ABS(I405)</f>
        <v>0</v>
      </c>
      <c r="P405" s="20">
        <f>ABS(K405)</f>
        <v>0</v>
      </c>
      <c r="Q405" s="20">
        <f t="shared" si="73"/>
        <v>0</v>
      </c>
    </row>
    <row r="406" spans="4:17" x14ac:dyDescent="0.35">
      <c r="D406" s="20" t="str">
        <f t="shared" si="68"/>
        <v/>
      </c>
      <c r="E406" s="23" t="str">
        <f t="shared" si="69"/>
        <v/>
      </c>
      <c r="F406" s="20" t="str">
        <f t="shared" si="74"/>
        <v/>
      </c>
      <c r="G406" s="20">
        <f t="shared" si="75"/>
        <v>0</v>
      </c>
      <c r="H406" s="20">
        <f t="shared" si="79"/>
        <v>0</v>
      </c>
      <c r="I406" s="20">
        <f t="shared" si="76"/>
        <v>0</v>
      </c>
      <c r="J406" s="20">
        <f t="shared" si="79"/>
        <v>1</v>
      </c>
      <c r="K406" s="20">
        <f t="shared" si="77"/>
        <v>0</v>
      </c>
      <c r="L406" s="20">
        <f t="shared" si="79"/>
        <v>0</v>
      </c>
      <c r="M406" s="20">
        <f t="shared" si="78"/>
        <v>0</v>
      </c>
      <c r="N406" s="20">
        <f>ABS(G406)</f>
        <v>0</v>
      </c>
      <c r="O406" s="20">
        <f>ABS(I406)</f>
        <v>0</v>
      </c>
      <c r="P406" s="20">
        <f>ABS(K406)</f>
        <v>0</v>
      </c>
      <c r="Q406" s="20">
        <f t="shared" si="73"/>
        <v>0</v>
      </c>
    </row>
    <row r="407" spans="4:17" x14ac:dyDescent="0.35">
      <c r="D407" s="20" t="str">
        <f t="shared" ref="D407:D470" si="80">IF(D406&lt;=$B$5,D406+1,"")</f>
        <v/>
      </c>
      <c r="E407" s="23" t="str">
        <f t="shared" ref="E407:E470" si="81">IF(D406&lt;=$B$5,E406+$B$6,"")</f>
        <v/>
      </c>
      <c r="F407" s="20" t="str">
        <f t="shared" si="74"/>
        <v/>
      </c>
      <c r="G407" s="20">
        <f t="shared" si="75"/>
        <v>0</v>
      </c>
      <c r="H407" s="20">
        <f t="shared" ref="H407:L422" si="82">IF(H406+H405=0,1,0)</f>
        <v>0</v>
      </c>
      <c r="I407" s="20">
        <f t="shared" si="76"/>
        <v>0</v>
      </c>
      <c r="J407" s="20">
        <f t="shared" si="82"/>
        <v>0</v>
      </c>
      <c r="K407" s="20">
        <f t="shared" si="77"/>
        <v>0</v>
      </c>
      <c r="L407" s="20">
        <f t="shared" si="82"/>
        <v>1</v>
      </c>
      <c r="M407" s="20">
        <f t="shared" si="78"/>
        <v>0</v>
      </c>
      <c r="N407" s="20">
        <f>ABS(G407)</f>
        <v>0</v>
      </c>
      <c r="O407" s="20">
        <f>ABS(I407)</f>
        <v>0</v>
      </c>
      <c r="P407" s="20">
        <f>ABS(K407)</f>
        <v>0</v>
      </c>
      <c r="Q407" s="20">
        <f t="shared" si="73"/>
        <v>0</v>
      </c>
    </row>
    <row r="408" spans="4:17" x14ac:dyDescent="0.35">
      <c r="D408" s="20" t="str">
        <f t="shared" si="80"/>
        <v/>
      </c>
      <c r="E408" s="23" t="str">
        <f t="shared" si="81"/>
        <v/>
      </c>
      <c r="F408" s="20" t="str">
        <f t="shared" si="74"/>
        <v/>
      </c>
      <c r="G408" s="20">
        <f t="shared" si="75"/>
        <v>0</v>
      </c>
      <c r="H408" s="20">
        <f t="shared" si="82"/>
        <v>1</v>
      </c>
      <c r="I408" s="20">
        <f t="shared" si="76"/>
        <v>0</v>
      </c>
      <c r="J408" s="20">
        <f t="shared" si="82"/>
        <v>0</v>
      </c>
      <c r="K408" s="20">
        <f t="shared" si="77"/>
        <v>0</v>
      </c>
      <c r="L408" s="20">
        <f t="shared" si="82"/>
        <v>0</v>
      </c>
      <c r="M408" s="20">
        <f t="shared" si="78"/>
        <v>0</v>
      </c>
      <c r="N408" s="20">
        <f>ABS(G408)</f>
        <v>0</v>
      </c>
      <c r="O408" s="20">
        <f>ABS(I408)</f>
        <v>0</v>
      </c>
      <c r="P408" s="20">
        <f>ABS(K408)</f>
        <v>0</v>
      </c>
      <c r="Q408" s="20">
        <f t="shared" si="73"/>
        <v>0</v>
      </c>
    </row>
    <row r="409" spans="4:17" x14ac:dyDescent="0.35">
      <c r="D409" s="20" t="str">
        <f t="shared" si="80"/>
        <v/>
      </c>
      <c r="E409" s="23" t="str">
        <f t="shared" si="81"/>
        <v/>
      </c>
      <c r="F409" s="20" t="str">
        <f t="shared" si="74"/>
        <v/>
      </c>
      <c r="G409" s="20">
        <f t="shared" si="75"/>
        <v>0</v>
      </c>
      <c r="H409" s="20">
        <f t="shared" si="82"/>
        <v>0</v>
      </c>
      <c r="I409" s="20">
        <f t="shared" si="76"/>
        <v>0</v>
      </c>
      <c r="J409" s="20">
        <f t="shared" si="82"/>
        <v>1</v>
      </c>
      <c r="K409" s="20">
        <f t="shared" si="77"/>
        <v>0</v>
      </c>
      <c r="L409" s="20">
        <f t="shared" si="82"/>
        <v>0</v>
      </c>
      <c r="M409" s="20">
        <f t="shared" si="78"/>
        <v>0</v>
      </c>
      <c r="N409" s="20">
        <f>ABS(G409)</f>
        <v>0</v>
      </c>
      <c r="O409" s="20">
        <f>ABS(I409)</f>
        <v>0</v>
      </c>
      <c r="P409" s="20">
        <f>ABS(K409)</f>
        <v>0</v>
      </c>
      <c r="Q409" s="20">
        <f t="shared" si="73"/>
        <v>0</v>
      </c>
    </row>
    <row r="410" spans="4:17" x14ac:dyDescent="0.35">
      <c r="D410" s="20" t="str">
        <f t="shared" si="80"/>
        <v/>
      </c>
      <c r="E410" s="23" t="str">
        <f t="shared" si="81"/>
        <v/>
      </c>
      <c r="F410" s="20" t="str">
        <f t="shared" si="74"/>
        <v/>
      </c>
      <c r="G410" s="20">
        <f t="shared" si="75"/>
        <v>0</v>
      </c>
      <c r="H410" s="20">
        <f t="shared" si="82"/>
        <v>0</v>
      </c>
      <c r="I410" s="20">
        <f t="shared" si="76"/>
        <v>0</v>
      </c>
      <c r="J410" s="20">
        <f t="shared" si="82"/>
        <v>0</v>
      </c>
      <c r="K410" s="20">
        <f t="shared" si="77"/>
        <v>0</v>
      </c>
      <c r="L410" s="20">
        <f t="shared" si="82"/>
        <v>1</v>
      </c>
      <c r="M410" s="20">
        <f t="shared" si="78"/>
        <v>0</v>
      </c>
      <c r="N410" s="20">
        <f>ABS(G410)</f>
        <v>0</v>
      </c>
      <c r="O410" s="20">
        <f>ABS(I410)</f>
        <v>0</v>
      </c>
      <c r="P410" s="20">
        <f>ABS(K410)</f>
        <v>0</v>
      </c>
      <c r="Q410" s="20">
        <f t="shared" si="73"/>
        <v>0</v>
      </c>
    </row>
    <row r="411" spans="4:17" x14ac:dyDescent="0.35">
      <c r="D411" s="20" t="str">
        <f t="shared" si="80"/>
        <v/>
      </c>
      <c r="E411" s="23" t="str">
        <f t="shared" si="81"/>
        <v/>
      </c>
      <c r="F411" s="20" t="str">
        <f t="shared" si="74"/>
        <v/>
      </c>
      <c r="G411" s="20">
        <f t="shared" si="75"/>
        <v>0</v>
      </c>
      <c r="H411" s="20">
        <f t="shared" si="82"/>
        <v>1</v>
      </c>
      <c r="I411" s="20">
        <f t="shared" si="76"/>
        <v>0</v>
      </c>
      <c r="J411" s="20">
        <f t="shared" si="82"/>
        <v>0</v>
      </c>
      <c r="K411" s="20">
        <f t="shared" si="77"/>
        <v>0</v>
      </c>
      <c r="L411" s="20">
        <f t="shared" si="82"/>
        <v>0</v>
      </c>
      <c r="M411" s="20">
        <f t="shared" si="78"/>
        <v>0</v>
      </c>
      <c r="N411" s="20">
        <f>ABS(G411)</f>
        <v>0</v>
      </c>
      <c r="O411" s="20">
        <f>ABS(I411)</f>
        <v>0</v>
      </c>
      <c r="P411" s="20">
        <f>ABS(K411)</f>
        <v>0</v>
      </c>
      <c r="Q411" s="20">
        <f t="shared" si="73"/>
        <v>0</v>
      </c>
    </row>
    <row r="412" spans="4:17" x14ac:dyDescent="0.35">
      <c r="D412" s="20" t="str">
        <f t="shared" si="80"/>
        <v/>
      </c>
      <c r="E412" s="23" t="str">
        <f t="shared" si="81"/>
        <v/>
      </c>
      <c r="F412" s="20" t="str">
        <f t="shared" si="74"/>
        <v/>
      </c>
      <c r="G412" s="20">
        <f t="shared" si="75"/>
        <v>0</v>
      </c>
      <c r="H412" s="20">
        <f t="shared" si="82"/>
        <v>0</v>
      </c>
      <c r="I412" s="20">
        <f t="shared" si="76"/>
        <v>0</v>
      </c>
      <c r="J412" s="20">
        <f t="shared" si="82"/>
        <v>1</v>
      </c>
      <c r="K412" s="20">
        <f t="shared" si="77"/>
        <v>0</v>
      </c>
      <c r="L412" s="20">
        <f t="shared" si="82"/>
        <v>0</v>
      </c>
      <c r="M412" s="20">
        <f t="shared" si="78"/>
        <v>0</v>
      </c>
      <c r="N412" s="20">
        <f>ABS(G412)</f>
        <v>0</v>
      </c>
      <c r="O412" s="20">
        <f>ABS(I412)</f>
        <v>0</v>
      </c>
      <c r="P412" s="20">
        <f>ABS(K412)</f>
        <v>0</v>
      </c>
      <c r="Q412" s="20">
        <f t="shared" si="73"/>
        <v>0</v>
      </c>
    </row>
    <row r="413" spans="4:17" x14ac:dyDescent="0.35">
      <c r="D413" s="20" t="str">
        <f t="shared" si="80"/>
        <v/>
      </c>
      <c r="E413" s="23" t="str">
        <f t="shared" si="81"/>
        <v/>
      </c>
      <c r="F413" s="20" t="str">
        <f t="shared" si="74"/>
        <v/>
      </c>
      <c r="G413" s="20">
        <f t="shared" si="75"/>
        <v>0</v>
      </c>
      <c r="H413" s="20">
        <f t="shared" si="82"/>
        <v>0</v>
      </c>
      <c r="I413" s="20">
        <f t="shared" si="76"/>
        <v>0</v>
      </c>
      <c r="J413" s="20">
        <f t="shared" si="82"/>
        <v>0</v>
      </c>
      <c r="K413" s="20">
        <f t="shared" si="77"/>
        <v>0</v>
      </c>
      <c r="L413" s="20">
        <f t="shared" si="82"/>
        <v>1</v>
      </c>
      <c r="M413" s="20">
        <f t="shared" si="78"/>
        <v>0</v>
      </c>
      <c r="N413" s="20">
        <f>ABS(G413)</f>
        <v>0</v>
      </c>
      <c r="O413" s="20">
        <f>ABS(I413)</f>
        <v>0</v>
      </c>
      <c r="P413" s="20">
        <f>ABS(K413)</f>
        <v>0</v>
      </c>
      <c r="Q413" s="20">
        <f t="shared" si="73"/>
        <v>0</v>
      </c>
    </row>
    <row r="414" spans="4:17" x14ac:dyDescent="0.35">
      <c r="D414" s="20" t="str">
        <f t="shared" si="80"/>
        <v/>
      </c>
      <c r="E414" s="23" t="str">
        <f t="shared" si="81"/>
        <v/>
      </c>
      <c r="F414" s="20" t="str">
        <f t="shared" si="74"/>
        <v/>
      </c>
      <c r="G414" s="20">
        <f t="shared" si="75"/>
        <v>0</v>
      </c>
      <c r="H414" s="20">
        <f t="shared" si="82"/>
        <v>1</v>
      </c>
      <c r="I414" s="20">
        <f t="shared" si="76"/>
        <v>0</v>
      </c>
      <c r="J414" s="20">
        <f t="shared" si="82"/>
        <v>0</v>
      </c>
      <c r="K414" s="20">
        <f t="shared" si="77"/>
        <v>0</v>
      </c>
      <c r="L414" s="20">
        <f t="shared" si="82"/>
        <v>0</v>
      </c>
      <c r="M414" s="20">
        <f t="shared" si="78"/>
        <v>0</v>
      </c>
      <c r="N414" s="20">
        <f>ABS(G414)</f>
        <v>0</v>
      </c>
      <c r="O414" s="20">
        <f>ABS(I414)</f>
        <v>0</v>
      </c>
      <c r="P414" s="20">
        <f>ABS(K414)</f>
        <v>0</v>
      </c>
      <c r="Q414" s="20">
        <f t="shared" si="73"/>
        <v>0</v>
      </c>
    </row>
    <row r="415" spans="4:17" x14ac:dyDescent="0.35">
      <c r="D415" s="20" t="str">
        <f t="shared" si="80"/>
        <v/>
      </c>
      <c r="E415" s="23" t="str">
        <f t="shared" si="81"/>
        <v/>
      </c>
      <c r="F415" s="20" t="str">
        <f t="shared" si="74"/>
        <v/>
      </c>
      <c r="G415" s="20">
        <f t="shared" si="75"/>
        <v>0</v>
      </c>
      <c r="H415" s="20">
        <f t="shared" si="82"/>
        <v>0</v>
      </c>
      <c r="I415" s="20">
        <f t="shared" si="76"/>
        <v>0</v>
      </c>
      <c r="J415" s="20">
        <f t="shared" si="82"/>
        <v>1</v>
      </c>
      <c r="K415" s="20">
        <f t="shared" si="77"/>
        <v>0</v>
      </c>
      <c r="L415" s="20">
        <f t="shared" si="82"/>
        <v>0</v>
      </c>
      <c r="M415" s="20">
        <f t="shared" si="78"/>
        <v>0</v>
      </c>
      <c r="N415" s="20">
        <f>ABS(G415)</f>
        <v>0</v>
      </c>
      <c r="O415" s="20">
        <f>ABS(I415)</f>
        <v>0</v>
      </c>
      <c r="P415" s="20">
        <f>ABS(K415)</f>
        <v>0</v>
      </c>
      <c r="Q415" s="20">
        <f t="shared" si="73"/>
        <v>0</v>
      </c>
    </row>
    <row r="416" spans="4:17" x14ac:dyDescent="0.35">
      <c r="D416" s="20" t="str">
        <f t="shared" si="80"/>
        <v/>
      </c>
      <c r="E416" s="23" t="str">
        <f t="shared" si="81"/>
        <v/>
      </c>
      <c r="F416" s="20" t="str">
        <f t="shared" si="74"/>
        <v/>
      </c>
      <c r="G416" s="20">
        <f t="shared" si="75"/>
        <v>0</v>
      </c>
      <c r="H416" s="20">
        <f t="shared" si="82"/>
        <v>0</v>
      </c>
      <c r="I416" s="20">
        <f t="shared" si="76"/>
        <v>0</v>
      </c>
      <c r="J416" s="20">
        <f t="shared" si="82"/>
        <v>0</v>
      </c>
      <c r="K416" s="20">
        <f t="shared" si="77"/>
        <v>0</v>
      </c>
      <c r="L416" s="20">
        <f t="shared" si="82"/>
        <v>1</v>
      </c>
      <c r="M416" s="20">
        <f t="shared" si="78"/>
        <v>0</v>
      </c>
      <c r="N416" s="20">
        <f>ABS(G416)</f>
        <v>0</v>
      </c>
      <c r="O416" s="20">
        <f>ABS(I416)</f>
        <v>0</v>
      </c>
      <c r="P416" s="20">
        <f>ABS(K416)</f>
        <v>0</v>
      </c>
      <c r="Q416" s="20">
        <f t="shared" si="73"/>
        <v>0</v>
      </c>
    </row>
    <row r="417" spans="4:17" x14ac:dyDescent="0.35">
      <c r="D417" s="20" t="str">
        <f t="shared" si="80"/>
        <v/>
      </c>
      <c r="E417" s="23" t="str">
        <f t="shared" si="81"/>
        <v/>
      </c>
      <c r="F417" s="20" t="str">
        <f t="shared" si="74"/>
        <v/>
      </c>
      <c r="G417" s="20">
        <f t="shared" si="75"/>
        <v>0</v>
      </c>
      <c r="H417" s="20">
        <f t="shared" si="82"/>
        <v>1</v>
      </c>
      <c r="I417" s="20">
        <f t="shared" si="76"/>
        <v>0</v>
      </c>
      <c r="J417" s="20">
        <f t="shared" si="82"/>
        <v>0</v>
      </c>
      <c r="K417" s="20">
        <f t="shared" si="77"/>
        <v>0</v>
      </c>
      <c r="L417" s="20">
        <f t="shared" si="82"/>
        <v>0</v>
      </c>
      <c r="M417" s="20">
        <f t="shared" si="78"/>
        <v>0</v>
      </c>
      <c r="N417" s="20">
        <f>ABS(G417)</f>
        <v>0</v>
      </c>
      <c r="O417" s="20">
        <f>ABS(I417)</f>
        <v>0</v>
      </c>
      <c r="P417" s="20">
        <f>ABS(K417)</f>
        <v>0</v>
      </c>
      <c r="Q417" s="20">
        <f t="shared" si="73"/>
        <v>0</v>
      </c>
    </row>
    <row r="418" spans="4:17" x14ac:dyDescent="0.35">
      <c r="D418" s="20" t="str">
        <f t="shared" si="80"/>
        <v/>
      </c>
      <c r="E418" s="23" t="str">
        <f t="shared" si="81"/>
        <v/>
      </c>
      <c r="F418" s="20" t="str">
        <f t="shared" si="74"/>
        <v/>
      </c>
      <c r="G418" s="20">
        <f t="shared" si="75"/>
        <v>0</v>
      </c>
      <c r="H418" s="20">
        <f t="shared" si="82"/>
        <v>0</v>
      </c>
      <c r="I418" s="20">
        <f t="shared" si="76"/>
        <v>0</v>
      </c>
      <c r="J418" s="20">
        <f t="shared" si="82"/>
        <v>1</v>
      </c>
      <c r="K418" s="20">
        <f t="shared" si="77"/>
        <v>0</v>
      </c>
      <c r="L418" s="20">
        <f t="shared" si="82"/>
        <v>0</v>
      </c>
      <c r="M418" s="20">
        <f t="shared" si="78"/>
        <v>0</v>
      </c>
      <c r="N418" s="20">
        <f>ABS(G418)</f>
        <v>0</v>
      </c>
      <c r="O418" s="20">
        <f>ABS(I418)</f>
        <v>0</v>
      </c>
      <c r="P418" s="20">
        <f>ABS(K418)</f>
        <v>0</v>
      </c>
      <c r="Q418" s="20">
        <f t="shared" si="73"/>
        <v>0</v>
      </c>
    </row>
    <row r="419" spans="4:17" x14ac:dyDescent="0.35">
      <c r="D419" s="20" t="str">
        <f t="shared" si="80"/>
        <v/>
      </c>
      <c r="E419" s="23" t="str">
        <f t="shared" si="81"/>
        <v/>
      </c>
      <c r="F419" s="20" t="str">
        <f t="shared" si="74"/>
        <v/>
      </c>
      <c r="G419" s="20">
        <f t="shared" si="75"/>
        <v>0</v>
      </c>
      <c r="H419" s="20">
        <f t="shared" si="82"/>
        <v>0</v>
      </c>
      <c r="I419" s="20">
        <f t="shared" si="76"/>
        <v>0</v>
      </c>
      <c r="J419" s="20">
        <f t="shared" si="82"/>
        <v>0</v>
      </c>
      <c r="K419" s="20">
        <f t="shared" si="77"/>
        <v>0</v>
      </c>
      <c r="L419" s="20">
        <f t="shared" si="82"/>
        <v>1</v>
      </c>
      <c r="M419" s="20">
        <f t="shared" si="78"/>
        <v>0</v>
      </c>
      <c r="N419" s="20">
        <f>ABS(G419)</f>
        <v>0</v>
      </c>
      <c r="O419" s="20">
        <f>ABS(I419)</f>
        <v>0</v>
      </c>
      <c r="P419" s="20">
        <f>ABS(K419)</f>
        <v>0</v>
      </c>
      <c r="Q419" s="20">
        <f t="shared" si="73"/>
        <v>0</v>
      </c>
    </row>
    <row r="420" spans="4:17" x14ac:dyDescent="0.35">
      <c r="D420" s="20" t="str">
        <f t="shared" si="80"/>
        <v/>
      </c>
      <c r="E420" s="23" t="str">
        <f t="shared" si="81"/>
        <v/>
      </c>
      <c r="F420" s="20" t="str">
        <f t="shared" si="74"/>
        <v/>
      </c>
      <c r="G420" s="20">
        <f t="shared" si="75"/>
        <v>0</v>
      </c>
      <c r="H420" s="20">
        <f t="shared" si="82"/>
        <v>1</v>
      </c>
      <c r="I420" s="20">
        <f t="shared" si="76"/>
        <v>0</v>
      </c>
      <c r="J420" s="20">
        <f t="shared" si="82"/>
        <v>0</v>
      </c>
      <c r="K420" s="20">
        <f t="shared" si="77"/>
        <v>0</v>
      </c>
      <c r="L420" s="20">
        <f t="shared" si="82"/>
        <v>0</v>
      </c>
      <c r="M420" s="20">
        <f t="shared" si="78"/>
        <v>0</v>
      </c>
      <c r="N420" s="20">
        <f>ABS(G420)</f>
        <v>0</v>
      </c>
      <c r="O420" s="20">
        <f>ABS(I420)</f>
        <v>0</v>
      </c>
      <c r="P420" s="20">
        <f>ABS(K420)</f>
        <v>0</v>
      </c>
      <c r="Q420" s="20">
        <f t="shared" si="73"/>
        <v>0</v>
      </c>
    </row>
    <row r="421" spans="4:17" x14ac:dyDescent="0.35">
      <c r="D421" s="20" t="str">
        <f t="shared" si="80"/>
        <v/>
      </c>
      <c r="E421" s="23" t="str">
        <f t="shared" si="81"/>
        <v/>
      </c>
      <c r="F421" s="20" t="str">
        <f t="shared" si="74"/>
        <v/>
      </c>
      <c r="G421" s="20">
        <f t="shared" si="75"/>
        <v>0</v>
      </c>
      <c r="H421" s="20">
        <f t="shared" si="82"/>
        <v>0</v>
      </c>
      <c r="I421" s="20">
        <f t="shared" si="76"/>
        <v>0</v>
      </c>
      <c r="J421" s="20">
        <f t="shared" si="82"/>
        <v>1</v>
      </c>
      <c r="K421" s="20">
        <f t="shared" si="77"/>
        <v>0</v>
      </c>
      <c r="L421" s="20">
        <f t="shared" si="82"/>
        <v>0</v>
      </c>
      <c r="M421" s="20">
        <f t="shared" si="78"/>
        <v>0</v>
      </c>
      <c r="N421" s="20">
        <f>ABS(G421)</f>
        <v>0</v>
      </c>
      <c r="O421" s="20">
        <f>ABS(I421)</f>
        <v>0</v>
      </c>
      <c r="P421" s="20">
        <f>ABS(K421)</f>
        <v>0</v>
      </c>
      <c r="Q421" s="20">
        <f t="shared" si="73"/>
        <v>0</v>
      </c>
    </row>
    <row r="422" spans="4:17" x14ac:dyDescent="0.35">
      <c r="D422" s="20" t="str">
        <f t="shared" si="80"/>
        <v/>
      </c>
      <c r="E422" s="23" t="str">
        <f t="shared" si="81"/>
        <v/>
      </c>
      <c r="F422" s="20" t="str">
        <f t="shared" si="74"/>
        <v/>
      </c>
      <c r="G422" s="20">
        <f t="shared" si="75"/>
        <v>0</v>
      </c>
      <c r="H422" s="20">
        <f t="shared" si="82"/>
        <v>0</v>
      </c>
      <c r="I422" s="20">
        <f t="shared" si="76"/>
        <v>0</v>
      </c>
      <c r="J422" s="20">
        <f t="shared" si="82"/>
        <v>0</v>
      </c>
      <c r="K422" s="20">
        <f t="shared" si="77"/>
        <v>0</v>
      </c>
      <c r="L422" s="20">
        <f t="shared" si="82"/>
        <v>1</v>
      </c>
      <c r="M422" s="20">
        <f t="shared" si="78"/>
        <v>0</v>
      </c>
      <c r="N422" s="20">
        <f>ABS(G422)</f>
        <v>0</v>
      </c>
      <c r="O422" s="20">
        <f>ABS(I422)</f>
        <v>0</v>
      </c>
      <c r="P422" s="20">
        <f>ABS(K422)</f>
        <v>0</v>
      </c>
      <c r="Q422" s="20">
        <f t="shared" si="73"/>
        <v>0</v>
      </c>
    </row>
    <row r="423" spans="4:17" x14ac:dyDescent="0.35">
      <c r="D423" s="20" t="str">
        <f t="shared" si="80"/>
        <v/>
      </c>
      <c r="E423" s="23" t="str">
        <f t="shared" si="81"/>
        <v/>
      </c>
      <c r="F423" s="20" t="str">
        <f t="shared" si="74"/>
        <v/>
      </c>
      <c r="G423" s="20">
        <f t="shared" si="75"/>
        <v>0</v>
      </c>
      <c r="H423" s="20">
        <f t="shared" ref="H423:L438" si="83">IF(H422+H421=0,1,0)</f>
        <v>1</v>
      </c>
      <c r="I423" s="20">
        <f t="shared" si="76"/>
        <v>0</v>
      </c>
      <c r="J423" s="20">
        <f t="shared" si="83"/>
        <v>0</v>
      </c>
      <c r="K423" s="20">
        <f t="shared" si="77"/>
        <v>0</v>
      </c>
      <c r="L423" s="20">
        <f t="shared" si="83"/>
        <v>0</v>
      </c>
      <c r="M423" s="20">
        <f t="shared" si="78"/>
        <v>0</v>
      </c>
      <c r="N423" s="20">
        <f>ABS(G423)</f>
        <v>0</v>
      </c>
      <c r="O423" s="20">
        <f>ABS(I423)</f>
        <v>0</v>
      </c>
      <c r="P423" s="20">
        <f>ABS(K423)</f>
        <v>0</v>
      </c>
      <c r="Q423" s="20">
        <f t="shared" si="73"/>
        <v>0</v>
      </c>
    </row>
    <row r="424" spans="4:17" x14ac:dyDescent="0.35">
      <c r="D424" s="20" t="str">
        <f t="shared" si="80"/>
        <v/>
      </c>
      <c r="E424" s="23" t="str">
        <f t="shared" si="81"/>
        <v/>
      </c>
      <c r="F424" s="20" t="str">
        <f t="shared" si="74"/>
        <v/>
      </c>
      <c r="G424" s="20">
        <f t="shared" si="75"/>
        <v>0</v>
      </c>
      <c r="H424" s="20">
        <f t="shared" si="83"/>
        <v>0</v>
      </c>
      <c r="I424" s="20">
        <f t="shared" si="76"/>
        <v>0</v>
      </c>
      <c r="J424" s="20">
        <f t="shared" si="83"/>
        <v>1</v>
      </c>
      <c r="K424" s="20">
        <f t="shared" si="77"/>
        <v>0</v>
      </c>
      <c r="L424" s="20">
        <f t="shared" si="83"/>
        <v>0</v>
      </c>
      <c r="M424" s="20">
        <f t="shared" si="78"/>
        <v>0</v>
      </c>
      <c r="N424" s="20">
        <f>ABS(G424)</f>
        <v>0</v>
      </c>
      <c r="O424" s="20">
        <f>ABS(I424)</f>
        <v>0</v>
      </c>
      <c r="P424" s="20">
        <f>ABS(K424)</f>
        <v>0</v>
      </c>
      <c r="Q424" s="20">
        <f t="shared" si="73"/>
        <v>0</v>
      </c>
    </row>
    <row r="425" spans="4:17" x14ac:dyDescent="0.35">
      <c r="D425" s="20" t="str">
        <f t="shared" si="80"/>
        <v/>
      </c>
      <c r="E425" s="23" t="str">
        <f t="shared" si="81"/>
        <v/>
      </c>
      <c r="F425" s="20" t="str">
        <f t="shared" si="74"/>
        <v/>
      </c>
      <c r="G425" s="20">
        <f t="shared" si="75"/>
        <v>0</v>
      </c>
      <c r="H425" s="20">
        <f t="shared" si="83"/>
        <v>0</v>
      </c>
      <c r="I425" s="20">
        <f t="shared" si="76"/>
        <v>0</v>
      </c>
      <c r="J425" s="20">
        <f t="shared" si="83"/>
        <v>0</v>
      </c>
      <c r="K425" s="20">
        <f t="shared" si="77"/>
        <v>0</v>
      </c>
      <c r="L425" s="20">
        <f t="shared" si="83"/>
        <v>1</v>
      </c>
      <c r="M425" s="20">
        <f t="shared" si="78"/>
        <v>0</v>
      </c>
      <c r="N425" s="20">
        <f>ABS(G425)</f>
        <v>0</v>
      </c>
      <c r="O425" s="20">
        <f>ABS(I425)</f>
        <v>0</v>
      </c>
      <c r="P425" s="20">
        <f>ABS(K425)</f>
        <v>0</v>
      </c>
      <c r="Q425" s="20">
        <f t="shared" si="73"/>
        <v>0</v>
      </c>
    </row>
    <row r="426" spans="4:17" x14ac:dyDescent="0.35">
      <c r="D426" s="20" t="str">
        <f t="shared" si="80"/>
        <v/>
      </c>
      <c r="E426" s="23" t="str">
        <f t="shared" si="81"/>
        <v/>
      </c>
      <c r="F426" s="20" t="str">
        <f t="shared" si="74"/>
        <v/>
      </c>
      <c r="G426" s="20">
        <f t="shared" si="75"/>
        <v>0</v>
      </c>
      <c r="H426" s="20">
        <f t="shared" si="83"/>
        <v>1</v>
      </c>
      <c r="I426" s="20">
        <f t="shared" si="76"/>
        <v>0</v>
      </c>
      <c r="J426" s="20">
        <f t="shared" si="83"/>
        <v>0</v>
      </c>
      <c r="K426" s="20">
        <f t="shared" si="77"/>
        <v>0</v>
      </c>
      <c r="L426" s="20">
        <f t="shared" si="83"/>
        <v>0</v>
      </c>
      <c r="M426" s="20">
        <f t="shared" si="78"/>
        <v>0</v>
      </c>
      <c r="N426" s="20">
        <f>ABS(G426)</f>
        <v>0</v>
      </c>
      <c r="O426" s="20">
        <f>ABS(I426)</f>
        <v>0</v>
      </c>
      <c r="P426" s="20">
        <f>ABS(K426)</f>
        <v>0</v>
      </c>
      <c r="Q426" s="20">
        <f t="shared" si="73"/>
        <v>0</v>
      </c>
    </row>
    <row r="427" spans="4:17" x14ac:dyDescent="0.35">
      <c r="D427" s="20" t="str">
        <f t="shared" si="80"/>
        <v/>
      </c>
      <c r="E427" s="23" t="str">
        <f t="shared" si="81"/>
        <v/>
      </c>
      <c r="F427" s="20" t="str">
        <f t="shared" si="74"/>
        <v/>
      </c>
      <c r="G427" s="20">
        <f t="shared" si="75"/>
        <v>0</v>
      </c>
      <c r="H427" s="20">
        <f t="shared" si="83"/>
        <v>0</v>
      </c>
      <c r="I427" s="20">
        <f t="shared" si="76"/>
        <v>0</v>
      </c>
      <c r="J427" s="20">
        <f t="shared" si="83"/>
        <v>1</v>
      </c>
      <c r="K427" s="20">
        <f t="shared" si="77"/>
        <v>0</v>
      </c>
      <c r="L427" s="20">
        <f t="shared" si="83"/>
        <v>0</v>
      </c>
      <c r="M427" s="20">
        <f t="shared" si="78"/>
        <v>0</v>
      </c>
      <c r="N427" s="20">
        <f>ABS(G427)</f>
        <v>0</v>
      </c>
      <c r="O427" s="20">
        <f>ABS(I427)</f>
        <v>0</v>
      </c>
      <c r="P427" s="20">
        <f>ABS(K427)</f>
        <v>0</v>
      </c>
      <c r="Q427" s="20">
        <f t="shared" si="73"/>
        <v>0</v>
      </c>
    </row>
    <row r="428" spans="4:17" x14ac:dyDescent="0.35">
      <c r="D428" s="20" t="str">
        <f t="shared" si="80"/>
        <v/>
      </c>
      <c r="E428" s="23" t="str">
        <f t="shared" si="81"/>
        <v/>
      </c>
      <c r="F428" s="20" t="str">
        <f t="shared" si="74"/>
        <v/>
      </c>
      <c r="G428" s="20">
        <f t="shared" si="75"/>
        <v>0</v>
      </c>
      <c r="H428" s="20">
        <f t="shared" si="83"/>
        <v>0</v>
      </c>
      <c r="I428" s="20">
        <f t="shared" si="76"/>
        <v>0</v>
      </c>
      <c r="J428" s="20">
        <f t="shared" si="83"/>
        <v>0</v>
      </c>
      <c r="K428" s="20">
        <f t="shared" si="77"/>
        <v>0</v>
      </c>
      <c r="L428" s="20">
        <f t="shared" si="83"/>
        <v>1</v>
      </c>
      <c r="M428" s="20">
        <f t="shared" si="78"/>
        <v>0</v>
      </c>
      <c r="N428" s="20">
        <f>ABS(G428)</f>
        <v>0</v>
      </c>
      <c r="O428" s="20">
        <f>ABS(I428)</f>
        <v>0</v>
      </c>
      <c r="P428" s="20">
        <f>ABS(K428)</f>
        <v>0</v>
      </c>
      <c r="Q428" s="20">
        <f t="shared" si="73"/>
        <v>0</v>
      </c>
    </row>
    <row r="429" spans="4:17" x14ac:dyDescent="0.35">
      <c r="D429" s="20" t="str">
        <f t="shared" si="80"/>
        <v/>
      </c>
      <c r="E429" s="23" t="str">
        <f t="shared" si="81"/>
        <v/>
      </c>
      <c r="F429" s="20" t="str">
        <f t="shared" si="74"/>
        <v/>
      </c>
      <c r="G429" s="20">
        <f t="shared" si="75"/>
        <v>0</v>
      </c>
      <c r="H429" s="20">
        <f t="shared" si="83"/>
        <v>1</v>
      </c>
      <c r="I429" s="20">
        <f t="shared" si="76"/>
        <v>0</v>
      </c>
      <c r="J429" s="20">
        <f t="shared" si="83"/>
        <v>0</v>
      </c>
      <c r="K429" s="20">
        <f t="shared" si="77"/>
        <v>0</v>
      </c>
      <c r="L429" s="20">
        <f t="shared" si="83"/>
        <v>0</v>
      </c>
      <c r="M429" s="20">
        <f t="shared" si="78"/>
        <v>0</v>
      </c>
      <c r="N429" s="20">
        <f>ABS(G429)</f>
        <v>0</v>
      </c>
      <c r="O429" s="20">
        <f>ABS(I429)</f>
        <v>0</v>
      </c>
      <c r="P429" s="20">
        <f>ABS(K429)</f>
        <v>0</v>
      </c>
      <c r="Q429" s="20">
        <f t="shared" si="73"/>
        <v>0</v>
      </c>
    </row>
    <row r="430" spans="4:17" x14ac:dyDescent="0.35">
      <c r="D430" s="20" t="str">
        <f t="shared" si="80"/>
        <v/>
      </c>
      <c r="E430" s="23" t="str">
        <f t="shared" si="81"/>
        <v/>
      </c>
      <c r="F430" s="20" t="str">
        <f t="shared" si="74"/>
        <v/>
      </c>
      <c r="G430" s="20">
        <f t="shared" si="75"/>
        <v>0</v>
      </c>
      <c r="H430" s="20">
        <f t="shared" si="83"/>
        <v>0</v>
      </c>
      <c r="I430" s="20">
        <f t="shared" si="76"/>
        <v>0</v>
      </c>
      <c r="J430" s="20">
        <f t="shared" si="83"/>
        <v>1</v>
      </c>
      <c r="K430" s="20">
        <f t="shared" si="77"/>
        <v>0</v>
      </c>
      <c r="L430" s="20">
        <f t="shared" si="83"/>
        <v>0</v>
      </c>
      <c r="M430" s="20">
        <f t="shared" si="78"/>
        <v>0</v>
      </c>
      <c r="N430" s="20">
        <f>ABS(G430)</f>
        <v>0</v>
      </c>
      <c r="O430" s="20">
        <f>ABS(I430)</f>
        <v>0</v>
      </c>
      <c r="P430" s="20">
        <f>ABS(K430)</f>
        <v>0</v>
      </c>
      <c r="Q430" s="20">
        <f t="shared" si="73"/>
        <v>0</v>
      </c>
    </row>
    <row r="431" spans="4:17" x14ac:dyDescent="0.35">
      <c r="D431" s="20" t="str">
        <f t="shared" si="80"/>
        <v/>
      </c>
      <c r="E431" s="23" t="str">
        <f t="shared" si="81"/>
        <v/>
      </c>
      <c r="F431" s="20" t="str">
        <f t="shared" si="74"/>
        <v/>
      </c>
      <c r="G431" s="20">
        <f t="shared" si="75"/>
        <v>0</v>
      </c>
      <c r="H431" s="20">
        <f t="shared" si="83"/>
        <v>0</v>
      </c>
      <c r="I431" s="20">
        <f t="shared" si="76"/>
        <v>0</v>
      </c>
      <c r="J431" s="20">
        <f t="shared" si="83"/>
        <v>0</v>
      </c>
      <c r="K431" s="20">
        <f t="shared" si="77"/>
        <v>0</v>
      </c>
      <c r="L431" s="20">
        <f t="shared" si="83"/>
        <v>1</v>
      </c>
      <c r="M431" s="20">
        <f t="shared" si="78"/>
        <v>0</v>
      </c>
      <c r="N431" s="20">
        <f>ABS(G431)</f>
        <v>0</v>
      </c>
      <c r="O431" s="20">
        <f>ABS(I431)</f>
        <v>0</v>
      </c>
      <c r="P431" s="20">
        <f>ABS(K431)</f>
        <v>0</v>
      </c>
      <c r="Q431" s="20">
        <f t="shared" si="73"/>
        <v>0</v>
      </c>
    </row>
    <row r="432" spans="4:17" x14ac:dyDescent="0.35">
      <c r="D432" s="20" t="str">
        <f t="shared" si="80"/>
        <v/>
      </c>
      <c r="E432" s="23" t="str">
        <f t="shared" si="81"/>
        <v/>
      </c>
      <c r="F432" s="20" t="str">
        <f t="shared" si="74"/>
        <v/>
      </c>
      <c r="G432" s="20">
        <f t="shared" si="75"/>
        <v>0</v>
      </c>
      <c r="H432" s="20">
        <f t="shared" si="83"/>
        <v>1</v>
      </c>
      <c r="I432" s="20">
        <f t="shared" si="76"/>
        <v>0</v>
      </c>
      <c r="J432" s="20">
        <f t="shared" si="83"/>
        <v>0</v>
      </c>
      <c r="K432" s="20">
        <f t="shared" si="77"/>
        <v>0</v>
      </c>
      <c r="L432" s="20">
        <f t="shared" si="83"/>
        <v>0</v>
      </c>
      <c r="M432" s="20">
        <f t="shared" si="78"/>
        <v>0</v>
      </c>
      <c r="N432" s="20">
        <f>ABS(G432)</f>
        <v>0</v>
      </c>
      <c r="O432" s="20">
        <f>ABS(I432)</f>
        <v>0</v>
      </c>
      <c r="P432" s="20">
        <f>ABS(K432)</f>
        <v>0</v>
      </c>
      <c r="Q432" s="20">
        <f t="shared" si="73"/>
        <v>0</v>
      </c>
    </row>
    <row r="433" spans="4:17" x14ac:dyDescent="0.35">
      <c r="D433" s="20" t="str">
        <f t="shared" si="80"/>
        <v/>
      </c>
      <c r="E433" s="23" t="str">
        <f t="shared" si="81"/>
        <v/>
      </c>
      <c r="F433" s="20" t="str">
        <f t="shared" si="74"/>
        <v/>
      </c>
      <c r="G433" s="20">
        <f t="shared" si="75"/>
        <v>0</v>
      </c>
      <c r="H433" s="20">
        <f t="shared" si="83"/>
        <v>0</v>
      </c>
      <c r="I433" s="20">
        <f t="shared" si="76"/>
        <v>0</v>
      </c>
      <c r="J433" s="20">
        <f t="shared" si="83"/>
        <v>1</v>
      </c>
      <c r="K433" s="20">
        <f t="shared" si="77"/>
        <v>0</v>
      </c>
      <c r="L433" s="20">
        <f t="shared" si="83"/>
        <v>0</v>
      </c>
      <c r="M433" s="20">
        <f t="shared" si="78"/>
        <v>0</v>
      </c>
      <c r="N433" s="20">
        <f>ABS(G433)</f>
        <v>0</v>
      </c>
      <c r="O433" s="20">
        <f>ABS(I433)</f>
        <v>0</v>
      </c>
      <c r="P433" s="20">
        <f>ABS(K433)</f>
        <v>0</v>
      </c>
      <c r="Q433" s="20">
        <f t="shared" si="73"/>
        <v>0</v>
      </c>
    </row>
    <row r="434" spans="4:17" x14ac:dyDescent="0.35">
      <c r="D434" s="20" t="str">
        <f t="shared" si="80"/>
        <v/>
      </c>
      <c r="E434" s="23" t="str">
        <f t="shared" si="81"/>
        <v/>
      </c>
      <c r="F434" s="20" t="str">
        <f t="shared" si="74"/>
        <v/>
      </c>
      <c r="G434" s="20">
        <f t="shared" si="75"/>
        <v>0</v>
      </c>
      <c r="H434" s="20">
        <f t="shared" si="83"/>
        <v>0</v>
      </c>
      <c r="I434" s="20">
        <f t="shared" si="76"/>
        <v>0</v>
      </c>
      <c r="J434" s="20">
        <f t="shared" si="83"/>
        <v>0</v>
      </c>
      <c r="K434" s="20">
        <f t="shared" si="77"/>
        <v>0</v>
      </c>
      <c r="L434" s="20">
        <f t="shared" si="83"/>
        <v>1</v>
      </c>
      <c r="M434" s="20">
        <f t="shared" si="78"/>
        <v>0</v>
      </c>
      <c r="N434" s="20">
        <f>ABS(G434)</f>
        <v>0</v>
      </c>
      <c r="O434" s="20">
        <f>ABS(I434)</f>
        <v>0</v>
      </c>
      <c r="P434" s="20">
        <f>ABS(K434)</f>
        <v>0</v>
      </c>
      <c r="Q434" s="20">
        <f t="shared" si="73"/>
        <v>0</v>
      </c>
    </row>
    <row r="435" spans="4:17" x14ac:dyDescent="0.35">
      <c r="D435" s="20" t="str">
        <f t="shared" si="80"/>
        <v/>
      </c>
      <c r="E435" s="23" t="str">
        <f t="shared" si="81"/>
        <v/>
      </c>
      <c r="F435" s="20" t="str">
        <f t="shared" si="74"/>
        <v/>
      </c>
      <c r="G435" s="20">
        <f t="shared" si="75"/>
        <v>0</v>
      </c>
      <c r="H435" s="20">
        <f t="shared" si="83"/>
        <v>1</v>
      </c>
      <c r="I435" s="20">
        <f t="shared" si="76"/>
        <v>0</v>
      </c>
      <c r="J435" s="20">
        <f t="shared" si="83"/>
        <v>0</v>
      </c>
      <c r="K435" s="20">
        <f t="shared" si="77"/>
        <v>0</v>
      </c>
      <c r="L435" s="20">
        <f t="shared" si="83"/>
        <v>0</v>
      </c>
      <c r="M435" s="20">
        <f t="shared" si="78"/>
        <v>0</v>
      </c>
      <c r="N435" s="20">
        <f>ABS(G435)</f>
        <v>0</v>
      </c>
      <c r="O435" s="20">
        <f>ABS(I435)</f>
        <v>0</v>
      </c>
      <c r="P435" s="20">
        <f>ABS(K435)</f>
        <v>0</v>
      </c>
      <c r="Q435" s="20">
        <f t="shared" si="73"/>
        <v>0</v>
      </c>
    </row>
    <row r="436" spans="4:17" x14ac:dyDescent="0.35">
      <c r="D436" s="20" t="str">
        <f t="shared" si="80"/>
        <v/>
      </c>
      <c r="E436" s="23" t="str">
        <f t="shared" si="81"/>
        <v/>
      </c>
      <c r="F436" s="20" t="str">
        <f t="shared" si="74"/>
        <v/>
      </c>
      <c r="G436" s="20">
        <f t="shared" si="75"/>
        <v>0</v>
      </c>
      <c r="H436" s="20">
        <f t="shared" si="83"/>
        <v>0</v>
      </c>
      <c r="I436" s="20">
        <f t="shared" si="76"/>
        <v>0</v>
      </c>
      <c r="J436" s="20">
        <f t="shared" si="83"/>
        <v>1</v>
      </c>
      <c r="K436" s="20">
        <f t="shared" si="77"/>
        <v>0</v>
      </c>
      <c r="L436" s="20">
        <f t="shared" si="83"/>
        <v>0</v>
      </c>
      <c r="M436" s="20">
        <f t="shared" si="78"/>
        <v>0</v>
      </c>
      <c r="N436" s="20">
        <f>ABS(G436)</f>
        <v>0</v>
      </c>
      <c r="O436" s="20">
        <f>ABS(I436)</f>
        <v>0</v>
      </c>
      <c r="P436" s="20">
        <f>ABS(K436)</f>
        <v>0</v>
      </c>
      <c r="Q436" s="20">
        <f t="shared" si="73"/>
        <v>0</v>
      </c>
    </row>
    <row r="437" spans="4:17" x14ac:dyDescent="0.35">
      <c r="D437" s="20" t="str">
        <f t="shared" si="80"/>
        <v/>
      </c>
      <c r="E437" s="23" t="str">
        <f t="shared" si="81"/>
        <v/>
      </c>
      <c r="F437" s="20" t="str">
        <f t="shared" si="74"/>
        <v/>
      </c>
      <c r="G437" s="20">
        <f t="shared" si="75"/>
        <v>0</v>
      </c>
      <c r="H437" s="20">
        <f t="shared" si="83"/>
        <v>0</v>
      </c>
      <c r="I437" s="20">
        <f t="shared" si="76"/>
        <v>0</v>
      </c>
      <c r="J437" s="20">
        <f t="shared" si="83"/>
        <v>0</v>
      </c>
      <c r="K437" s="20">
        <f t="shared" si="77"/>
        <v>0</v>
      </c>
      <c r="L437" s="20">
        <f t="shared" si="83"/>
        <v>1</v>
      </c>
      <c r="M437" s="20">
        <f t="shared" si="78"/>
        <v>0</v>
      </c>
      <c r="N437" s="20">
        <f>ABS(G437)</f>
        <v>0</v>
      </c>
      <c r="O437" s="20">
        <f>ABS(I437)</f>
        <v>0</v>
      </c>
      <c r="P437" s="20">
        <f>ABS(K437)</f>
        <v>0</v>
      </c>
      <c r="Q437" s="20">
        <f t="shared" si="73"/>
        <v>0</v>
      </c>
    </row>
    <row r="438" spans="4:17" x14ac:dyDescent="0.35">
      <c r="D438" s="20" t="str">
        <f t="shared" si="80"/>
        <v/>
      </c>
      <c r="E438" s="23" t="str">
        <f t="shared" si="81"/>
        <v/>
      </c>
      <c r="F438" s="20" t="str">
        <f t="shared" si="74"/>
        <v/>
      </c>
      <c r="G438" s="20">
        <f t="shared" si="75"/>
        <v>0</v>
      </c>
      <c r="H438" s="20">
        <f t="shared" si="83"/>
        <v>1</v>
      </c>
      <c r="I438" s="20">
        <f t="shared" si="76"/>
        <v>0</v>
      </c>
      <c r="J438" s="20">
        <f t="shared" si="83"/>
        <v>0</v>
      </c>
      <c r="K438" s="20">
        <f t="shared" si="77"/>
        <v>0</v>
      </c>
      <c r="L438" s="20">
        <f t="shared" si="83"/>
        <v>0</v>
      </c>
      <c r="M438" s="20">
        <f t="shared" si="78"/>
        <v>0</v>
      </c>
      <c r="N438" s="20">
        <f>ABS(G438)</f>
        <v>0</v>
      </c>
      <c r="O438" s="20">
        <f>ABS(I438)</f>
        <v>0</v>
      </c>
      <c r="P438" s="20">
        <f>ABS(K438)</f>
        <v>0</v>
      </c>
      <c r="Q438" s="20">
        <f t="shared" si="73"/>
        <v>0</v>
      </c>
    </row>
    <row r="439" spans="4:17" x14ac:dyDescent="0.35">
      <c r="D439" s="20" t="str">
        <f t="shared" si="80"/>
        <v/>
      </c>
      <c r="E439" s="23" t="str">
        <f t="shared" si="81"/>
        <v/>
      </c>
      <c r="F439" s="20" t="str">
        <f t="shared" si="74"/>
        <v/>
      </c>
      <c r="G439" s="20">
        <f t="shared" si="75"/>
        <v>0</v>
      </c>
      <c r="H439" s="20">
        <f t="shared" ref="H439:L454" si="84">IF(H438+H437=0,1,0)</f>
        <v>0</v>
      </c>
      <c r="I439" s="20">
        <f t="shared" si="76"/>
        <v>0</v>
      </c>
      <c r="J439" s="20">
        <f t="shared" si="84"/>
        <v>1</v>
      </c>
      <c r="K439" s="20">
        <f t="shared" si="77"/>
        <v>0</v>
      </c>
      <c r="L439" s="20">
        <f t="shared" si="84"/>
        <v>0</v>
      </c>
      <c r="M439" s="20">
        <f t="shared" si="78"/>
        <v>0</v>
      </c>
      <c r="N439" s="20">
        <f>ABS(G439)</f>
        <v>0</v>
      </c>
      <c r="O439" s="20">
        <f>ABS(I439)</f>
        <v>0</v>
      </c>
      <c r="P439" s="20">
        <f>ABS(K439)</f>
        <v>0</v>
      </c>
      <c r="Q439" s="20">
        <f t="shared" si="73"/>
        <v>0</v>
      </c>
    </row>
    <row r="440" spans="4:17" x14ac:dyDescent="0.35">
      <c r="D440" s="20" t="str">
        <f t="shared" si="80"/>
        <v/>
      </c>
      <c r="E440" s="23" t="str">
        <f t="shared" si="81"/>
        <v/>
      </c>
      <c r="F440" s="20" t="str">
        <f t="shared" si="74"/>
        <v/>
      </c>
      <c r="G440" s="20">
        <f t="shared" si="75"/>
        <v>0</v>
      </c>
      <c r="H440" s="20">
        <f t="shared" si="84"/>
        <v>0</v>
      </c>
      <c r="I440" s="20">
        <f t="shared" si="76"/>
        <v>0</v>
      </c>
      <c r="J440" s="20">
        <f t="shared" si="84"/>
        <v>0</v>
      </c>
      <c r="K440" s="20">
        <f t="shared" si="77"/>
        <v>0</v>
      </c>
      <c r="L440" s="20">
        <f t="shared" si="84"/>
        <v>1</v>
      </c>
      <c r="M440" s="20">
        <f t="shared" si="78"/>
        <v>0</v>
      </c>
      <c r="N440" s="20">
        <f>ABS(G440)</f>
        <v>0</v>
      </c>
      <c r="O440" s="20">
        <f>ABS(I440)</f>
        <v>0</v>
      </c>
      <c r="P440" s="20">
        <f>ABS(K440)</f>
        <v>0</v>
      </c>
      <c r="Q440" s="20">
        <f t="shared" si="73"/>
        <v>0</v>
      </c>
    </row>
    <row r="441" spans="4:17" x14ac:dyDescent="0.35">
      <c r="D441" s="20" t="str">
        <f t="shared" si="80"/>
        <v/>
      </c>
      <c r="E441" s="23" t="str">
        <f t="shared" si="81"/>
        <v/>
      </c>
      <c r="F441" s="20" t="str">
        <f t="shared" si="74"/>
        <v/>
      </c>
      <c r="G441" s="20">
        <f t="shared" si="75"/>
        <v>0</v>
      </c>
      <c r="H441" s="20">
        <f t="shared" si="84"/>
        <v>1</v>
      </c>
      <c r="I441" s="20">
        <f t="shared" si="76"/>
        <v>0</v>
      </c>
      <c r="J441" s="20">
        <f t="shared" si="84"/>
        <v>0</v>
      </c>
      <c r="K441" s="20">
        <f t="shared" si="77"/>
        <v>0</v>
      </c>
      <c r="L441" s="20">
        <f t="shared" si="84"/>
        <v>0</v>
      </c>
      <c r="M441" s="20">
        <f t="shared" si="78"/>
        <v>0</v>
      </c>
      <c r="N441" s="20">
        <f>ABS(G441)</f>
        <v>0</v>
      </c>
      <c r="O441" s="20">
        <f>ABS(I441)</f>
        <v>0</v>
      </c>
      <c r="P441" s="20">
        <f>ABS(K441)</f>
        <v>0</v>
      </c>
      <c r="Q441" s="20">
        <f t="shared" si="73"/>
        <v>0</v>
      </c>
    </row>
    <row r="442" spans="4:17" x14ac:dyDescent="0.35">
      <c r="D442" s="20" t="str">
        <f t="shared" si="80"/>
        <v/>
      </c>
      <c r="E442" s="23" t="str">
        <f t="shared" si="81"/>
        <v/>
      </c>
      <c r="F442" s="20" t="str">
        <f t="shared" si="74"/>
        <v/>
      </c>
      <c r="G442" s="20">
        <f t="shared" si="75"/>
        <v>0</v>
      </c>
      <c r="H442" s="20">
        <f t="shared" si="84"/>
        <v>0</v>
      </c>
      <c r="I442" s="20">
        <f t="shared" si="76"/>
        <v>0</v>
      </c>
      <c r="J442" s="20">
        <f t="shared" si="84"/>
        <v>1</v>
      </c>
      <c r="K442" s="20">
        <f t="shared" si="77"/>
        <v>0</v>
      </c>
      <c r="L442" s="20">
        <f t="shared" si="84"/>
        <v>0</v>
      </c>
      <c r="M442" s="20">
        <f t="shared" si="78"/>
        <v>0</v>
      </c>
      <c r="N442" s="20">
        <f>ABS(G442)</f>
        <v>0</v>
      </c>
      <c r="O442" s="20">
        <f>ABS(I442)</f>
        <v>0</v>
      </c>
      <c r="P442" s="20">
        <f>ABS(K442)</f>
        <v>0</v>
      </c>
      <c r="Q442" s="20">
        <f t="shared" si="73"/>
        <v>0</v>
      </c>
    </row>
    <row r="443" spans="4:17" x14ac:dyDescent="0.35">
      <c r="D443" s="20" t="str">
        <f t="shared" si="80"/>
        <v/>
      </c>
      <c r="E443" s="23" t="str">
        <f t="shared" si="81"/>
        <v/>
      </c>
      <c r="F443" s="20" t="str">
        <f t="shared" si="74"/>
        <v/>
      </c>
      <c r="G443" s="20">
        <f t="shared" si="75"/>
        <v>0</v>
      </c>
      <c r="H443" s="20">
        <f t="shared" si="84"/>
        <v>0</v>
      </c>
      <c r="I443" s="20">
        <f t="shared" si="76"/>
        <v>0</v>
      </c>
      <c r="J443" s="20">
        <f t="shared" si="84"/>
        <v>0</v>
      </c>
      <c r="K443" s="20">
        <f t="shared" si="77"/>
        <v>0</v>
      </c>
      <c r="L443" s="20">
        <f t="shared" si="84"/>
        <v>1</v>
      </c>
      <c r="M443" s="20">
        <f t="shared" si="78"/>
        <v>0</v>
      </c>
      <c r="N443" s="20">
        <f>ABS(G443)</f>
        <v>0</v>
      </c>
      <c r="O443" s="20">
        <f>ABS(I443)</f>
        <v>0</v>
      </c>
      <c r="P443" s="20">
        <f>ABS(K443)</f>
        <v>0</v>
      </c>
      <c r="Q443" s="20">
        <f t="shared" si="73"/>
        <v>0</v>
      </c>
    </row>
    <row r="444" spans="4:17" x14ac:dyDescent="0.35">
      <c r="D444" s="20" t="str">
        <f t="shared" si="80"/>
        <v/>
      </c>
      <c r="E444" s="23" t="str">
        <f t="shared" si="81"/>
        <v/>
      </c>
      <c r="F444" s="20" t="str">
        <f t="shared" si="74"/>
        <v/>
      </c>
      <c r="G444" s="20">
        <f t="shared" si="75"/>
        <v>0</v>
      </c>
      <c r="H444" s="20">
        <f t="shared" si="84"/>
        <v>1</v>
      </c>
      <c r="I444" s="20">
        <f t="shared" si="76"/>
        <v>0</v>
      </c>
      <c r="J444" s="20">
        <f t="shared" si="84"/>
        <v>0</v>
      </c>
      <c r="K444" s="20">
        <f t="shared" si="77"/>
        <v>0</v>
      </c>
      <c r="L444" s="20">
        <f t="shared" si="84"/>
        <v>0</v>
      </c>
      <c r="M444" s="20">
        <f t="shared" si="78"/>
        <v>0</v>
      </c>
      <c r="N444" s="20">
        <f>ABS(G444)</f>
        <v>0</v>
      </c>
      <c r="O444" s="20">
        <f>ABS(I444)</f>
        <v>0</v>
      </c>
      <c r="P444" s="20">
        <f>ABS(K444)</f>
        <v>0</v>
      </c>
      <c r="Q444" s="20">
        <f t="shared" si="73"/>
        <v>0</v>
      </c>
    </row>
    <row r="445" spans="4:17" x14ac:dyDescent="0.35">
      <c r="D445" s="20" t="str">
        <f t="shared" si="80"/>
        <v/>
      </c>
      <c r="E445" s="23" t="str">
        <f t="shared" si="81"/>
        <v/>
      </c>
      <c r="F445" s="20" t="str">
        <f t="shared" si="74"/>
        <v/>
      </c>
      <c r="G445" s="20">
        <f t="shared" si="75"/>
        <v>0</v>
      </c>
      <c r="H445" s="20">
        <f t="shared" si="84"/>
        <v>0</v>
      </c>
      <c r="I445" s="20">
        <f t="shared" si="76"/>
        <v>0</v>
      </c>
      <c r="J445" s="20">
        <f t="shared" si="84"/>
        <v>1</v>
      </c>
      <c r="K445" s="20">
        <f t="shared" si="77"/>
        <v>0</v>
      </c>
      <c r="L445" s="20">
        <f t="shared" si="84"/>
        <v>0</v>
      </c>
      <c r="M445" s="20">
        <f t="shared" si="78"/>
        <v>0</v>
      </c>
      <c r="N445" s="20">
        <f>ABS(G445)</f>
        <v>0</v>
      </c>
      <c r="O445" s="20">
        <f>ABS(I445)</f>
        <v>0</v>
      </c>
      <c r="P445" s="20">
        <f>ABS(K445)</f>
        <v>0</v>
      </c>
      <c r="Q445" s="20">
        <f t="shared" si="73"/>
        <v>0</v>
      </c>
    </row>
    <row r="446" spans="4:17" x14ac:dyDescent="0.35">
      <c r="D446" s="20" t="str">
        <f t="shared" si="80"/>
        <v/>
      </c>
      <c r="E446" s="23" t="str">
        <f t="shared" si="81"/>
        <v/>
      </c>
      <c r="F446" s="20" t="str">
        <f t="shared" si="74"/>
        <v/>
      </c>
      <c r="G446" s="20">
        <f t="shared" si="75"/>
        <v>0</v>
      </c>
      <c r="H446" s="20">
        <f t="shared" si="84"/>
        <v>0</v>
      </c>
      <c r="I446" s="20">
        <f t="shared" si="76"/>
        <v>0</v>
      </c>
      <c r="J446" s="20">
        <f t="shared" si="84"/>
        <v>0</v>
      </c>
      <c r="K446" s="20">
        <f t="shared" si="77"/>
        <v>0</v>
      </c>
      <c r="L446" s="20">
        <f t="shared" si="84"/>
        <v>1</v>
      </c>
      <c r="M446" s="20">
        <f t="shared" si="78"/>
        <v>0</v>
      </c>
      <c r="N446" s="20">
        <f>ABS(G446)</f>
        <v>0</v>
      </c>
      <c r="O446" s="20">
        <f>ABS(I446)</f>
        <v>0</v>
      </c>
      <c r="P446" s="20">
        <f>ABS(K446)</f>
        <v>0</v>
      </c>
      <c r="Q446" s="20">
        <f t="shared" si="73"/>
        <v>0</v>
      </c>
    </row>
    <row r="447" spans="4:17" x14ac:dyDescent="0.35">
      <c r="D447" s="20" t="str">
        <f t="shared" si="80"/>
        <v/>
      </c>
      <c r="E447" s="23" t="str">
        <f t="shared" si="81"/>
        <v/>
      </c>
      <c r="F447" s="20" t="str">
        <f t="shared" si="74"/>
        <v/>
      </c>
      <c r="G447" s="20">
        <f t="shared" si="75"/>
        <v>0</v>
      </c>
      <c r="H447" s="20">
        <f t="shared" si="84"/>
        <v>1</v>
      </c>
      <c r="I447" s="20">
        <f t="shared" si="76"/>
        <v>0</v>
      </c>
      <c r="J447" s="20">
        <f t="shared" si="84"/>
        <v>0</v>
      </c>
      <c r="K447" s="20">
        <f t="shared" si="77"/>
        <v>0</v>
      </c>
      <c r="L447" s="20">
        <f t="shared" si="84"/>
        <v>0</v>
      </c>
      <c r="M447" s="20">
        <f t="shared" si="78"/>
        <v>0</v>
      </c>
      <c r="N447" s="20">
        <f>ABS(G447)</f>
        <v>0</v>
      </c>
      <c r="O447" s="20">
        <f>ABS(I447)</f>
        <v>0</v>
      </c>
      <c r="P447" s="20">
        <f>ABS(K447)</f>
        <v>0</v>
      </c>
      <c r="Q447" s="20">
        <f t="shared" si="73"/>
        <v>0</v>
      </c>
    </row>
    <row r="448" spans="4:17" x14ac:dyDescent="0.35">
      <c r="D448" s="20" t="str">
        <f t="shared" si="80"/>
        <v/>
      </c>
      <c r="E448" s="23" t="str">
        <f t="shared" si="81"/>
        <v/>
      </c>
      <c r="F448" s="20" t="str">
        <f t="shared" si="74"/>
        <v/>
      </c>
      <c r="G448" s="20">
        <f t="shared" si="75"/>
        <v>0</v>
      </c>
      <c r="H448" s="20">
        <f t="shared" si="84"/>
        <v>0</v>
      </c>
      <c r="I448" s="20">
        <f t="shared" si="76"/>
        <v>0</v>
      </c>
      <c r="J448" s="20">
        <f t="shared" si="84"/>
        <v>1</v>
      </c>
      <c r="K448" s="20">
        <f t="shared" si="77"/>
        <v>0</v>
      </c>
      <c r="L448" s="20">
        <f t="shared" si="84"/>
        <v>0</v>
      </c>
      <c r="M448" s="20">
        <f t="shared" si="78"/>
        <v>0</v>
      </c>
      <c r="N448" s="20">
        <f>ABS(G448)</f>
        <v>0</v>
      </c>
      <c r="O448" s="20">
        <f>ABS(I448)</f>
        <v>0</v>
      </c>
      <c r="P448" s="20">
        <f>ABS(K448)</f>
        <v>0</v>
      </c>
      <c r="Q448" s="20">
        <f t="shared" si="73"/>
        <v>0</v>
      </c>
    </row>
    <row r="449" spans="4:17" x14ac:dyDescent="0.35">
      <c r="D449" s="20" t="str">
        <f t="shared" si="80"/>
        <v/>
      </c>
      <c r="E449" s="23" t="str">
        <f t="shared" si="81"/>
        <v/>
      </c>
      <c r="F449" s="20" t="str">
        <f t="shared" si="74"/>
        <v/>
      </c>
      <c r="G449" s="20">
        <f t="shared" si="75"/>
        <v>0</v>
      </c>
      <c r="H449" s="20">
        <f t="shared" si="84"/>
        <v>0</v>
      </c>
      <c r="I449" s="20">
        <f t="shared" si="76"/>
        <v>0</v>
      </c>
      <c r="J449" s="20">
        <f t="shared" si="84"/>
        <v>0</v>
      </c>
      <c r="K449" s="20">
        <f t="shared" si="77"/>
        <v>0</v>
      </c>
      <c r="L449" s="20">
        <f t="shared" si="84"/>
        <v>1</v>
      </c>
      <c r="M449" s="20">
        <f t="shared" si="78"/>
        <v>0</v>
      </c>
      <c r="N449" s="20">
        <f>ABS(G449)</f>
        <v>0</v>
      </c>
      <c r="O449" s="20">
        <f>ABS(I449)</f>
        <v>0</v>
      </c>
      <c r="P449" s="20">
        <f>ABS(K449)</f>
        <v>0</v>
      </c>
      <c r="Q449" s="20">
        <f t="shared" si="73"/>
        <v>0</v>
      </c>
    </row>
    <row r="450" spans="4:17" x14ac:dyDescent="0.35">
      <c r="D450" s="20" t="str">
        <f t="shared" si="80"/>
        <v/>
      </c>
      <c r="E450" s="23" t="str">
        <f t="shared" si="81"/>
        <v/>
      </c>
      <c r="F450" s="20" t="str">
        <f t="shared" si="74"/>
        <v/>
      </c>
      <c r="G450" s="20">
        <f t="shared" si="75"/>
        <v>0</v>
      </c>
      <c r="H450" s="20">
        <f t="shared" si="84"/>
        <v>1</v>
      </c>
      <c r="I450" s="20">
        <f t="shared" si="76"/>
        <v>0</v>
      </c>
      <c r="J450" s="20">
        <f t="shared" si="84"/>
        <v>0</v>
      </c>
      <c r="K450" s="20">
        <f t="shared" si="77"/>
        <v>0</v>
      </c>
      <c r="L450" s="20">
        <f t="shared" si="84"/>
        <v>0</v>
      </c>
      <c r="M450" s="20">
        <f t="shared" si="78"/>
        <v>0</v>
      </c>
      <c r="N450" s="20">
        <f>ABS(G450)</f>
        <v>0</v>
      </c>
      <c r="O450" s="20">
        <f>ABS(I450)</f>
        <v>0</v>
      </c>
      <c r="P450" s="20">
        <f>ABS(K450)</f>
        <v>0</v>
      </c>
      <c r="Q450" s="20">
        <f t="shared" ref="Q450:Q513" si="85">ABS(M450)</f>
        <v>0</v>
      </c>
    </row>
    <row r="451" spans="4:17" x14ac:dyDescent="0.35">
      <c r="D451" s="20" t="str">
        <f t="shared" si="80"/>
        <v/>
      </c>
      <c r="E451" s="23" t="str">
        <f t="shared" si="81"/>
        <v/>
      </c>
      <c r="F451" s="20" t="str">
        <f t="shared" si="74"/>
        <v/>
      </c>
      <c r="G451" s="20">
        <f t="shared" si="75"/>
        <v>0</v>
      </c>
      <c r="H451" s="20">
        <f t="shared" si="84"/>
        <v>0</v>
      </c>
      <c r="I451" s="20">
        <f t="shared" si="76"/>
        <v>0</v>
      </c>
      <c r="J451" s="20">
        <f t="shared" si="84"/>
        <v>1</v>
      </c>
      <c r="K451" s="20">
        <f t="shared" si="77"/>
        <v>0</v>
      </c>
      <c r="L451" s="20">
        <f t="shared" si="84"/>
        <v>0</v>
      </c>
      <c r="M451" s="20">
        <f t="shared" si="78"/>
        <v>0</v>
      </c>
      <c r="N451" s="20">
        <f>ABS(G451)</f>
        <v>0</v>
      </c>
      <c r="O451" s="20">
        <f>ABS(I451)</f>
        <v>0</v>
      </c>
      <c r="P451" s="20">
        <f>ABS(K451)</f>
        <v>0</v>
      </c>
      <c r="Q451" s="20">
        <f t="shared" si="85"/>
        <v>0</v>
      </c>
    </row>
    <row r="452" spans="4:17" x14ac:dyDescent="0.35">
      <c r="D452" s="20" t="str">
        <f t="shared" si="80"/>
        <v/>
      </c>
      <c r="E452" s="23" t="str">
        <f t="shared" si="81"/>
        <v/>
      </c>
      <c r="F452" s="20" t="str">
        <f t="shared" ref="F452:F501" si="86">IF(D451&lt;=$B$5,((3*E452^2)-(4*E452)*(SIN(1.4*E452^3)^2))/((0.4*E452^2+1)^(1/4)),"")</f>
        <v/>
      </c>
      <c r="G452" s="20">
        <f t="shared" ref="G452:G501" si="87">IF(D452=$B$5+1,F452,0)</f>
        <v>0</v>
      </c>
      <c r="H452" s="20">
        <f t="shared" si="84"/>
        <v>0</v>
      </c>
      <c r="I452" s="20">
        <f t="shared" ref="I452:I501" si="88">IF(D451&lt;$B$5,F452*H452,0)</f>
        <v>0</v>
      </c>
      <c r="J452" s="20">
        <f t="shared" si="84"/>
        <v>0</v>
      </c>
      <c r="K452" s="20">
        <f t="shared" ref="K452:K501" si="89">IF(D451&lt;$B$5,F452*J452,0)</f>
        <v>0</v>
      </c>
      <c r="L452" s="20">
        <f t="shared" si="84"/>
        <v>1</v>
      </c>
      <c r="M452" s="20">
        <f t="shared" ref="M452:M501" si="90">IF(D451&lt;$B$5,F452*L452,0)</f>
        <v>0</v>
      </c>
      <c r="N452" s="20">
        <f>ABS(G452)</f>
        <v>0</v>
      </c>
      <c r="O452" s="20">
        <f>ABS(I452)</f>
        <v>0</v>
      </c>
      <c r="P452" s="20">
        <f>ABS(K452)</f>
        <v>0</v>
      </c>
      <c r="Q452" s="20">
        <f t="shared" si="85"/>
        <v>0</v>
      </c>
    </row>
    <row r="453" spans="4:17" x14ac:dyDescent="0.35">
      <c r="D453" s="20" t="str">
        <f t="shared" si="80"/>
        <v/>
      </c>
      <c r="E453" s="23" t="str">
        <f t="shared" si="81"/>
        <v/>
      </c>
      <c r="F453" s="20" t="str">
        <f t="shared" si="86"/>
        <v/>
      </c>
      <c r="G453" s="20">
        <f t="shared" si="87"/>
        <v>0</v>
      </c>
      <c r="H453" s="20">
        <f t="shared" si="84"/>
        <v>1</v>
      </c>
      <c r="I453" s="20">
        <f t="shared" si="88"/>
        <v>0</v>
      </c>
      <c r="J453" s="20">
        <f t="shared" si="84"/>
        <v>0</v>
      </c>
      <c r="K453" s="20">
        <f t="shared" si="89"/>
        <v>0</v>
      </c>
      <c r="L453" s="20">
        <f t="shared" si="84"/>
        <v>0</v>
      </c>
      <c r="M453" s="20">
        <f t="shared" si="90"/>
        <v>0</v>
      </c>
      <c r="N453" s="20">
        <f>ABS(G453)</f>
        <v>0</v>
      </c>
      <c r="O453" s="20">
        <f>ABS(I453)</f>
        <v>0</v>
      </c>
      <c r="P453" s="20">
        <f>ABS(K453)</f>
        <v>0</v>
      </c>
      <c r="Q453" s="20">
        <f t="shared" si="85"/>
        <v>0</v>
      </c>
    </row>
    <row r="454" spans="4:17" x14ac:dyDescent="0.35">
      <c r="D454" s="20" t="str">
        <f t="shared" si="80"/>
        <v/>
      </c>
      <c r="E454" s="23" t="str">
        <f t="shared" si="81"/>
        <v/>
      </c>
      <c r="F454" s="20" t="str">
        <f t="shared" si="86"/>
        <v/>
      </c>
      <c r="G454" s="20">
        <f t="shared" si="87"/>
        <v>0</v>
      </c>
      <c r="H454" s="20">
        <f t="shared" si="84"/>
        <v>0</v>
      </c>
      <c r="I454" s="20">
        <f t="shared" si="88"/>
        <v>0</v>
      </c>
      <c r="J454" s="20">
        <f t="shared" si="84"/>
        <v>1</v>
      </c>
      <c r="K454" s="20">
        <f t="shared" si="89"/>
        <v>0</v>
      </c>
      <c r="L454" s="20">
        <f t="shared" si="84"/>
        <v>0</v>
      </c>
      <c r="M454" s="20">
        <f t="shared" si="90"/>
        <v>0</v>
      </c>
      <c r="N454" s="20">
        <f>ABS(G454)</f>
        <v>0</v>
      </c>
      <c r="O454" s="20">
        <f>ABS(I454)</f>
        <v>0</v>
      </c>
      <c r="P454" s="20">
        <f>ABS(K454)</f>
        <v>0</v>
      </c>
      <c r="Q454" s="20">
        <f t="shared" si="85"/>
        <v>0</v>
      </c>
    </row>
    <row r="455" spans="4:17" x14ac:dyDescent="0.35">
      <c r="D455" s="20" t="str">
        <f t="shared" si="80"/>
        <v/>
      </c>
      <c r="E455" s="23" t="str">
        <f t="shared" si="81"/>
        <v/>
      </c>
      <c r="F455" s="20" t="str">
        <f t="shared" si="86"/>
        <v/>
      </c>
      <c r="G455" s="20">
        <f t="shared" si="87"/>
        <v>0</v>
      </c>
      <c r="H455" s="20">
        <f t="shared" ref="H455:L470" si="91">IF(H454+H453=0,1,0)</f>
        <v>0</v>
      </c>
      <c r="I455" s="20">
        <f t="shared" si="88"/>
        <v>0</v>
      </c>
      <c r="J455" s="20">
        <f t="shared" si="91"/>
        <v>0</v>
      </c>
      <c r="K455" s="20">
        <f t="shared" si="89"/>
        <v>0</v>
      </c>
      <c r="L455" s="20">
        <f t="shared" si="91"/>
        <v>1</v>
      </c>
      <c r="M455" s="20">
        <f t="shared" si="90"/>
        <v>0</v>
      </c>
      <c r="N455" s="20">
        <f>ABS(G455)</f>
        <v>0</v>
      </c>
      <c r="O455" s="20">
        <f>ABS(I455)</f>
        <v>0</v>
      </c>
      <c r="P455" s="20">
        <f>ABS(K455)</f>
        <v>0</v>
      </c>
      <c r="Q455" s="20">
        <f t="shared" si="85"/>
        <v>0</v>
      </c>
    </row>
    <row r="456" spans="4:17" x14ac:dyDescent="0.35">
      <c r="D456" s="20" t="str">
        <f t="shared" si="80"/>
        <v/>
      </c>
      <c r="E456" s="23" t="str">
        <f t="shared" si="81"/>
        <v/>
      </c>
      <c r="F456" s="20" t="str">
        <f t="shared" si="86"/>
        <v/>
      </c>
      <c r="G456" s="20">
        <f t="shared" si="87"/>
        <v>0</v>
      </c>
      <c r="H456" s="20">
        <f t="shared" si="91"/>
        <v>1</v>
      </c>
      <c r="I456" s="20">
        <f t="shared" si="88"/>
        <v>0</v>
      </c>
      <c r="J456" s="20">
        <f t="shared" si="91"/>
        <v>0</v>
      </c>
      <c r="K456" s="20">
        <f t="shared" si="89"/>
        <v>0</v>
      </c>
      <c r="L456" s="20">
        <f t="shared" si="91"/>
        <v>0</v>
      </c>
      <c r="M456" s="20">
        <f t="shared" si="90"/>
        <v>0</v>
      </c>
      <c r="N456" s="20">
        <f>ABS(G456)</f>
        <v>0</v>
      </c>
      <c r="O456" s="20">
        <f>ABS(I456)</f>
        <v>0</v>
      </c>
      <c r="P456" s="20">
        <f>ABS(K456)</f>
        <v>0</v>
      </c>
      <c r="Q456" s="20">
        <f t="shared" si="85"/>
        <v>0</v>
      </c>
    </row>
    <row r="457" spans="4:17" x14ac:dyDescent="0.35">
      <c r="D457" s="20" t="str">
        <f t="shared" si="80"/>
        <v/>
      </c>
      <c r="E457" s="23" t="str">
        <f t="shared" si="81"/>
        <v/>
      </c>
      <c r="F457" s="20" t="str">
        <f t="shared" si="86"/>
        <v/>
      </c>
      <c r="G457" s="20">
        <f t="shared" si="87"/>
        <v>0</v>
      </c>
      <c r="H457" s="20">
        <f t="shared" si="91"/>
        <v>0</v>
      </c>
      <c r="I457" s="20">
        <f t="shared" si="88"/>
        <v>0</v>
      </c>
      <c r="J457" s="20">
        <f t="shared" si="91"/>
        <v>1</v>
      </c>
      <c r="K457" s="20">
        <f t="shared" si="89"/>
        <v>0</v>
      </c>
      <c r="L457" s="20">
        <f t="shared" si="91"/>
        <v>0</v>
      </c>
      <c r="M457" s="20">
        <f t="shared" si="90"/>
        <v>0</v>
      </c>
      <c r="N457" s="20">
        <f>ABS(G457)</f>
        <v>0</v>
      </c>
      <c r="O457" s="20">
        <f>ABS(I457)</f>
        <v>0</v>
      </c>
      <c r="P457" s="20">
        <f>ABS(K457)</f>
        <v>0</v>
      </c>
      <c r="Q457" s="20">
        <f t="shared" si="85"/>
        <v>0</v>
      </c>
    </row>
    <row r="458" spans="4:17" x14ac:dyDescent="0.35">
      <c r="D458" s="20" t="str">
        <f t="shared" si="80"/>
        <v/>
      </c>
      <c r="E458" s="23" t="str">
        <f t="shared" si="81"/>
        <v/>
      </c>
      <c r="F458" s="20" t="str">
        <f t="shared" si="86"/>
        <v/>
      </c>
      <c r="G458" s="20">
        <f t="shared" si="87"/>
        <v>0</v>
      </c>
      <c r="H458" s="20">
        <f t="shared" si="91"/>
        <v>0</v>
      </c>
      <c r="I458" s="20">
        <f t="shared" si="88"/>
        <v>0</v>
      </c>
      <c r="J458" s="20">
        <f t="shared" si="91"/>
        <v>0</v>
      </c>
      <c r="K458" s="20">
        <f t="shared" si="89"/>
        <v>0</v>
      </c>
      <c r="L458" s="20">
        <f t="shared" si="91"/>
        <v>1</v>
      </c>
      <c r="M458" s="20">
        <f t="shared" si="90"/>
        <v>0</v>
      </c>
      <c r="N458" s="20">
        <f>ABS(G458)</f>
        <v>0</v>
      </c>
      <c r="O458" s="20">
        <f>ABS(I458)</f>
        <v>0</v>
      </c>
      <c r="P458" s="20">
        <f>ABS(K458)</f>
        <v>0</v>
      </c>
      <c r="Q458" s="20">
        <f t="shared" si="85"/>
        <v>0</v>
      </c>
    </row>
    <row r="459" spans="4:17" x14ac:dyDescent="0.35">
      <c r="D459" s="20" t="str">
        <f t="shared" si="80"/>
        <v/>
      </c>
      <c r="E459" s="23" t="str">
        <f t="shared" si="81"/>
        <v/>
      </c>
      <c r="F459" s="20" t="str">
        <f t="shared" si="86"/>
        <v/>
      </c>
      <c r="G459" s="20">
        <f t="shared" si="87"/>
        <v>0</v>
      </c>
      <c r="H459" s="20">
        <f t="shared" si="91"/>
        <v>1</v>
      </c>
      <c r="I459" s="20">
        <f t="shared" si="88"/>
        <v>0</v>
      </c>
      <c r="J459" s="20">
        <f t="shared" si="91"/>
        <v>0</v>
      </c>
      <c r="K459" s="20">
        <f t="shared" si="89"/>
        <v>0</v>
      </c>
      <c r="L459" s="20">
        <f t="shared" si="91"/>
        <v>0</v>
      </c>
      <c r="M459" s="20">
        <f t="shared" si="90"/>
        <v>0</v>
      </c>
      <c r="N459" s="20">
        <f>ABS(G459)</f>
        <v>0</v>
      </c>
      <c r="O459" s="20">
        <f>ABS(I459)</f>
        <v>0</v>
      </c>
      <c r="P459" s="20">
        <f>ABS(K459)</f>
        <v>0</v>
      </c>
      <c r="Q459" s="20">
        <f t="shared" si="85"/>
        <v>0</v>
      </c>
    </row>
    <row r="460" spans="4:17" x14ac:dyDescent="0.35">
      <c r="D460" s="20" t="str">
        <f t="shared" si="80"/>
        <v/>
      </c>
      <c r="E460" s="23" t="str">
        <f t="shared" si="81"/>
        <v/>
      </c>
      <c r="F460" s="20" t="str">
        <f t="shared" si="86"/>
        <v/>
      </c>
      <c r="G460" s="20">
        <f t="shared" si="87"/>
        <v>0</v>
      </c>
      <c r="H460" s="20">
        <f t="shared" si="91"/>
        <v>0</v>
      </c>
      <c r="I460" s="20">
        <f t="shared" si="88"/>
        <v>0</v>
      </c>
      <c r="J460" s="20">
        <f t="shared" si="91"/>
        <v>1</v>
      </c>
      <c r="K460" s="20">
        <f t="shared" si="89"/>
        <v>0</v>
      </c>
      <c r="L460" s="20">
        <f t="shared" si="91"/>
        <v>0</v>
      </c>
      <c r="M460" s="20">
        <f t="shared" si="90"/>
        <v>0</v>
      </c>
      <c r="N460" s="20">
        <f>ABS(G460)</f>
        <v>0</v>
      </c>
      <c r="O460" s="20">
        <f>ABS(I460)</f>
        <v>0</v>
      </c>
      <c r="P460" s="20">
        <f>ABS(K460)</f>
        <v>0</v>
      </c>
      <c r="Q460" s="20">
        <f t="shared" si="85"/>
        <v>0</v>
      </c>
    </row>
    <row r="461" spans="4:17" x14ac:dyDescent="0.35">
      <c r="D461" s="20" t="str">
        <f t="shared" si="80"/>
        <v/>
      </c>
      <c r="E461" s="23" t="str">
        <f t="shared" si="81"/>
        <v/>
      </c>
      <c r="F461" s="20" t="str">
        <f t="shared" si="86"/>
        <v/>
      </c>
      <c r="G461" s="20">
        <f t="shared" si="87"/>
        <v>0</v>
      </c>
      <c r="H461" s="20">
        <f t="shared" si="91"/>
        <v>0</v>
      </c>
      <c r="I461" s="20">
        <f t="shared" si="88"/>
        <v>0</v>
      </c>
      <c r="J461" s="20">
        <f t="shared" si="91"/>
        <v>0</v>
      </c>
      <c r="K461" s="20">
        <f t="shared" si="89"/>
        <v>0</v>
      </c>
      <c r="L461" s="20">
        <f t="shared" si="91"/>
        <v>1</v>
      </c>
      <c r="M461" s="20">
        <f t="shared" si="90"/>
        <v>0</v>
      </c>
      <c r="N461" s="20">
        <f>ABS(G461)</f>
        <v>0</v>
      </c>
      <c r="O461" s="20">
        <f>ABS(I461)</f>
        <v>0</v>
      </c>
      <c r="P461" s="20">
        <f>ABS(K461)</f>
        <v>0</v>
      </c>
      <c r="Q461" s="20">
        <f t="shared" si="85"/>
        <v>0</v>
      </c>
    </row>
    <row r="462" spans="4:17" x14ac:dyDescent="0.35">
      <c r="D462" s="20" t="str">
        <f t="shared" si="80"/>
        <v/>
      </c>
      <c r="E462" s="23" t="str">
        <f t="shared" si="81"/>
        <v/>
      </c>
      <c r="F462" s="20" t="str">
        <f t="shared" si="86"/>
        <v/>
      </c>
      <c r="G462" s="20">
        <f t="shared" si="87"/>
        <v>0</v>
      </c>
      <c r="H462" s="20">
        <f t="shared" si="91"/>
        <v>1</v>
      </c>
      <c r="I462" s="20">
        <f t="shared" si="88"/>
        <v>0</v>
      </c>
      <c r="J462" s="20">
        <f t="shared" si="91"/>
        <v>0</v>
      </c>
      <c r="K462" s="20">
        <f t="shared" si="89"/>
        <v>0</v>
      </c>
      <c r="L462" s="20">
        <f t="shared" si="91"/>
        <v>0</v>
      </c>
      <c r="M462" s="20">
        <f t="shared" si="90"/>
        <v>0</v>
      </c>
      <c r="N462" s="20">
        <f>ABS(G462)</f>
        <v>0</v>
      </c>
      <c r="O462" s="20">
        <f>ABS(I462)</f>
        <v>0</v>
      </c>
      <c r="P462" s="20">
        <f>ABS(K462)</f>
        <v>0</v>
      </c>
      <c r="Q462" s="20">
        <f t="shared" si="85"/>
        <v>0</v>
      </c>
    </row>
    <row r="463" spans="4:17" x14ac:dyDescent="0.35">
      <c r="D463" s="20" t="str">
        <f t="shared" si="80"/>
        <v/>
      </c>
      <c r="E463" s="23" t="str">
        <f t="shared" si="81"/>
        <v/>
      </c>
      <c r="F463" s="20" t="str">
        <f t="shared" si="86"/>
        <v/>
      </c>
      <c r="G463" s="20">
        <f t="shared" si="87"/>
        <v>0</v>
      </c>
      <c r="H463" s="20">
        <f t="shared" si="91"/>
        <v>0</v>
      </c>
      <c r="I463" s="20">
        <f t="shared" si="88"/>
        <v>0</v>
      </c>
      <c r="J463" s="20">
        <f t="shared" si="91"/>
        <v>1</v>
      </c>
      <c r="K463" s="20">
        <f t="shared" si="89"/>
        <v>0</v>
      </c>
      <c r="L463" s="20">
        <f t="shared" si="91"/>
        <v>0</v>
      </c>
      <c r="M463" s="20">
        <f t="shared" si="90"/>
        <v>0</v>
      </c>
      <c r="N463" s="20">
        <f>ABS(G463)</f>
        <v>0</v>
      </c>
      <c r="O463" s="20">
        <f>ABS(I463)</f>
        <v>0</v>
      </c>
      <c r="P463" s="20">
        <f>ABS(K463)</f>
        <v>0</v>
      </c>
      <c r="Q463" s="20">
        <f t="shared" si="85"/>
        <v>0</v>
      </c>
    </row>
    <row r="464" spans="4:17" x14ac:dyDescent="0.35">
      <c r="D464" s="20" t="str">
        <f t="shared" si="80"/>
        <v/>
      </c>
      <c r="E464" s="23" t="str">
        <f t="shared" si="81"/>
        <v/>
      </c>
      <c r="F464" s="20" t="str">
        <f t="shared" si="86"/>
        <v/>
      </c>
      <c r="G464" s="20">
        <f t="shared" si="87"/>
        <v>0</v>
      </c>
      <c r="H464" s="20">
        <f t="shared" si="91"/>
        <v>0</v>
      </c>
      <c r="I464" s="20">
        <f t="shared" si="88"/>
        <v>0</v>
      </c>
      <c r="J464" s="20">
        <f t="shared" si="91"/>
        <v>0</v>
      </c>
      <c r="K464" s="20">
        <f t="shared" si="89"/>
        <v>0</v>
      </c>
      <c r="L464" s="20">
        <f t="shared" si="91"/>
        <v>1</v>
      </c>
      <c r="M464" s="20">
        <f t="shared" si="90"/>
        <v>0</v>
      </c>
      <c r="N464" s="20">
        <f>ABS(G464)</f>
        <v>0</v>
      </c>
      <c r="O464" s="20">
        <f>ABS(I464)</f>
        <v>0</v>
      </c>
      <c r="P464" s="20">
        <f>ABS(K464)</f>
        <v>0</v>
      </c>
      <c r="Q464" s="20">
        <f t="shared" si="85"/>
        <v>0</v>
      </c>
    </row>
    <row r="465" spans="4:17" x14ac:dyDescent="0.35">
      <c r="D465" s="20" t="str">
        <f t="shared" si="80"/>
        <v/>
      </c>
      <c r="E465" s="23" t="str">
        <f t="shared" si="81"/>
        <v/>
      </c>
      <c r="F465" s="20" t="str">
        <f t="shared" si="86"/>
        <v/>
      </c>
      <c r="G465" s="20">
        <f t="shared" si="87"/>
        <v>0</v>
      </c>
      <c r="H465" s="20">
        <f t="shared" si="91"/>
        <v>1</v>
      </c>
      <c r="I465" s="20">
        <f t="shared" si="88"/>
        <v>0</v>
      </c>
      <c r="J465" s="20">
        <f t="shared" si="91"/>
        <v>0</v>
      </c>
      <c r="K465" s="20">
        <f t="shared" si="89"/>
        <v>0</v>
      </c>
      <c r="L465" s="20">
        <f t="shared" si="91"/>
        <v>0</v>
      </c>
      <c r="M465" s="20">
        <f t="shared" si="90"/>
        <v>0</v>
      </c>
      <c r="N465" s="20">
        <f>ABS(G465)</f>
        <v>0</v>
      </c>
      <c r="O465" s="20">
        <f>ABS(I465)</f>
        <v>0</v>
      </c>
      <c r="P465" s="20">
        <f>ABS(K465)</f>
        <v>0</v>
      </c>
      <c r="Q465" s="20">
        <f t="shared" si="85"/>
        <v>0</v>
      </c>
    </row>
    <row r="466" spans="4:17" x14ac:dyDescent="0.35">
      <c r="D466" s="20" t="str">
        <f t="shared" si="80"/>
        <v/>
      </c>
      <c r="E466" s="23" t="str">
        <f t="shared" si="81"/>
        <v/>
      </c>
      <c r="F466" s="20" t="str">
        <f t="shared" si="86"/>
        <v/>
      </c>
      <c r="G466" s="20">
        <f t="shared" si="87"/>
        <v>0</v>
      </c>
      <c r="H466" s="20">
        <f t="shared" si="91"/>
        <v>0</v>
      </c>
      <c r="I466" s="20">
        <f t="shared" si="88"/>
        <v>0</v>
      </c>
      <c r="J466" s="20">
        <f t="shared" si="91"/>
        <v>1</v>
      </c>
      <c r="K466" s="20">
        <f t="shared" si="89"/>
        <v>0</v>
      </c>
      <c r="L466" s="20">
        <f t="shared" si="91"/>
        <v>0</v>
      </c>
      <c r="M466" s="20">
        <f t="shared" si="90"/>
        <v>0</v>
      </c>
      <c r="N466" s="20">
        <f>ABS(G466)</f>
        <v>0</v>
      </c>
      <c r="O466" s="20">
        <f>ABS(I466)</f>
        <v>0</v>
      </c>
      <c r="P466" s="20">
        <f>ABS(K466)</f>
        <v>0</v>
      </c>
      <c r="Q466" s="20">
        <f t="shared" si="85"/>
        <v>0</v>
      </c>
    </row>
    <row r="467" spans="4:17" x14ac:dyDescent="0.35">
      <c r="D467" s="20" t="str">
        <f t="shared" si="80"/>
        <v/>
      </c>
      <c r="E467" s="23" t="str">
        <f t="shared" si="81"/>
        <v/>
      </c>
      <c r="F467" s="20" t="str">
        <f t="shared" si="86"/>
        <v/>
      </c>
      <c r="G467" s="20">
        <f t="shared" si="87"/>
        <v>0</v>
      </c>
      <c r="H467" s="20">
        <f t="shared" si="91"/>
        <v>0</v>
      </c>
      <c r="I467" s="20">
        <f t="shared" si="88"/>
        <v>0</v>
      </c>
      <c r="J467" s="20">
        <f t="shared" si="91"/>
        <v>0</v>
      </c>
      <c r="K467" s="20">
        <f t="shared" si="89"/>
        <v>0</v>
      </c>
      <c r="L467" s="20">
        <f t="shared" si="91"/>
        <v>1</v>
      </c>
      <c r="M467" s="20">
        <f t="shared" si="90"/>
        <v>0</v>
      </c>
      <c r="N467" s="20">
        <f>ABS(G467)</f>
        <v>0</v>
      </c>
      <c r="O467" s="20">
        <f>ABS(I467)</f>
        <v>0</v>
      </c>
      <c r="P467" s="20">
        <f>ABS(K467)</f>
        <v>0</v>
      </c>
      <c r="Q467" s="20">
        <f t="shared" si="85"/>
        <v>0</v>
      </c>
    </row>
    <row r="468" spans="4:17" x14ac:dyDescent="0.35">
      <c r="D468" s="20" t="str">
        <f t="shared" si="80"/>
        <v/>
      </c>
      <c r="E468" s="23" t="str">
        <f t="shared" si="81"/>
        <v/>
      </c>
      <c r="F468" s="20" t="str">
        <f t="shared" si="86"/>
        <v/>
      </c>
      <c r="G468" s="20">
        <f t="shared" si="87"/>
        <v>0</v>
      </c>
      <c r="H468" s="20">
        <f t="shared" si="91"/>
        <v>1</v>
      </c>
      <c r="I468" s="20">
        <f t="shared" si="88"/>
        <v>0</v>
      </c>
      <c r="J468" s="20">
        <f t="shared" si="91"/>
        <v>0</v>
      </c>
      <c r="K468" s="20">
        <f t="shared" si="89"/>
        <v>0</v>
      </c>
      <c r="L468" s="20">
        <f t="shared" si="91"/>
        <v>0</v>
      </c>
      <c r="M468" s="20">
        <f t="shared" si="90"/>
        <v>0</v>
      </c>
      <c r="N468" s="20">
        <f>ABS(G468)</f>
        <v>0</v>
      </c>
      <c r="O468" s="20">
        <f>ABS(I468)</f>
        <v>0</v>
      </c>
      <c r="P468" s="20">
        <f>ABS(K468)</f>
        <v>0</v>
      </c>
      <c r="Q468" s="20">
        <f t="shared" si="85"/>
        <v>0</v>
      </c>
    </row>
    <row r="469" spans="4:17" x14ac:dyDescent="0.35">
      <c r="D469" s="20" t="str">
        <f t="shared" si="80"/>
        <v/>
      </c>
      <c r="E469" s="23" t="str">
        <f t="shared" si="81"/>
        <v/>
      </c>
      <c r="F469" s="20" t="str">
        <f t="shared" si="86"/>
        <v/>
      </c>
      <c r="G469" s="20">
        <f t="shared" si="87"/>
        <v>0</v>
      </c>
      <c r="H469" s="20">
        <f t="shared" si="91"/>
        <v>0</v>
      </c>
      <c r="I469" s="20">
        <f t="shared" si="88"/>
        <v>0</v>
      </c>
      <c r="J469" s="20">
        <f t="shared" si="91"/>
        <v>1</v>
      </c>
      <c r="K469" s="20">
        <f t="shared" si="89"/>
        <v>0</v>
      </c>
      <c r="L469" s="20">
        <f t="shared" si="91"/>
        <v>0</v>
      </c>
      <c r="M469" s="20">
        <f t="shared" si="90"/>
        <v>0</v>
      </c>
      <c r="N469" s="20">
        <f>ABS(G469)</f>
        <v>0</v>
      </c>
      <c r="O469" s="20">
        <f>ABS(I469)</f>
        <v>0</v>
      </c>
      <c r="P469" s="20">
        <f>ABS(K469)</f>
        <v>0</v>
      </c>
      <c r="Q469" s="20">
        <f t="shared" si="85"/>
        <v>0</v>
      </c>
    </row>
    <row r="470" spans="4:17" x14ac:dyDescent="0.35">
      <c r="D470" s="20" t="str">
        <f t="shared" si="80"/>
        <v/>
      </c>
      <c r="E470" s="23" t="str">
        <f t="shared" si="81"/>
        <v/>
      </c>
      <c r="F470" s="20" t="str">
        <f t="shared" si="86"/>
        <v/>
      </c>
      <c r="G470" s="20">
        <f t="shared" si="87"/>
        <v>0</v>
      </c>
      <c r="H470" s="20">
        <f t="shared" si="91"/>
        <v>0</v>
      </c>
      <c r="I470" s="20">
        <f t="shared" si="88"/>
        <v>0</v>
      </c>
      <c r="J470" s="20">
        <f t="shared" si="91"/>
        <v>0</v>
      </c>
      <c r="K470" s="20">
        <f t="shared" si="89"/>
        <v>0</v>
      </c>
      <c r="L470" s="20">
        <f t="shared" si="91"/>
        <v>1</v>
      </c>
      <c r="M470" s="20">
        <f t="shared" si="90"/>
        <v>0</v>
      </c>
      <c r="N470" s="20">
        <f>ABS(G470)</f>
        <v>0</v>
      </c>
      <c r="O470" s="20">
        <f>ABS(I470)</f>
        <v>0</v>
      </c>
      <c r="P470" s="20">
        <f>ABS(K470)</f>
        <v>0</v>
      </c>
      <c r="Q470" s="20">
        <f t="shared" si="85"/>
        <v>0</v>
      </c>
    </row>
    <row r="471" spans="4:17" x14ac:dyDescent="0.35">
      <c r="D471" s="20" t="str">
        <f t="shared" ref="D471:D501" si="92">IF(D470&lt;=$B$5,D470+1,"")</f>
        <v/>
      </c>
      <c r="E471" s="23" t="str">
        <f t="shared" ref="E471:E501" si="93">IF(D470&lt;=$B$5,E470+$B$6,"")</f>
        <v/>
      </c>
      <c r="F471" s="20" t="str">
        <f t="shared" si="86"/>
        <v/>
      </c>
      <c r="G471" s="20">
        <f t="shared" si="87"/>
        <v>0</v>
      </c>
      <c r="H471" s="20">
        <f t="shared" ref="H471:L486" si="94">IF(H470+H469=0,1,0)</f>
        <v>1</v>
      </c>
      <c r="I471" s="20">
        <f t="shared" si="88"/>
        <v>0</v>
      </c>
      <c r="J471" s="20">
        <f t="shared" si="94"/>
        <v>0</v>
      </c>
      <c r="K471" s="20">
        <f t="shared" si="89"/>
        <v>0</v>
      </c>
      <c r="L471" s="20">
        <f t="shared" si="94"/>
        <v>0</v>
      </c>
      <c r="M471" s="20">
        <f t="shared" si="90"/>
        <v>0</v>
      </c>
      <c r="N471" s="20">
        <f>ABS(G471)</f>
        <v>0</v>
      </c>
      <c r="O471" s="20">
        <f>ABS(I471)</f>
        <v>0</v>
      </c>
      <c r="P471" s="20">
        <f>ABS(K471)</f>
        <v>0</v>
      </c>
      <c r="Q471" s="20">
        <f t="shared" si="85"/>
        <v>0</v>
      </c>
    </row>
    <row r="472" spans="4:17" x14ac:dyDescent="0.35">
      <c r="D472" s="20" t="str">
        <f t="shared" si="92"/>
        <v/>
      </c>
      <c r="E472" s="23" t="str">
        <f t="shared" si="93"/>
        <v/>
      </c>
      <c r="F472" s="20" t="str">
        <f t="shared" si="86"/>
        <v/>
      </c>
      <c r="G472" s="20">
        <f t="shared" si="87"/>
        <v>0</v>
      </c>
      <c r="H472" s="20">
        <f t="shared" si="94"/>
        <v>0</v>
      </c>
      <c r="I472" s="20">
        <f t="shared" si="88"/>
        <v>0</v>
      </c>
      <c r="J472" s="20">
        <f t="shared" si="94"/>
        <v>1</v>
      </c>
      <c r="K472" s="20">
        <f t="shared" si="89"/>
        <v>0</v>
      </c>
      <c r="L472" s="20">
        <f t="shared" si="94"/>
        <v>0</v>
      </c>
      <c r="M472" s="20">
        <f t="shared" si="90"/>
        <v>0</v>
      </c>
      <c r="N472" s="20">
        <f>ABS(G472)</f>
        <v>0</v>
      </c>
      <c r="O472" s="20">
        <f>ABS(I472)</f>
        <v>0</v>
      </c>
      <c r="P472" s="20">
        <f>ABS(K472)</f>
        <v>0</v>
      </c>
      <c r="Q472" s="20">
        <f t="shared" si="85"/>
        <v>0</v>
      </c>
    </row>
    <row r="473" spans="4:17" x14ac:dyDescent="0.35">
      <c r="D473" s="20" t="str">
        <f t="shared" si="92"/>
        <v/>
      </c>
      <c r="E473" s="23" t="str">
        <f t="shared" si="93"/>
        <v/>
      </c>
      <c r="F473" s="20" t="str">
        <f t="shared" si="86"/>
        <v/>
      </c>
      <c r="G473" s="20">
        <f t="shared" si="87"/>
        <v>0</v>
      </c>
      <c r="H473" s="20">
        <f t="shared" si="94"/>
        <v>0</v>
      </c>
      <c r="I473" s="20">
        <f t="shared" si="88"/>
        <v>0</v>
      </c>
      <c r="J473" s="20">
        <f t="shared" si="94"/>
        <v>0</v>
      </c>
      <c r="K473" s="20">
        <f t="shared" si="89"/>
        <v>0</v>
      </c>
      <c r="L473" s="20">
        <f t="shared" si="94"/>
        <v>1</v>
      </c>
      <c r="M473" s="20">
        <f t="shared" si="90"/>
        <v>0</v>
      </c>
      <c r="N473" s="20">
        <f>ABS(G473)</f>
        <v>0</v>
      </c>
      <c r="O473" s="20">
        <f>ABS(I473)</f>
        <v>0</v>
      </c>
      <c r="P473" s="20">
        <f>ABS(K473)</f>
        <v>0</v>
      </c>
      <c r="Q473" s="20">
        <f t="shared" si="85"/>
        <v>0</v>
      </c>
    </row>
    <row r="474" spans="4:17" x14ac:dyDescent="0.35">
      <c r="D474" s="20" t="str">
        <f t="shared" si="92"/>
        <v/>
      </c>
      <c r="E474" s="23" t="str">
        <f t="shared" si="93"/>
        <v/>
      </c>
      <c r="F474" s="20" t="str">
        <f t="shared" si="86"/>
        <v/>
      </c>
      <c r="G474" s="20">
        <f t="shared" si="87"/>
        <v>0</v>
      </c>
      <c r="H474" s="20">
        <f t="shared" si="94"/>
        <v>1</v>
      </c>
      <c r="I474" s="20">
        <f t="shared" si="88"/>
        <v>0</v>
      </c>
      <c r="J474" s="20">
        <f t="shared" si="94"/>
        <v>0</v>
      </c>
      <c r="K474" s="20">
        <f t="shared" si="89"/>
        <v>0</v>
      </c>
      <c r="L474" s="20">
        <f t="shared" si="94"/>
        <v>0</v>
      </c>
      <c r="M474" s="20">
        <f t="shared" si="90"/>
        <v>0</v>
      </c>
      <c r="N474" s="20">
        <f>ABS(G474)</f>
        <v>0</v>
      </c>
      <c r="O474" s="20">
        <f>ABS(I474)</f>
        <v>0</v>
      </c>
      <c r="P474" s="20">
        <f>ABS(K474)</f>
        <v>0</v>
      </c>
      <c r="Q474" s="20">
        <f t="shared" si="85"/>
        <v>0</v>
      </c>
    </row>
    <row r="475" spans="4:17" x14ac:dyDescent="0.35">
      <c r="D475" s="20" t="str">
        <f t="shared" si="92"/>
        <v/>
      </c>
      <c r="E475" s="23" t="str">
        <f t="shared" si="93"/>
        <v/>
      </c>
      <c r="F475" s="20" t="str">
        <f t="shared" si="86"/>
        <v/>
      </c>
      <c r="G475" s="20">
        <f t="shared" si="87"/>
        <v>0</v>
      </c>
      <c r="H475" s="20">
        <f t="shared" si="94"/>
        <v>0</v>
      </c>
      <c r="I475" s="20">
        <f t="shared" si="88"/>
        <v>0</v>
      </c>
      <c r="J475" s="20">
        <f t="shared" si="94"/>
        <v>1</v>
      </c>
      <c r="K475" s="20">
        <f t="shared" si="89"/>
        <v>0</v>
      </c>
      <c r="L475" s="20">
        <f t="shared" si="94"/>
        <v>0</v>
      </c>
      <c r="M475" s="20">
        <f t="shared" si="90"/>
        <v>0</v>
      </c>
      <c r="N475" s="20">
        <f>ABS(G475)</f>
        <v>0</v>
      </c>
      <c r="O475" s="20">
        <f>ABS(I475)</f>
        <v>0</v>
      </c>
      <c r="P475" s="20">
        <f>ABS(K475)</f>
        <v>0</v>
      </c>
      <c r="Q475" s="20">
        <f t="shared" si="85"/>
        <v>0</v>
      </c>
    </row>
    <row r="476" spans="4:17" x14ac:dyDescent="0.35">
      <c r="D476" s="20" t="str">
        <f t="shared" si="92"/>
        <v/>
      </c>
      <c r="E476" s="23" t="str">
        <f t="shared" si="93"/>
        <v/>
      </c>
      <c r="F476" s="20" t="str">
        <f t="shared" si="86"/>
        <v/>
      </c>
      <c r="G476" s="20">
        <f t="shared" si="87"/>
        <v>0</v>
      </c>
      <c r="H476" s="20">
        <f t="shared" si="94"/>
        <v>0</v>
      </c>
      <c r="I476" s="20">
        <f t="shared" si="88"/>
        <v>0</v>
      </c>
      <c r="J476" s="20">
        <f t="shared" si="94"/>
        <v>0</v>
      </c>
      <c r="K476" s="20">
        <f t="shared" si="89"/>
        <v>0</v>
      </c>
      <c r="L476" s="20">
        <f t="shared" si="94"/>
        <v>1</v>
      </c>
      <c r="M476" s="20">
        <f t="shared" si="90"/>
        <v>0</v>
      </c>
      <c r="N476" s="20">
        <f>ABS(G476)</f>
        <v>0</v>
      </c>
      <c r="O476" s="20">
        <f>ABS(I476)</f>
        <v>0</v>
      </c>
      <c r="P476" s="20">
        <f>ABS(K476)</f>
        <v>0</v>
      </c>
      <c r="Q476" s="20">
        <f t="shared" si="85"/>
        <v>0</v>
      </c>
    </row>
    <row r="477" spans="4:17" x14ac:dyDescent="0.35">
      <c r="D477" s="20" t="str">
        <f t="shared" si="92"/>
        <v/>
      </c>
      <c r="E477" s="23" t="str">
        <f t="shared" si="93"/>
        <v/>
      </c>
      <c r="F477" s="20" t="str">
        <f t="shared" si="86"/>
        <v/>
      </c>
      <c r="G477" s="20">
        <f t="shared" si="87"/>
        <v>0</v>
      </c>
      <c r="H477" s="20">
        <f t="shared" si="94"/>
        <v>1</v>
      </c>
      <c r="I477" s="20">
        <f t="shared" si="88"/>
        <v>0</v>
      </c>
      <c r="J477" s="20">
        <f t="shared" si="94"/>
        <v>0</v>
      </c>
      <c r="K477" s="20">
        <f t="shared" si="89"/>
        <v>0</v>
      </c>
      <c r="L477" s="20">
        <f t="shared" si="94"/>
        <v>0</v>
      </c>
      <c r="M477" s="20">
        <f t="shared" si="90"/>
        <v>0</v>
      </c>
      <c r="N477" s="20">
        <f>ABS(G477)</f>
        <v>0</v>
      </c>
      <c r="O477" s="20">
        <f>ABS(I477)</f>
        <v>0</v>
      </c>
      <c r="P477" s="20">
        <f>ABS(K477)</f>
        <v>0</v>
      </c>
      <c r="Q477" s="20">
        <f t="shared" si="85"/>
        <v>0</v>
      </c>
    </row>
    <row r="478" spans="4:17" x14ac:dyDescent="0.35">
      <c r="D478" s="20" t="str">
        <f t="shared" si="92"/>
        <v/>
      </c>
      <c r="E478" s="23" t="str">
        <f t="shared" si="93"/>
        <v/>
      </c>
      <c r="F478" s="20" t="str">
        <f t="shared" si="86"/>
        <v/>
      </c>
      <c r="G478" s="20">
        <f t="shared" si="87"/>
        <v>0</v>
      </c>
      <c r="H478" s="20">
        <f t="shared" si="94"/>
        <v>0</v>
      </c>
      <c r="I478" s="20">
        <f t="shared" si="88"/>
        <v>0</v>
      </c>
      <c r="J478" s="20">
        <f t="shared" si="94"/>
        <v>1</v>
      </c>
      <c r="K478" s="20">
        <f t="shared" si="89"/>
        <v>0</v>
      </c>
      <c r="L478" s="20">
        <f t="shared" si="94"/>
        <v>0</v>
      </c>
      <c r="M478" s="20">
        <f t="shared" si="90"/>
        <v>0</v>
      </c>
      <c r="N478" s="20">
        <f>ABS(G478)</f>
        <v>0</v>
      </c>
      <c r="O478" s="20">
        <f>ABS(I478)</f>
        <v>0</v>
      </c>
      <c r="P478" s="20">
        <f>ABS(K478)</f>
        <v>0</v>
      </c>
      <c r="Q478" s="20">
        <f t="shared" si="85"/>
        <v>0</v>
      </c>
    </row>
    <row r="479" spans="4:17" x14ac:dyDescent="0.35">
      <c r="D479" s="20" t="str">
        <f t="shared" si="92"/>
        <v/>
      </c>
      <c r="E479" s="23" t="str">
        <f t="shared" si="93"/>
        <v/>
      </c>
      <c r="F479" s="20" t="str">
        <f t="shared" si="86"/>
        <v/>
      </c>
      <c r="G479" s="20">
        <f t="shared" si="87"/>
        <v>0</v>
      </c>
      <c r="H479" s="20">
        <f t="shared" si="94"/>
        <v>0</v>
      </c>
      <c r="I479" s="20">
        <f t="shared" si="88"/>
        <v>0</v>
      </c>
      <c r="J479" s="20">
        <f t="shared" si="94"/>
        <v>0</v>
      </c>
      <c r="K479" s="20">
        <f t="shared" si="89"/>
        <v>0</v>
      </c>
      <c r="L479" s="20">
        <f t="shared" si="94"/>
        <v>1</v>
      </c>
      <c r="M479" s="20">
        <f t="shared" si="90"/>
        <v>0</v>
      </c>
      <c r="N479" s="20">
        <f>ABS(G479)</f>
        <v>0</v>
      </c>
      <c r="O479" s="20">
        <f>ABS(I479)</f>
        <v>0</v>
      </c>
      <c r="P479" s="20">
        <f>ABS(K479)</f>
        <v>0</v>
      </c>
      <c r="Q479" s="20">
        <f t="shared" si="85"/>
        <v>0</v>
      </c>
    </row>
    <row r="480" spans="4:17" x14ac:dyDescent="0.35">
      <c r="D480" s="20" t="str">
        <f t="shared" si="92"/>
        <v/>
      </c>
      <c r="E480" s="23" t="str">
        <f t="shared" si="93"/>
        <v/>
      </c>
      <c r="F480" s="20" t="str">
        <f t="shared" si="86"/>
        <v/>
      </c>
      <c r="G480" s="20">
        <f t="shared" si="87"/>
        <v>0</v>
      </c>
      <c r="H480" s="20">
        <f t="shared" si="94"/>
        <v>1</v>
      </c>
      <c r="I480" s="20">
        <f t="shared" si="88"/>
        <v>0</v>
      </c>
      <c r="J480" s="20">
        <f t="shared" si="94"/>
        <v>0</v>
      </c>
      <c r="K480" s="20">
        <f t="shared" si="89"/>
        <v>0</v>
      </c>
      <c r="L480" s="20">
        <f t="shared" si="94"/>
        <v>0</v>
      </c>
      <c r="M480" s="20">
        <f t="shared" si="90"/>
        <v>0</v>
      </c>
      <c r="N480" s="20">
        <f>ABS(G480)</f>
        <v>0</v>
      </c>
      <c r="O480" s="20">
        <f>ABS(I480)</f>
        <v>0</v>
      </c>
      <c r="P480" s="20">
        <f>ABS(K480)</f>
        <v>0</v>
      </c>
      <c r="Q480" s="20">
        <f t="shared" si="85"/>
        <v>0</v>
      </c>
    </row>
    <row r="481" spans="4:17" x14ac:dyDescent="0.35">
      <c r="D481" s="20" t="str">
        <f t="shared" si="92"/>
        <v/>
      </c>
      <c r="E481" s="23" t="str">
        <f t="shared" si="93"/>
        <v/>
      </c>
      <c r="F481" s="20" t="str">
        <f t="shared" si="86"/>
        <v/>
      </c>
      <c r="G481" s="20">
        <f t="shared" si="87"/>
        <v>0</v>
      </c>
      <c r="H481" s="20">
        <f t="shared" si="94"/>
        <v>0</v>
      </c>
      <c r="I481" s="20">
        <f t="shared" si="88"/>
        <v>0</v>
      </c>
      <c r="J481" s="20">
        <f t="shared" si="94"/>
        <v>1</v>
      </c>
      <c r="K481" s="20">
        <f t="shared" si="89"/>
        <v>0</v>
      </c>
      <c r="L481" s="20">
        <f t="shared" si="94"/>
        <v>0</v>
      </c>
      <c r="M481" s="20">
        <f t="shared" si="90"/>
        <v>0</v>
      </c>
      <c r="N481" s="20">
        <f>ABS(G481)</f>
        <v>0</v>
      </c>
      <c r="O481" s="20">
        <f>ABS(I481)</f>
        <v>0</v>
      </c>
      <c r="P481" s="20">
        <f>ABS(K481)</f>
        <v>0</v>
      </c>
      <c r="Q481" s="20">
        <f t="shared" si="85"/>
        <v>0</v>
      </c>
    </row>
    <row r="482" spans="4:17" x14ac:dyDescent="0.35">
      <c r="D482" s="20" t="str">
        <f t="shared" si="92"/>
        <v/>
      </c>
      <c r="E482" s="23" t="str">
        <f t="shared" si="93"/>
        <v/>
      </c>
      <c r="F482" s="20" t="str">
        <f t="shared" si="86"/>
        <v/>
      </c>
      <c r="G482" s="20">
        <f t="shared" si="87"/>
        <v>0</v>
      </c>
      <c r="H482" s="20">
        <f t="shared" si="94"/>
        <v>0</v>
      </c>
      <c r="I482" s="20">
        <f t="shared" si="88"/>
        <v>0</v>
      </c>
      <c r="J482" s="20">
        <f t="shared" si="94"/>
        <v>0</v>
      </c>
      <c r="K482" s="20">
        <f t="shared" si="89"/>
        <v>0</v>
      </c>
      <c r="L482" s="20">
        <f t="shared" si="94"/>
        <v>1</v>
      </c>
      <c r="M482" s="20">
        <f t="shared" si="90"/>
        <v>0</v>
      </c>
      <c r="N482" s="20">
        <f>ABS(G482)</f>
        <v>0</v>
      </c>
      <c r="O482" s="20">
        <f>ABS(I482)</f>
        <v>0</v>
      </c>
      <c r="P482" s="20">
        <f>ABS(K482)</f>
        <v>0</v>
      </c>
      <c r="Q482" s="20">
        <f t="shared" si="85"/>
        <v>0</v>
      </c>
    </row>
    <row r="483" spans="4:17" x14ac:dyDescent="0.35">
      <c r="D483" s="20" t="str">
        <f t="shared" si="92"/>
        <v/>
      </c>
      <c r="E483" s="23" t="str">
        <f t="shared" si="93"/>
        <v/>
      </c>
      <c r="F483" s="20" t="str">
        <f t="shared" si="86"/>
        <v/>
      </c>
      <c r="G483" s="20">
        <f t="shared" si="87"/>
        <v>0</v>
      </c>
      <c r="H483" s="20">
        <f t="shared" si="94"/>
        <v>1</v>
      </c>
      <c r="I483" s="20">
        <f t="shared" si="88"/>
        <v>0</v>
      </c>
      <c r="J483" s="20">
        <f t="shared" si="94"/>
        <v>0</v>
      </c>
      <c r="K483" s="20">
        <f t="shared" si="89"/>
        <v>0</v>
      </c>
      <c r="L483" s="20">
        <f t="shared" si="94"/>
        <v>0</v>
      </c>
      <c r="M483" s="20">
        <f t="shared" si="90"/>
        <v>0</v>
      </c>
      <c r="N483" s="20">
        <f>ABS(G483)</f>
        <v>0</v>
      </c>
      <c r="O483" s="20">
        <f>ABS(I483)</f>
        <v>0</v>
      </c>
      <c r="P483" s="20">
        <f>ABS(K483)</f>
        <v>0</v>
      </c>
      <c r="Q483" s="20">
        <f t="shared" si="85"/>
        <v>0</v>
      </c>
    </row>
    <row r="484" spans="4:17" x14ac:dyDescent="0.35">
      <c r="D484" s="20" t="str">
        <f t="shared" si="92"/>
        <v/>
      </c>
      <c r="E484" s="23" t="str">
        <f t="shared" si="93"/>
        <v/>
      </c>
      <c r="F484" s="20" t="str">
        <f t="shared" si="86"/>
        <v/>
      </c>
      <c r="G484" s="20">
        <f t="shared" si="87"/>
        <v>0</v>
      </c>
      <c r="H484" s="20">
        <f t="shared" si="94"/>
        <v>0</v>
      </c>
      <c r="I484" s="20">
        <f t="shared" si="88"/>
        <v>0</v>
      </c>
      <c r="J484" s="20">
        <f t="shared" si="94"/>
        <v>1</v>
      </c>
      <c r="K484" s="20">
        <f t="shared" si="89"/>
        <v>0</v>
      </c>
      <c r="L484" s="20">
        <f t="shared" si="94"/>
        <v>0</v>
      </c>
      <c r="M484" s="20">
        <f t="shared" si="90"/>
        <v>0</v>
      </c>
      <c r="N484" s="20">
        <f>ABS(G484)</f>
        <v>0</v>
      </c>
      <c r="O484" s="20">
        <f>ABS(I484)</f>
        <v>0</v>
      </c>
      <c r="P484" s="20">
        <f>ABS(K484)</f>
        <v>0</v>
      </c>
      <c r="Q484" s="20">
        <f t="shared" si="85"/>
        <v>0</v>
      </c>
    </row>
    <row r="485" spans="4:17" x14ac:dyDescent="0.35">
      <c r="D485" s="20" t="str">
        <f t="shared" si="92"/>
        <v/>
      </c>
      <c r="E485" s="23" t="str">
        <f t="shared" si="93"/>
        <v/>
      </c>
      <c r="F485" s="20" t="str">
        <f t="shared" si="86"/>
        <v/>
      </c>
      <c r="G485" s="20">
        <f t="shared" si="87"/>
        <v>0</v>
      </c>
      <c r="H485" s="20">
        <f t="shared" si="94"/>
        <v>0</v>
      </c>
      <c r="I485" s="20">
        <f t="shared" si="88"/>
        <v>0</v>
      </c>
      <c r="J485" s="20">
        <f t="shared" si="94"/>
        <v>0</v>
      </c>
      <c r="K485" s="20">
        <f t="shared" si="89"/>
        <v>0</v>
      </c>
      <c r="L485" s="20">
        <f t="shared" si="94"/>
        <v>1</v>
      </c>
      <c r="M485" s="20">
        <f t="shared" si="90"/>
        <v>0</v>
      </c>
      <c r="N485" s="20">
        <f>ABS(G485)</f>
        <v>0</v>
      </c>
      <c r="O485" s="20">
        <f>ABS(I485)</f>
        <v>0</v>
      </c>
      <c r="P485" s="20">
        <f>ABS(K485)</f>
        <v>0</v>
      </c>
      <c r="Q485" s="20">
        <f t="shared" si="85"/>
        <v>0</v>
      </c>
    </row>
    <row r="486" spans="4:17" x14ac:dyDescent="0.35">
      <c r="D486" s="20" t="str">
        <f t="shared" si="92"/>
        <v/>
      </c>
      <c r="E486" s="23" t="str">
        <f t="shared" si="93"/>
        <v/>
      </c>
      <c r="F486" s="20" t="str">
        <f t="shared" si="86"/>
        <v/>
      </c>
      <c r="G486" s="20">
        <f t="shared" si="87"/>
        <v>0</v>
      </c>
      <c r="H486" s="20">
        <f t="shared" si="94"/>
        <v>1</v>
      </c>
      <c r="I486" s="20">
        <f t="shared" si="88"/>
        <v>0</v>
      </c>
      <c r="J486" s="20">
        <f t="shared" si="94"/>
        <v>0</v>
      </c>
      <c r="K486" s="20">
        <f t="shared" si="89"/>
        <v>0</v>
      </c>
      <c r="L486" s="20">
        <f t="shared" si="94"/>
        <v>0</v>
      </c>
      <c r="M486" s="20">
        <f t="shared" si="90"/>
        <v>0</v>
      </c>
      <c r="N486" s="20">
        <f>ABS(G486)</f>
        <v>0</v>
      </c>
      <c r="O486" s="20">
        <f>ABS(I486)</f>
        <v>0</v>
      </c>
      <c r="P486" s="20">
        <f>ABS(K486)</f>
        <v>0</v>
      </c>
      <c r="Q486" s="20">
        <f t="shared" si="85"/>
        <v>0</v>
      </c>
    </row>
    <row r="487" spans="4:17" x14ac:dyDescent="0.35">
      <c r="D487" s="20" t="str">
        <f t="shared" si="92"/>
        <v/>
      </c>
      <c r="E487" s="23" t="str">
        <f t="shared" si="93"/>
        <v/>
      </c>
      <c r="F487" s="20" t="str">
        <f t="shared" si="86"/>
        <v/>
      </c>
      <c r="G487" s="20">
        <f t="shared" si="87"/>
        <v>0</v>
      </c>
      <c r="H487" s="20">
        <f t="shared" ref="H487:L501" si="95">IF(H486+H485=0,1,0)</f>
        <v>0</v>
      </c>
      <c r="I487" s="20">
        <f t="shared" si="88"/>
        <v>0</v>
      </c>
      <c r="J487" s="20">
        <f t="shared" si="95"/>
        <v>1</v>
      </c>
      <c r="K487" s="20">
        <f t="shared" si="89"/>
        <v>0</v>
      </c>
      <c r="L487" s="20">
        <f t="shared" si="95"/>
        <v>0</v>
      </c>
      <c r="M487" s="20">
        <f t="shared" si="90"/>
        <v>0</v>
      </c>
      <c r="N487" s="20">
        <f>ABS(G487)</f>
        <v>0</v>
      </c>
      <c r="O487" s="20">
        <f>ABS(I487)</f>
        <v>0</v>
      </c>
      <c r="P487" s="20">
        <f>ABS(K487)</f>
        <v>0</v>
      </c>
      <c r="Q487" s="20">
        <f t="shared" si="85"/>
        <v>0</v>
      </c>
    </row>
    <row r="488" spans="4:17" x14ac:dyDescent="0.35">
      <c r="D488" s="20" t="str">
        <f t="shared" si="92"/>
        <v/>
      </c>
      <c r="E488" s="23" t="str">
        <f t="shared" si="93"/>
        <v/>
      </c>
      <c r="F488" s="20" t="str">
        <f t="shared" si="86"/>
        <v/>
      </c>
      <c r="G488" s="20">
        <f t="shared" si="87"/>
        <v>0</v>
      </c>
      <c r="H488" s="20">
        <f t="shared" si="95"/>
        <v>0</v>
      </c>
      <c r="I488" s="20">
        <f t="shared" si="88"/>
        <v>0</v>
      </c>
      <c r="J488" s="20">
        <f t="shared" si="95"/>
        <v>0</v>
      </c>
      <c r="K488" s="20">
        <f t="shared" si="89"/>
        <v>0</v>
      </c>
      <c r="L488" s="20">
        <f t="shared" si="95"/>
        <v>1</v>
      </c>
      <c r="M488" s="20">
        <f t="shared" si="90"/>
        <v>0</v>
      </c>
      <c r="N488" s="20">
        <f>ABS(G488)</f>
        <v>0</v>
      </c>
      <c r="O488" s="20">
        <f>ABS(I488)</f>
        <v>0</v>
      </c>
      <c r="P488" s="20">
        <f>ABS(K488)</f>
        <v>0</v>
      </c>
      <c r="Q488" s="20">
        <f t="shared" si="85"/>
        <v>0</v>
      </c>
    </row>
    <row r="489" spans="4:17" x14ac:dyDescent="0.35">
      <c r="D489" s="20" t="str">
        <f t="shared" si="92"/>
        <v/>
      </c>
      <c r="E489" s="23" t="str">
        <f t="shared" si="93"/>
        <v/>
      </c>
      <c r="F489" s="20" t="str">
        <f t="shared" si="86"/>
        <v/>
      </c>
      <c r="G489" s="20">
        <f t="shared" si="87"/>
        <v>0</v>
      </c>
      <c r="H489" s="20">
        <f t="shared" si="95"/>
        <v>1</v>
      </c>
      <c r="I489" s="20">
        <f t="shared" si="88"/>
        <v>0</v>
      </c>
      <c r="J489" s="20">
        <f t="shared" si="95"/>
        <v>0</v>
      </c>
      <c r="K489" s="20">
        <f t="shared" si="89"/>
        <v>0</v>
      </c>
      <c r="L489" s="20">
        <f t="shared" si="95"/>
        <v>0</v>
      </c>
      <c r="M489" s="20">
        <f t="shared" si="90"/>
        <v>0</v>
      </c>
      <c r="N489" s="20">
        <f>ABS(G489)</f>
        <v>0</v>
      </c>
      <c r="O489" s="20">
        <f>ABS(I489)</f>
        <v>0</v>
      </c>
      <c r="P489" s="20">
        <f>ABS(K489)</f>
        <v>0</v>
      </c>
      <c r="Q489" s="20">
        <f t="shared" si="85"/>
        <v>0</v>
      </c>
    </row>
    <row r="490" spans="4:17" x14ac:dyDescent="0.35">
      <c r="D490" s="20" t="str">
        <f t="shared" si="92"/>
        <v/>
      </c>
      <c r="E490" s="23" t="str">
        <f t="shared" si="93"/>
        <v/>
      </c>
      <c r="F490" s="20" t="str">
        <f t="shared" si="86"/>
        <v/>
      </c>
      <c r="G490" s="20">
        <f t="shared" si="87"/>
        <v>0</v>
      </c>
      <c r="H490" s="20">
        <f t="shared" si="95"/>
        <v>0</v>
      </c>
      <c r="I490" s="20">
        <f t="shared" si="88"/>
        <v>0</v>
      </c>
      <c r="J490" s="20">
        <f t="shared" si="95"/>
        <v>1</v>
      </c>
      <c r="K490" s="20">
        <f t="shared" si="89"/>
        <v>0</v>
      </c>
      <c r="L490" s="20">
        <f t="shared" si="95"/>
        <v>0</v>
      </c>
      <c r="M490" s="20">
        <f t="shared" si="90"/>
        <v>0</v>
      </c>
      <c r="N490" s="20">
        <f>ABS(G490)</f>
        <v>0</v>
      </c>
      <c r="O490" s="20">
        <f>ABS(I490)</f>
        <v>0</v>
      </c>
      <c r="P490" s="20">
        <f>ABS(K490)</f>
        <v>0</v>
      </c>
      <c r="Q490" s="20">
        <f t="shared" si="85"/>
        <v>0</v>
      </c>
    </row>
    <row r="491" spans="4:17" x14ac:dyDescent="0.35">
      <c r="D491" s="20" t="str">
        <f t="shared" si="92"/>
        <v/>
      </c>
      <c r="E491" s="23" t="str">
        <f t="shared" si="93"/>
        <v/>
      </c>
      <c r="F491" s="20" t="str">
        <f t="shared" si="86"/>
        <v/>
      </c>
      <c r="G491" s="20">
        <f t="shared" si="87"/>
        <v>0</v>
      </c>
      <c r="H491" s="20">
        <f t="shared" si="95"/>
        <v>0</v>
      </c>
      <c r="I491" s="20">
        <f t="shared" si="88"/>
        <v>0</v>
      </c>
      <c r="J491" s="20">
        <f t="shared" si="95"/>
        <v>0</v>
      </c>
      <c r="K491" s="20">
        <f t="shared" si="89"/>
        <v>0</v>
      </c>
      <c r="L491" s="20">
        <f t="shared" si="95"/>
        <v>1</v>
      </c>
      <c r="M491" s="20">
        <f t="shared" si="90"/>
        <v>0</v>
      </c>
      <c r="N491" s="20">
        <f>ABS(G491)</f>
        <v>0</v>
      </c>
      <c r="O491" s="20">
        <f>ABS(I491)</f>
        <v>0</v>
      </c>
      <c r="P491" s="20">
        <f>ABS(K491)</f>
        <v>0</v>
      </c>
      <c r="Q491" s="20">
        <f t="shared" si="85"/>
        <v>0</v>
      </c>
    </row>
    <row r="492" spans="4:17" x14ac:dyDescent="0.35">
      <c r="D492" s="20" t="str">
        <f t="shared" si="92"/>
        <v/>
      </c>
      <c r="E492" s="23" t="str">
        <f t="shared" si="93"/>
        <v/>
      </c>
      <c r="F492" s="20" t="str">
        <f t="shared" si="86"/>
        <v/>
      </c>
      <c r="G492" s="20">
        <f t="shared" si="87"/>
        <v>0</v>
      </c>
      <c r="H492" s="20">
        <f t="shared" si="95"/>
        <v>1</v>
      </c>
      <c r="I492" s="20">
        <f t="shared" si="88"/>
        <v>0</v>
      </c>
      <c r="J492" s="20">
        <f t="shared" si="95"/>
        <v>0</v>
      </c>
      <c r="K492" s="20">
        <f t="shared" si="89"/>
        <v>0</v>
      </c>
      <c r="L492" s="20">
        <f t="shared" si="95"/>
        <v>0</v>
      </c>
      <c r="M492" s="20">
        <f t="shared" si="90"/>
        <v>0</v>
      </c>
      <c r="N492" s="20">
        <f>ABS(G492)</f>
        <v>0</v>
      </c>
      <c r="O492" s="20">
        <f>ABS(I492)</f>
        <v>0</v>
      </c>
      <c r="P492" s="20">
        <f>ABS(K492)</f>
        <v>0</v>
      </c>
      <c r="Q492" s="20">
        <f t="shared" si="85"/>
        <v>0</v>
      </c>
    </row>
    <row r="493" spans="4:17" x14ac:dyDescent="0.35">
      <c r="D493" s="20" t="str">
        <f t="shared" si="92"/>
        <v/>
      </c>
      <c r="E493" s="23" t="str">
        <f t="shared" si="93"/>
        <v/>
      </c>
      <c r="F493" s="20" t="str">
        <f t="shared" si="86"/>
        <v/>
      </c>
      <c r="G493" s="20">
        <f t="shared" si="87"/>
        <v>0</v>
      </c>
      <c r="H493" s="20">
        <f t="shared" si="95"/>
        <v>0</v>
      </c>
      <c r="I493" s="20">
        <f t="shared" si="88"/>
        <v>0</v>
      </c>
      <c r="J493" s="20">
        <f t="shared" si="95"/>
        <v>1</v>
      </c>
      <c r="K493" s="20">
        <f t="shared" si="89"/>
        <v>0</v>
      </c>
      <c r="L493" s="20">
        <f t="shared" si="95"/>
        <v>0</v>
      </c>
      <c r="M493" s="20">
        <f t="shared" si="90"/>
        <v>0</v>
      </c>
      <c r="N493" s="20">
        <f>ABS(G493)</f>
        <v>0</v>
      </c>
      <c r="O493" s="20">
        <f>ABS(I493)</f>
        <v>0</v>
      </c>
      <c r="P493" s="20">
        <f>ABS(K493)</f>
        <v>0</v>
      </c>
      <c r="Q493" s="20">
        <f t="shared" si="85"/>
        <v>0</v>
      </c>
    </row>
    <row r="494" spans="4:17" x14ac:dyDescent="0.35">
      <c r="D494" s="20" t="str">
        <f t="shared" si="92"/>
        <v/>
      </c>
      <c r="E494" s="23" t="str">
        <f t="shared" si="93"/>
        <v/>
      </c>
      <c r="F494" s="20" t="str">
        <f t="shared" si="86"/>
        <v/>
      </c>
      <c r="G494" s="20">
        <f t="shared" si="87"/>
        <v>0</v>
      </c>
      <c r="H494" s="20">
        <f t="shared" si="95"/>
        <v>0</v>
      </c>
      <c r="I494" s="20">
        <f t="shared" si="88"/>
        <v>0</v>
      </c>
      <c r="J494" s="20">
        <f t="shared" si="95"/>
        <v>0</v>
      </c>
      <c r="K494" s="20">
        <f t="shared" si="89"/>
        <v>0</v>
      </c>
      <c r="L494" s="20">
        <f t="shared" si="95"/>
        <v>1</v>
      </c>
      <c r="M494" s="20">
        <f t="shared" si="90"/>
        <v>0</v>
      </c>
      <c r="N494" s="20">
        <f>ABS(G494)</f>
        <v>0</v>
      </c>
      <c r="O494" s="20">
        <f>ABS(I494)</f>
        <v>0</v>
      </c>
      <c r="P494" s="20">
        <f>ABS(K494)</f>
        <v>0</v>
      </c>
      <c r="Q494" s="20">
        <f t="shared" si="85"/>
        <v>0</v>
      </c>
    </row>
    <row r="495" spans="4:17" x14ac:dyDescent="0.35">
      <c r="D495" s="20" t="str">
        <f t="shared" si="92"/>
        <v/>
      </c>
      <c r="E495" s="23" t="str">
        <f t="shared" si="93"/>
        <v/>
      </c>
      <c r="F495" s="20" t="str">
        <f t="shared" si="86"/>
        <v/>
      </c>
      <c r="G495" s="20">
        <f t="shared" si="87"/>
        <v>0</v>
      </c>
      <c r="H495" s="20">
        <f t="shared" si="95"/>
        <v>1</v>
      </c>
      <c r="I495" s="20">
        <f t="shared" si="88"/>
        <v>0</v>
      </c>
      <c r="J495" s="20">
        <f t="shared" si="95"/>
        <v>0</v>
      </c>
      <c r="K495" s="20">
        <f t="shared" si="89"/>
        <v>0</v>
      </c>
      <c r="L495" s="20">
        <f t="shared" si="95"/>
        <v>0</v>
      </c>
      <c r="M495" s="20">
        <f t="shared" si="90"/>
        <v>0</v>
      </c>
      <c r="N495" s="20">
        <f>ABS(G495)</f>
        <v>0</v>
      </c>
      <c r="O495" s="20">
        <f>ABS(I495)</f>
        <v>0</v>
      </c>
      <c r="P495" s="20">
        <f>ABS(K495)</f>
        <v>0</v>
      </c>
      <c r="Q495" s="20">
        <f t="shared" si="85"/>
        <v>0</v>
      </c>
    </row>
    <row r="496" spans="4:17" x14ac:dyDescent="0.35">
      <c r="D496" s="20" t="str">
        <f t="shared" si="92"/>
        <v/>
      </c>
      <c r="E496" s="23" t="str">
        <f t="shared" si="93"/>
        <v/>
      </c>
      <c r="F496" s="20" t="str">
        <f t="shared" si="86"/>
        <v/>
      </c>
      <c r="G496" s="20">
        <f t="shared" si="87"/>
        <v>0</v>
      </c>
      <c r="H496" s="20">
        <f t="shared" si="95"/>
        <v>0</v>
      </c>
      <c r="I496" s="20">
        <f t="shared" si="88"/>
        <v>0</v>
      </c>
      <c r="J496" s="20">
        <f t="shared" si="95"/>
        <v>1</v>
      </c>
      <c r="K496" s="20">
        <f t="shared" si="89"/>
        <v>0</v>
      </c>
      <c r="L496" s="20">
        <f t="shared" si="95"/>
        <v>0</v>
      </c>
      <c r="M496" s="20">
        <f t="shared" si="90"/>
        <v>0</v>
      </c>
      <c r="N496" s="20">
        <f>ABS(G496)</f>
        <v>0</v>
      </c>
      <c r="O496" s="20">
        <f>ABS(I496)</f>
        <v>0</v>
      </c>
      <c r="P496" s="20">
        <f>ABS(K496)</f>
        <v>0</v>
      </c>
      <c r="Q496" s="20">
        <f t="shared" si="85"/>
        <v>0</v>
      </c>
    </row>
    <row r="497" spans="4:17" x14ac:dyDescent="0.35">
      <c r="D497" s="20" t="str">
        <f t="shared" si="92"/>
        <v/>
      </c>
      <c r="E497" s="23" t="str">
        <f t="shared" si="93"/>
        <v/>
      </c>
      <c r="F497" s="20" t="str">
        <f t="shared" si="86"/>
        <v/>
      </c>
      <c r="G497" s="20">
        <f t="shared" si="87"/>
        <v>0</v>
      </c>
      <c r="H497" s="20">
        <f t="shared" si="95"/>
        <v>0</v>
      </c>
      <c r="I497" s="20">
        <f t="shared" si="88"/>
        <v>0</v>
      </c>
      <c r="J497" s="20">
        <f t="shared" si="95"/>
        <v>0</v>
      </c>
      <c r="K497" s="20">
        <f t="shared" si="89"/>
        <v>0</v>
      </c>
      <c r="L497" s="20">
        <f t="shared" si="95"/>
        <v>1</v>
      </c>
      <c r="M497" s="20">
        <f t="shared" si="90"/>
        <v>0</v>
      </c>
      <c r="N497" s="20">
        <f>ABS(G497)</f>
        <v>0</v>
      </c>
      <c r="O497" s="20">
        <f>ABS(I497)</f>
        <v>0</v>
      </c>
      <c r="P497" s="20">
        <f>ABS(K497)</f>
        <v>0</v>
      </c>
      <c r="Q497" s="20">
        <f t="shared" si="85"/>
        <v>0</v>
      </c>
    </row>
    <row r="498" spans="4:17" x14ac:dyDescent="0.35">
      <c r="D498" s="20" t="str">
        <f t="shared" si="92"/>
        <v/>
      </c>
      <c r="E498" s="23" t="str">
        <f t="shared" si="93"/>
        <v/>
      </c>
      <c r="F498" s="20" t="str">
        <f t="shared" si="86"/>
        <v/>
      </c>
      <c r="G498" s="20">
        <f t="shared" si="87"/>
        <v>0</v>
      </c>
      <c r="H498" s="20">
        <f t="shared" si="95"/>
        <v>1</v>
      </c>
      <c r="I498" s="20">
        <f t="shared" si="88"/>
        <v>0</v>
      </c>
      <c r="J498" s="20">
        <f t="shared" si="95"/>
        <v>0</v>
      </c>
      <c r="K498" s="20">
        <f t="shared" si="89"/>
        <v>0</v>
      </c>
      <c r="L498" s="20">
        <f t="shared" si="95"/>
        <v>0</v>
      </c>
      <c r="M498" s="20">
        <f t="shared" si="90"/>
        <v>0</v>
      </c>
      <c r="N498" s="20">
        <f>ABS(G498)</f>
        <v>0</v>
      </c>
      <c r="O498" s="20">
        <f>ABS(I498)</f>
        <v>0</v>
      </c>
      <c r="P498" s="20">
        <f>ABS(K498)</f>
        <v>0</v>
      </c>
      <c r="Q498" s="20">
        <f t="shared" si="85"/>
        <v>0</v>
      </c>
    </row>
    <row r="499" spans="4:17" x14ac:dyDescent="0.35">
      <c r="D499" s="20" t="str">
        <f t="shared" si="92"/>
        <v/>
      </c>
      <c r="E499" s="23" t="str">
        <f t="shared" si="93"/>
        <v/>
      </c>
      <c r="F499" s="20" t="str">
        <f t="shared" si="86"/>
        <v/>
      </c>
      <c r="G499" s="20">
        <f t="shared" si="87"/>
        <v>0</v>
      </c>
      <c r="H499" s="20">
        <f t="shared" si="95"/>
        <v>0</v>
      </c>
      <c r="I499" s="20">
        <f t="shared" si="88"/>
        <v>0</v>
      </c>
      <c r="J499" s="20">
        <f t="shared" si="95"/>
        <v>1</v>
      </c>
      <c r="K499" s="20">
        <f t="shared" si="89"/>
        <v>0</v>
      </c>
      <c r="L499" s="20">
        <f t="shared" si="95"/>
        <v>0</v>
      </c>
      <c r="M499" s="20">
        <f t="shared" si="90"/>
        <v>0</v>
      </c>
      <c r="N499" s="20">
        <f>ABS(G499)</f>
        <v>0</v>
      </c>
      <c r="O499" s="20">
        <f>ABS(I499)</f>
        <v>0</v>
      </c>
      <c r="P499" s="20">
        <f>ABS(K499)</f>
        <v>0</v>
      </c>
      <c r="Q499" s="20">
        <f t="shared" si="85"/>
        <v>0</v>
      </c>
    </row>
    <row r="500" spans="4:17" x14ac:dyDescent="0.35">
      <c r="D500" s="20" t="str">
        <f t="shared" si="92"/>
        <v/>
      </c>
      <c r="E500" s="23" t="str">
        <f t="shared" si="93"/>
        <v/>
      </c>
      <c r="F500" s="20" t="str">
        <f t="shared" si="86"/>
        <v/>
      </c>
      <c r="G500" s="20">
        <f t="shared" si="87"/>
        <v>0</v>
      </c>
      <c r="H500" s="20">
        <f t="shared" si="95"/>
        <v>0</v>
      </c>
      <c r="I500" s="20">
        <f t="shared" si="88"/>
        <v>0</v>
      </c>
      <c r="J500" s="20">
        <f t="shared" si="95"/>
        <v>0</v>
      </c>
      <c r="K500" s="20">
        <f t="shared" si="89"/>
        <v>0</v>
      </c>
      <c r="L500" s="20">
        <f t="shared" si="95"/>
        <v>1</v>
      </c>
      <c r="M500" s="20">
        <f t="shared" si="90"/>
        <v>0</v>
      </c>
      <c r="N500" s="20">
        <f>ABS(G500)</f>
        <v>0</v>
      </c>
      <c r="O500" s="20">
        <f>ABS(I500)</f>
        <v>0</v>
      </c>
      <c r="P500" s="20">
        <f>ABS(K500)</f>
        <v>0</v>
      </c>
      <c r="Q500" s="20">
        <f t="shared" si="85"/>
        <v>0</v>
      </c>
    </row>
    <row r="501" spans="4:17" x14ac:dyDescent="0.35">
      <c r="D501" s="20" t="str">
        <f t="shared" si="92"/>
        <v/>
      </c>
      <c r="E501" s="23" t="str">
        <f t="shared" si="93"/>
        <v/>
      </c>
      <c r="F501" s="20" t="str">
        <f t="shared" si="86"/>
        <v/>
      </c>
      <c r="G501" s="20">
        <f t="shared" si="87"/>
        <v>0</v>
      </c>
      <c r="H501" s="20">
        <f t="shared" si="95"/>
        <v>1</v>
      </c>
      <c r="I501" s="20">
        <f t="shared" si="88"/>
        <v>0</v>
      </c>
      <c r="J501" s="20">
        <f t="shared" si="95"/>
        <v>0</v>
      </c>
      <c r="K501" s="20">
        <f t="shared" si="89"/>
        <v>0</v>
      </c>
      <c r="L501" s="20">
        <f t="shared" si="95"/>
        <v>0</v>
      </c>
      <c r="M501" s="20">
        <f t="shared" si="90"/>
        <v>0</v>
      </c>
      <c r="N501" s="20">
        <f>ABS(G501)</f>
        <v>0</v>
      </c>
      <c r="O501" s="20">
        <f>ABS(I501)</f>
        <v>0</v>
      </c>
      <c r="P501" s="20">
        <f>ABS(K501)</f>
        <v>0</v>
      </c>
      <c r="Q501" s="20">
        <f t="shared" si="8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Gráficos</vt:lpstr>
      </vt:variant>
      <vt:variant>
        <vt:i4>1</vt:i4>
      </vt:variant>
    </vt:vector>
  </HeadingPairs>
  <TitlesOfParts>
    <vt:vector size="10" baseType="lpstr">
      <vt:lpstr>Diferenciación 1</vt:lpstr>
      <vt:lpstr>Diferenciación 2</vt:lpstr>
      <vt:lpstr>Diferenciación 3</vt:lpstr>
      <vt:lpstr>Rectangulos</vt:lpstr>
      <vt:lpstr>Trapecios</vt:lpstr>
      <vt:lpstr>Simpson 1.3</vt:lpstr>
      <vt:lpstr>Simpson 1.3 (2)</vt:lpstr>
      <vt:lpstr>Simpson 3.8 </vt:lpstr>
      <vt:lpstr>Simpson 3.8  (2)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Francisco Palacios Hernandez</dc:creator>
  <cp:lastModifiedBy>Leonardo Francisco Palacios Hernandez</cp:lastModifiedBy>
  <dcterms:created xsi:type="dcterms:W3CDTF">2024-12-10T01:19:40Z</dcterms:created>
  <dcterms:modified xsi:type="dcterms:W3CDTF">2024-12-10T10:11:59Z</dcterms:modified>
</cp:coreProperties>
</file>