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CELES\"/>
    </mc:Choice>
  </mc:AlternateContent>
  <xr:revisionPtr revIDLastSave="0" documentId="8_{DCAF62CC-004F-4751-87C9-746EC83C79F9}" xr6:coauthVersionLast="47" xr6:coauthVersionMax="47" xr10:uidLastSave="{00000000-0000-0000-0000-000000000000}"/>
  <bookViews>
    <workbookView xWindow="-110" yWindow="-110" windowWidth="19420" windowHeight="11020" xr2:uid="{0FB90DA0-3BF2-4923-A3C6-CA1AED8F8B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8" i="1" s="1"/>
  <c r="D9" i="1"/>
  <c r="B11" i="1"/>
  <c r="E9" i="1" s="1"/>
  <c r="E10" i="1" s="1"/>
  <c r="E11" i="1" s="1"/>
  <c r="E12" i="1" s="1"/>
  <c r="E13" i="1" s="1"/>
  <c r="E14" i="1" s="1"/>
  <c r="E15" i="1" s="1"/>
  <c r="F9" i="1" l="1"/>
  <c r="E16" i="1"/>
  <c r="D10" i="1"/>
  <c r="F10" i="1" s="1"/>
  <c r="E17" i="1" l="1"/>
  <c r="D11" i="1"/>
  <c r="F11" i="1" s="1"/>
  <c r="E18" i="1" l="1"/>
  <c r="D12" i="1"/>
  <c r="F12" i="1" s="1"/>
  <c r="E19" i="1" l="1"/>
  <c r="D13" i="1"/>
  <c r="F13" i="1" s="1"/>
  <c r="E20" i="1" l="1"/>
  <c r="D14" i="1"/>
  <c r="F14" i="1" s="1"/>
  <c r="E21" i="1" l="1"/>
  <c r="D15" i="1"/>
  <c r="F15" i="1" s="1"/>
  <c r="E22" i="1" l="1"/>
  <c r="D16" i="1"/>
  <c r="F16" i="1" s="1"/>
  <c r="E23" i="1" l="1"/>
  <c r="E24" i="1" s="1"/>
  <c r="E25" i="1" s="1"/>
  <c r="E26" i="1" s="1"/>
  <c r="E27" i="1" s="1"/>
  <c r="D17" i="1"/>
  <c r="F17" i="1" s="1"/>
  <c r="D18" i="1" l="1"/>
  <c r="F18" i="1" s="1"/>
  <c r="D19" i="1" l="1"/>
  <c r="F19" i="1" s="1"/>
  <c r="D20" i="1" l="1"/>
  <c r="F20" i="1" s="1"/>
  <c r="D21" i="1" l="1"/>
  <c r="F21" i="1" s="1"/>
  <c r="D22" i="1" l="1"/>
  <c r="F22" i="1" s="1"/>
  <c r="D23" i="1" l="1"/>
  <c r="F23" i="1" l="1"/>
  <c r="D24" i="1"/>
  <c r="F24" i="1" l="1"/>
  <c r="D25" i="1"/>
  <c r="F25" i="1" l="1"/>
  <c r="D26" i="1"/>
  <c r="F26" i="1" l="1"/>
  <c r="D27" i="1"/>
  <c r="F27" i="1" s="1"/>
</calcChain>
</file>

<file path=xl/sharedStrings.xml><?xml version="1.0" encoding="utf-8"?>
<sst xmlns="http://schemas.openxmlformats.org/spreadsheetml/2006/main" count="12" uniqueCount="11">
  <si>
    <t>Valverde Palacios Raul Miguel</t>
  </si>
  <si>
    <t>Ingenieria en Sistemas Computacionales</t>
  </si>
  <si>
    <t>Ing. Rene Tocohua Rojas</t>
  </si>
  <si>
    <t>Tecnologico  Nacional de Mexico</t>
  </si>
  <si>
    <t>Instituto Tecnol¾gico de Iztapalapa</t>
  </si>
  <si>
    <t>a</t>
  </si>
  <si>
    <t>b</t>
  </si>
  <si>
    <t>n</t>
  </si>
  <si>
    <t>diferencia</t>
  </si>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</sst>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Hoja1!$E$8:$E$27</c:f>
              <c:numCache>
                <c:formatCode>General</c:formatCode>
                <c:ptCount val="20"/>
                <c:pt idx="0">
                  <c:v>-10</c:v>
                </c:pt>
                <c:pt idx="1">
                  <c:v>-8.9473684210526319</c:v>
                </c:pt>
                <c:pt idx="2">
                  <c:v>-7.8947368421052637</c:v>
                </c:pt>
                <c:pt idx="3">
                  <c:v>-6.8421052631578956</c:v>
                </c:pt>
                <c:pt idx="4">
                  <c:v>-5.7894736842105274</c:v>
                </c:pt>
                <c:pt idx="5">
                  <c:v>-4.7368421052631593</c:v>
                </c:pt>
                <c:pt idx="6">
                  <c:v>-3.6842105263157912</c:v>
                </c:pt>
                <c:pt idx="7">
                  <c:v>-2.631578947368423</c:v>
                </c:pt>
                <c:pt idx="8">
                  <c:v>-1.5789473684210547</c:v>
                </c:pt>
                <c:pt idx="9">
                  <c:v>-0.52631578947368629</c:v>
                </c:pt>
                <c:pt idx="10">
                  <c:v>0.52631578947368207</c:v>
                </c:pt>
                <c:pt idx="11">
                  <c:v>1.5789473684210504</c:v>
                </c:pt>
                <c:pt idx="12">
                  <c:v>2.6315789473684186</c:v>
                </c:pt>
                <c:pt idx="13">
                  <c:v>3.6842105263157867</c:v>
                </c:pt>
                <c:pt idx="14">
                  <c:v>4.7368421052631549</c:v>
                </c:pt>
                <c:pt idx="15">
                  <c:v>5.789473684210523</c:v>
                </c:pt>
                <c:pt idx="16">
                  <c:v>6.8421052631578911</c:v>
                </c:pt>
                <c:pt idx="17">
                  <c:v>7.8947368421052593</c:v>
                </c:pt>
                <c:pt idx="18">
                  <c:v>8.9473684210526283</c:v>
                </c:pt>
                <c:pt idx="19">
                  <c:v>9.9999999999999964</c:v>
                </c:pt>
              </c:numCache>
            </c:numRef>
          </c:cat>
          <c:val>
            <c:numRef>
              <c:f>Hoja1!$F$8:$F$27</c:f>
              <c:numCache>
                <c:formatCode>General</c:formatCode>
                <c:ptCount val="20"/>
                <c:pt idx="0">
                  <c:v>5.1446472486984565</c:v>
                </c:pt>
                <c:pt idx="1">
                  <c:v>3.2436077746490568</c:v>
                </c:pt>
                <c:pt idx="2">
                  <c:v>4.5068002326716652</c:v>
                </c:pt>
                <c:pt idx="3">
                  <c:v>3.6543168495747662</c:v>
                </c:pt>
                <c:pt idx="4">
                  <c:v>4.2414814740143036</c:v>
                </c:pt>
                <c:pt idx="5">
                  <c:v>3.8255582644618182</c:v>
                </c:pt>
                <c:pt idx="6">
                  <c:v>4.1325478718137587</c:v>
                </c:pt>
                <c:pt idx="7">
                  <c:v>3.8903420335670624</c:v>
                </c:pt>
                <c:pt idx="8">
                  <c:v>4.1079915674697567</c:v>
                </c:pt>
                <c:pt idx="9">
                  <c:v>3.8085860745303926</c:v>
                </c:pt>
                <c:pt idx="10">
                  <c:v>3.8869169569851634</c:v>
                </c:pt>
                <c:pt idx="11">
                  <c:v>4.0222670003306265</c:v>
                </c:pt>
                <c:pt idx="12">
                  <c:v>3.9921084925244861</c:v>
                </c:pt>
                <c:pt idx="13">
                  <c:v>4.0033292043801518</c:v>
                </c:pt>
                <c:pt idx="14">
                  <c:v>3.9984707939382083</c:v>
                </c:pt>
                <c:pt idx="15">
                  <c:v>4.00073883480158</c:v>
                </c:pt>
                <c:pt idx="16">
                  <c:v>3.9996308612383773</c:v>
                </c:pt>
                <c:pt idx="17">
                  <c:v>4.0001888844295985</c:v>
                </c:pt>
                <c:pt idx="18">
                  <c:v>3.9999016092381345</c:v>
                </c:pt>
                <c:pt idx="19">
                  <c:v>4.0000519669046941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1-45A5-8EB7-339C6B76A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228447"/>
        <c:axId val="398442335"/>
      </c:lineChart>
      <c:catAx>
        <c:axId val="204422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8442335"/>
        <c:crosses val="autoZero"/>
        <c:auto val="1"/>
        <c:lblAlgn val="ctr"/>
        <c:lblOffset val="100"/>
        <c:noMultiLvlLbl val="0"/>
      </c:catAx>
      <c:valAx>
        <c:axId val="3984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422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307975</xdr:colOff>
      <xdr:row>1</xdr:row>
      <xdr:rowOff>60325</xdr:rowOff>
    </xdr:from>
    <xdr:to>
      <xdr:col>12</xdr:col>
      <xdr:colOff>307975</xdr:colOff>
      <xdr:row>16</xdr:row>
      <xdr:rowOff>41275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F24AF5-9BF4-37DB-C355-4A9D27762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E3F7-321A-4946-9EF2-71718E4406EB}">
  <dimension ref="A1:F27"/>
  <sheetViews>
    <sheetView tabSelected="1" workbookViewId="0">
      <selection activeCell="B9" sqref="B9"/>
    </sheetView>
  </sheetViews>
  <sheetFormatPr baseColWidth="10" defaultRowHeight="14.5" x14ac:dyDescent="0.35"/>
  <sheetData>
    <row r="1" spans="1:6" x14ac:dyDescent="0.35">
      <c r="A1" s="1" t="s">
        <v>0</v>
      </c>
    </row>
    <row r="2" spans="1:6" x14ac:dyDescent="0.35">
      <c r="A2" t="s">
        <v>1</v>
      </c>
    </row>
    <row r="3" spans="1:6" x14ac:dyDescent="0.35">
      <c r="A3" t="s">
        <v>2</v>
      </c>
    </row>
    <row r="4" spans="1:6" x14ac:dyDescent="0.35">
      <c r="A4" t="s">
        <v>3</v>
      </c>
    </row>
    <row r="5" spans="1:6" x14ac:dyDescent="0.35">
      <c r="A5" t="s">
        <v>4</v>
      </c>
    </row>
    <row r="6" spans="1:6" x14ac:dyDescent="0.35">
      <c r="A6">
        <v>231080023</v>
      </c>
    </row>
    <row r="7" spans="1:6" x14ac:dyDescent="0.35">
      <c r="D7" t="s">
        <v>7</v>
      </c>
      <c r="E7" t="s">
        <v>9</v>
      </c>
      <c r="F7" t="s">
        <v>10</v>
      </c>
    </row>
    <row r="8" spans="1:6" x14ac:dyDescent="0.35">
      <c r="A8" t="s">
        <v>5</v>
      </c>
      <c r="B8">
        <v>-10</v>
      </c>
      <c r="D8">
        <v>1</v>
      </c>
      <c r="E8">
        <f>B8</f>
        <v>-10</v>
      </c>
      <c r="F8">
        <f>IF(D8&lt;=$B$10,((5*EXP(-(E8/2))*COS(3*E8))/(E8^2)+4),"")</f>
        <v>5.1446472486984565</v>
      </c>
    </row>
    <row r="9" spans="1:6" x14ac:dyDescent="0.35">
      <c r="A9" t="s">
        <v>6</v>
      </c>
      <c r="B9">
        <v>10</v>
      </c>
      <c r="D9">
        <f>+IF(D8&lt;$B$10, D8+1,"")</f>
        <v>2</v>
      </c>
      <c r="E9">
        <f>IF(E8&lt;$B$9,E8+$B$11,"")</f>
        <v>-8.9473684210526319</v>
      </c>
      <c r="F9">
        <f t="shared" ref="F9:F22" si="0">IF(D9&lt;=$B$10,((5*EXP(-(E9/2))*COS(3*E9))/(E9^2)+4),"")</f>
        <v>3.2436077746490568</v>
      </c>
    </row>
    <row r="10" spans="1:6" x14ac:dyDescent="0.35">
      <c r="A10" t="s">
        <v>7</v>
      </c>
      <c r="B10">
        <v>20</v>
      </c>
      <c r="D10">
        <f t="shared" ref="D10:D17" si="1">+IF(D9&lt;$B$10, D9+1,"")</f>
        <v>3</v>
      </c>
      <c r="E10">
        <f t="shared" ref="E10:E17" si="2">IF(E9&lt;$B$9,E9+$B$11,"")</f>
        <v>-7.8947368421052637</v>
      </c>
      <c r="F10">
        <f t="shared" si="0"/>
        <v>4.5068002326716652</v>
      </c>
    </row>
    <row r="11" spans="1:6" x14ac:dyDescent="0.35">
      <c r="A11" t="s">
        <v>8</v>
      </c>
      <c r="B11">
        <f>(B9-B8)/(B10-1)</f>
        <v>1.0526315789473684</v>
      </c>
      <c r="D11">
        <f t="shared" si="1"/>
        <v>4</v>
      </c>
      <c r="E11">
        <f t="shared" si="2"/>
        <v>-6.8421052631578956</v>
      </c>
      <c r="F11">
        <f t="shared" si="0"/>
        <v>3.6543168495747662</v>
      </c>
    </row>
    <row r="12" spans="1:6" x14ac:dyDescent="0.35">
      <c r="D12">
        <f t="shared" si="1"/>
        <v>5</v>
      </c>
      <c r="E12">
        <f t="shared" si="2"/>
        <v>-5.7894736842105274</v>
      </c>
      <c r="F12">
        <f t="shared" si="0"/>
        <v>4.2414814740143036</v>
      </c>
    </row>
    <row r="13" spans="1:6" x14ac:dyDescent="0.35">
      <c r="D13">
        <f t="shared" si="1"/>
        <v>6</v>
      </c>
      <c r="E13">
        <f t="shared" si="2"/>
        <v>-4.7368421052631593</v>
      </c>
      <c r="F13">
        <f t="shared" si="0"/>
        <v>3.8255582644618182</v>
      </c>
    </row>
    <row r="14" spans="1:6" x14ac:dyDescent="0.35">
      <c r="D14">
        <f t="shared" si="1"/>
        <v>7</v>
      </c>
      <c r="E14">
        <f t="shared" si="2"/>
        <v>-3.6842105263157912</v>
      </c>
      <c r="F14">
        <f t="shared" si="0"/>
        <v>4.1325478718137587</v>
      </c>
    </row>
    <row r="15" spans="1:6" x14ac:dyDescent="0.35">
      <c r="D15">
        <f t="shared" si="1"/>
        <v>8</v>
      </c>
      <c r="E15">
        <f>IF(E14&lt;$B$9,E14+$B$11,"")</f>
        <v>-2.631578947368423</v>
      </c>
      <c r="F15">
        <f t="shared" si="0"/>
        <v>3.8903420335670624</v>
      </c>
    </row>
    <row r="16" spans="1:6" x14ac:dyDescent="0.35">
      <c r="D16">
        <f t="shared" si="1"/>
        <v>9</v>
      </c>
      <c r="E16">
        <f t="shared" si="2"/>
        <v>-1.5789473684210547</v>
      </c>
      <c r="F16">
        <f t="shared" si="0"/>
        <v>4.1079915674697567</v>
      </c>
    </row>
    <row r="17" spans="4:6" x14ac:dyDescent="0.35">
      <c r="D17">
        <f t="shared" si="1"/>
        <v>10</v>
      </c>
      <c r="E17">
        <f t="shared" si="2"/>
        <v>-0.52631578947368629</v>
      </c>
      <c r="F17">
        <f t="shared" si="0"/>
        <v>3.8085860745303926</v>
      </c>
    </row>
    <row r="18" spans="4:6" x14ac:dyDescent="0.35">
      <c r="D18">
        <f t="shared" ref="D18:D21" si="3">+IF(D17&lt;$B$10, D17+1,"")</f>
        <v>11</v>
      </c>
      <c r="E18">
        <f t="shared" ref="E18:E21" si="4">IF(E17&lt;$B$9,E17+$B$11,"")</f>
        <v>0.52631578947368207</v>
      </c>
      <c r="F18">
        <f t="shared" si="0"/>
        <v>3.8869169569851634</v>
      </c>
    </row>
    <row r="19" spans="4:6" x14ac:dyDescent="0.35">
      <c r="D19">
        <f t="shared" si="3"/>
        <v>12</v>
      </c>
      <c r="E19">
        <f t="shared" si="4"/>
        <v>1.5789473684210504</v>
      </c>
      <c r="F19">
        <f t="shared" si="0"/>
        <v>4.0222670003306265</v>
      </c>
    </row>
    <row r="20" spans="4:6" x14ac:dyDescent="0.35">
      <c r="D20">
        <f t="shared" si="3"/>
        <v>13</v>
      </c>
      <c r="E20">
        <f t="shared" si="4"/>
        <v>2.6315789473684186</v>
      </c>
      <c r="F20">
        <f t="shared" si="0"/>
        <v>3.9921084925244861</v>
      </c>
    </row>
    <row r="21" spans="4:6" x14ac:dyDescent="0.35">
      <c r="D21">
        <f t="shared" si="3"/>
        <v>14</v>
      </c>
      <c r="E21">
        <f t="shared" si="4"/>
        <v>3.6842105263157867</v>
      </c>
      <c r="F21">
        <f t="shared" si="0"/>
        <v>4.0033292043801518</v>
      </c>
    </row>
    <row r="22" spans="4:6" x14ac:dyDescent="0.35">
      <c r="D22">
        <f t="shared" ref="D22:D28" si="5">+IF(D21&lt;$B$10, D21+1,"")</f>
        <v>15</v>
      </c>
      <c r="E22">
        <f t="shared" ref="E22:E28" si="6">IF(E21&lt;$B$9,E21+$B$11,"")</f>
        <v>4.7368421052631549</v>
      </c>
      <c r="F22">
        <f t="shared" si="0"/>
        <v>3.9984707939382083</v>
      </c>
    </row>
    <row r="23" spans="4:6" x14ac:dyDescent="0.35">
      <c r="D23">
        <f t="shared" si="5"/>
        <v>16</v>
      </c>
      <c r="E23">
        <f t="shared" si="6"/>
        <v>5.789473684210523</v>
      </c>
      <c r="F23">
        <f t="shared" ref="F22:F28" si="7">IF(D23&lt;=$B$10,((5*EXP(-(E23/2))*COS(3*E23))/(E23^2)+4),"")</f>
        <v>4.00073883480158</v>
      </c>
    </row>
    <row r="24" spans="4:6" x14ac:dyDescent="0.35">
      <c r="D24">
        <f t="shared" si="5"/>
        <v>17</v>
      </c>
      <c r="E24">
        <f t="shared" si="6"/>
        <v>6.8421052631578911</v>
      </c>
      <c r="F24">
        <f t="shared" si="7"/>
        <v>3.9996308612383773</v>
      </c>
    </row>
    <row r="25" spans="4:6" x14ac:dyDescent="0.35">
      <c r="D25">
        <f t="shared" si="5"/>
        <v>18</v>
      </c>
      <c r="E25">
        <f t="shared" si="6"/>
        <v>7.8947368421052593</v>
      </c>
      <c r="F25">
        <f t="shared" si="7"/>
        <v>4.0001888844295985</v>
      </c>
    </row>
    <row r="26" spans="4:6" x14ac:dyDescent="0.35">
      <c r="D26">
        <f t="shared" si="5"/>
        <v>19</v>
      </c>
      <c r="E26">
        <f t="shared" si="6"/>
        <v>8.9473684210526283</v>
      </c>
      <c r="F26">
        <f t="shared" si="7"/>
        <v>3.9999016092381345</v>
      </c>
    </row>
    <row r="27" spans="4:6" x14ac:dyDescent="0.35">
      <c r="D27">
        <f t="shared" si="5"/>
        <v>20</v>
      </c>
      <c r="E27">
        <f t="shared" si="6"/>
        <v>9.9999999999999964</v>
      </c>
      <c r="F27">
        <f t="shared" si="7"/>
        <v>4.0000519669046941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2024-08-27T22:44:40Z</dcterms:created>
  <dcterms:modified xsi:type="dcterms:W3CDTF">2024-08-27T23:04:13Z</dcterms:modified>
</cp:coreProperties>
</file>