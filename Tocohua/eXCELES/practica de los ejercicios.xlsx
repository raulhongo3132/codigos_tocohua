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eXCELES\"/>
    </mc:Choice>
  </mc:AlternateContent>
  <xr:revisionPtr revIDLastSave="0" documentId="13_ncr:1_{CED1B84A-5600-4A34-A9BA-8B851DBEED58}" xr6:coauthVersionLast="47" xr6:coauthVersionMax="47" xr10:uidLastSave="{00000000-0000-0000-0000-000000000000}"/>
  <bookViews>
    <workbookView xWindow="-110" yWindow="-110" windowWidth="19420" windowHeight="11020" activeTab="1" xr2:uid="{E355DCD5-1C74-4CFB-9C0D-63944DC47048}"/>
  </bookViews>
  <sheets>
    <sheet name="Bisescción" sheetId="1" r:id="rId1"/>
    <sheet name="ReglaFals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E2" i="2"/>
  <c r="B7" i="2"/>
  <c r="B5" i="2"/>
  <c r="B13" i="2" l="1"/>
  <c r="A14" i="2" s="1"/>
  <c r="A9" i="2"/>
  <c r="F2" i="2"/>
  <c r="I2" i="2" s="1"/>
  <c r="G2" i="1"/>
  <c r="H2" i="1" s="1"/>
  <c r="E2" i="1"/>
  <c r="B9" i="1"/>
  <c r="I2" i="1" l="1"/>
  <c r="K2" i="2"/>
  <c r="J2" i="2"/>
  <c r="J2" i="1"/>
  <c r="K2" i="1"/>
  <c r="F2" i="1"/>
  <c r="B8" i="1"/>
  <c r="A13" i="1" s="1"/>
  <c r="E3" i="2" l="1"/>
  <c r="D3" i="2"/>
  <c r="G3" i="2"/>
  <c r="H3" i="2" s="1"/>
  <c r="E3" i="1"/>
  <c r="F3" i="1" s="1"/>
  <c r="D3" i="1"/>
  <c r="G3" i="1"/>
  <c r="F3" i="2" l="1"/>
  <c r="I3" i="2" s="1"/>
  <c r="I3" i="1"/>
  <c r="K3" i="1" s="1"/>
  <c r="J3" i="1"/>
  <c r="H3" i="1"/>
  <c r="K3" i="2" l="1"/>
  <c r="J3" i="2"/>
  <c r="D4" i="1"/>
  <c r="G4" i="1"/>
  <c r="H4" i="1" s="1"/>
  <c r="E4" i="1"/>
  <c r="I4" i="1" s="1"/>
  <c r="K4" i="1" s="1"/>
  <c r="D4" i="2" l="1"/>
  <c r="E4" i="2"/>
  <c r="F4" i="2"/>
  <c r="G4" i="2"/>
  <c r="H4" i="2" s="1"/>
  <c r="J4" i="1"/>
  <c r="F4" i="1"/>
  <c r="D5" i="1"/>
  <c r="G5" i="1"/>
  <c r="H5" i="1" s="1"/>
  <c r="E5" i="1" l="1"/>
  <c r="I4" i="2"/>
  <c r="F5" i="1"/>
  <c r="I5" i="1"/>
  <c r="K5" i="1" s="1"/>
  <c r="D6" i="1" s="1"/>
  <c r="J5" i="1" l="1"/>
  <c r="E6" i="1" s="1"/>
  <c r="K4" i="2"/>
  <c r="J4" i="2"/>
  <c r="F6" i="1"/>
  <c r="G6" i="1"/>
  <c r="H6" i="1" s="1"/>
  <c r="D5" i="2" l="1"/>
  <c r="G5" i="2"/>
  <c r="H5" i="2" s="1"/>
  <c r="E5" i="2"/>
  <c r="F5" i="2" s="1"/>
  <c r="I6" i="1"/>
  <c r="I5" i="2" l="1"/>
  <c r="J5" i="2" s="1"/>
  <c r="K6" i="1"/>
  <c r="J6" i="1"/>
  <c r="K5" i="2" l="1"/>
  <c r="D6" i="2" s="1"/>
  <c r="E6" i="2"/>
  <c r="F6" i="2" s="1"/>
  <c r="G6" i="2"/>
  <c r="H6" i="2" s="1"/>
  <c r="D7" i="1"/>
  <c r="E7" i="1"/>
  <c r="G7" i="1"/>
  <c r="H7" i="1" s="1"/>
  <c r="F7" i="1"/>
  <c r="I6" i="2" l="1"/>
  <c r="K6" i="2" s="1"/>
  <c r="J6" i="2"/>
  <c r="E7" i="2" s="1"/>
  <c r="I7" i="1"/>
  <c r="D7" i="2" l="1"/>
  <c r="F7" i="2"/>
  <c r="G7" i="2"/>
  <c r="H7" i="2" s="1"/>
  <c r="J7" i="1"/>
  <c r="K7" i="1"/>
  <c r="I7" i="2" l="1"/>
  <c r="E8" i="1"/>
  <c r="F8" i="1" s="1"/>
  <c r="D8" i="1"/>
  <c r="G8" i="1"/>
  <c r="H8" i="1" s="1"/>
  <c r="K7" i="2" l="1"/>
  <c r="J7" i="2"/>
  <c r="I8" i="1"/>
  <c r="D8" i="2" l="1"/>
  <c r="E8" i="2"/>
  <c r="F8" i="2"/>
  <c r="G8" i="2"/>
  <c r="H8" i="2" s="1"/>
  <c r="I8" i="2" s="1"/>
  <c r="J8" i="2" s="1"/>
  <c r="J8" i="1"/>
  <c r="K8" i="1"/>
  <c r="K8" i="2" l="1"/>
  <c r="D9" i="1"/>
  <c r="E9" i="1"/>
  <c r="F9" i="1"/>
  <c r="G9" i="1"/>
  <c r="H9" i="1" s="1"/>
  <c r="E9" i="2" l="1"/>
  <c r="F9" i="2" s="1"/>
  <c r="G9" i="2"/>
  <c r="H9" i="2" s="1"/>
  <c r="I9" i="2" s="1"/>
  <c r="D9" i="2"/>
  <c r="I9" i="1"/>
  <c r="K9" i="1"/>
  <c r="J9" i="1"/>
  <c r="J9" i="2" l="1"/>
  <c r="K9" i="2"/>
  <c r="D10" i="1"/>
  <c r="G10" i="1"/>
  <c r="H10" i="1" s="1"/>
  <c r="E10" i="1"/>
  <c r="F10" i="1" s="1"/>
  <c r="E10" i="2" l="1"/>
  <c r="G10" i="2"/>
  <c r="H10" i="2" s="1"/>
  <c r="D10" i="2"/>
  <c r="F10" i="2"/>
  <c r="I10" i="1"/>
  <c r="I10" i="2" l="1"/>
  <c r="K10" i="1"/>
  <c r="J10" i="1"/>
  <c r="J10" i="2" l="1"/>
  <c r="K10" i="2"/>
  <c r="G11" i="1"/>
  <c r="D11" i="1"/>
  <c r="E11" i="1"/>
  <c r="I11" i="1" s="1"/>
  <c r="K11" i="1" s="1"/>
  <c r="H11" i="1"/>
  <c r="J11" i="1"/>
  <c r="G11" i="2" l="1"/>
  <c r="E11" i="2"/>
  <c r="F11" i="2" s="1"/>
  <c r="H11" i="2"/>
  <c r="D11" i="2"/>
  <c r="F11" i="1"/>
  <c r="E12" i="1" s="1"/>
  <c r="F12" i="1" s="1"/>
  <c r="G12" i="1"/>
  <c r="D12" i="1"/>
  <c r="I11" i="2" l="1"/>
  <c r="I12" i="1"/>
  <c r="J12" i="1"/>
  <c r="K12" i="1"/>
  <c r="H12" i="1"/>
  <c r="K11" i="2" l="1"/>
  <c r="J11" i="2"/>
  <c r="D13" i="1"/>
  <c r="E13" i="1"/>
  <c r="F13" i="1"/>
  <c r="G13" i="1"/>
  <c r="H13" i="1" s="1"/>
  <c r="D12" i="2" l="1"/>
  <c r="E12" i="2"/>
  <c r="F12" i="2" s="1"/>
  <c r="G12" i="2"/>
  <c r="H12" i="2" s="1"/>
  <c r="I13" i="1"/>
  <c r="I12" i="2" l="1"/>
  <c r="J13" i="1"/>
  <c r="K13" i="1"/>
  <c r="K12" i="2" l="1"/>
  <c r="J12" i="2"/>
  <c r="E14" i="1"/>
  <c r="F14" i="1"/>
  <c r="G14" i="1"/>
  <c r="H14" i="1" s="1"/>
  <c r="D14" i="1"/>
  <c r="I14" i="1" l="1"/>
  <c r="D13" i="2"/>
  <c r="G13" i="2"/>
  <c r="H13" i="2" s="1"/>
  <c r="E13" i="2"/>
  <c r="F13" i="2" s="1"/>
  <c r="I13" i="2" s="1"/>
  <c r="J14" i="1" l="1"/>
  <c r="K14" i="1"/>
  <c r="J13" i="2"/>
  <c r="K13" i="2"/>
  <c r="E15" i="1" l="1"/>
  <c r="G15" i="1"/>
  <c r="H15" i="1" s="1"/>
  <c r="D15" i="1"/>
  <c r="D14" i="2"/>
  <c r="G14" i="2"/>
  <c r="H14" i="2" s="1"/>
  <c r="E14" i="2"/>
  <c r="F14" i="2" s="1"/>
  <c r="F15" i="1" l="1"/>
  <c r="I15" i="1"/>
  <c r="I14" i="2"/>
  <c r="J15" i="1" l="1"/>
  <c r="K15" i="1"/>
  <c r="K14" i="2"/>
  <c r="J14" i="2"/>
  <c r="E16" i="1" l="1"/>
  <c r="D16" i="1"/>
  <c r="F16" i="1"/>
  <c r="G16" i="1"/>
  <c r="E15" i="2"/>
  <c r="G15" i="2"/>
  <c r="H15" i="2"/>
  <c r="F15" i="2"/>
  <c r="D15" i="2"/>
  <c r="I15" i="2" l="1"/>
  <c r="I16" i="1"/>
  <c r="H16" i="1"/>
  <c r="K15" i="2"/>
  <c r="J15" i="2"/>
  <c r="J16" i="1" l="1"/>
  <c r="K16" i="1"/>
  <c r="E16" i="2"/>
  <c r="F16" i="2" s="1"/>
  <c r="D16" i="2"/>
  <c r="G16" i="2"/>
  <c r="H16" i="2" s="1"/>
  <c r="I16" i="2" s="1"/>
  <c r="D17" i="1" l="1"/>
  <c r="G17" i="1"/>
  <c r="H17" i="1" s="1"/>
  <c r="E17" i="1"/>
  <c r="F17" i="1" s="1"/>
  <c r="K16" i="2"/>
  <c r="J16" i="2"/>
  <c r="I17" i="1" l="1"/>
  <c r="D17" i="2"/>
  <c r="E17" i="2"/>
  <c r="F17" i="2" s="1"/>
  <c r="G17" i="2"/>
  <c r="H17" i="2"/>
  <c r="K17" i="1" l="1"/>
  <c r="J17" i="1"/>
  <c r="I17" i="2"/>
  <c r="G18" i="1" l="1"/>
  <c r="H18" i="1" s="1"/>
  <c r="E18" i="1"/>
  <c r="F18" i="1" s="1"/>
  <c r="D18" i="1"/>
  <c r="I18" i="1"/>
  <c r="K18" i="1" s="1"/>
  <c r="J18" i="1"/>
  <c r="K17" i="2"/>
  <c r="J17" i="2"/>
  <c r="D19" i="1" l="1"/>
  <c r="G19" i="1"/>
  <c r="H19" i="1" s="1"/>
  <c r="E19" i="1"/>
  <c r="F19" i="1" s="1"/>
  <c r="G18" i="2"/>
  <c r="D18" i="2"/>
  <c r="H18" i="2"/>
  <c r="E18" i="2"/>
  <c r="F18" i="2" s="1"/>
  <c r="I18" i="2" s="1"/>
  <c r="K18" i="2" s="1"/>
  <c r="I19" i="1" l="1"/>
  <c r="J18" i="2"/>
  <c r="G19" i="2" s="1"/>
  <c r="H19" i="2" s="1"/>
  <c r="D19" i="2"/>
  <c r="E19" i="2"/>
  <c r="F19" i="2" s="1"/>
  <c r="I19" i="2" l="1"/>
  <c r="J19" i="1"/>
  <c r="K19" i="1"/>
  <c r="J19" i="2"/>
  <c r="K19" i="2"/>
  <c r="E20" i="1" l="1"/>
  <c r="G20" i="1"/>
  <c r="H20" i="1" s="1"/>
  <c r="D20" i="1"/>
  <c r="D20" i="2"/>
  <c r="E20" i="2"/>
  <c r="F20" i="2" s="1"/>
  <c r="G20" i="2"/>
  <c r="H20" i="2" s="1"/>
  <c r="F20" i="1" l="1"/>
  <c r="I20" i="1"/>
  <c r="I20" i="2"/>
  <c r="K20" i="1" l="1"/>
  <c r="J20" i="1"/>
  <c r="G21" i="1" s="1"/>
  <c r="H21" i="1" s="1"/>
  <c r="J20" i="2"/>
  <c r="K20" i="2"/>
  <c r="D21" i="1" l="1"/>
  <c r="E21" i="1"/>
  <c r="F21" i="1" s="1"/>
  <c r="D21" i="2"/>
  <c r="E21" i="2"/>
  <c r="F21" i="2" s="1"/>
  <c r="G21" i="2"/>
  <c r="H21" i="2"/>
  <c r="I21" i="2" l="1"/>
  <c r="K21" i="2" s="1"/>
  <c r="I21" i="1"/>
  <c r="J21" i="2"/>
  <c r="E22" i="2" s="1"/>
  <c r="J21" i="1" l="1"/>
  <c r="K21" i="1"/>
  <c r="G22" i="2"/>
  <c r="H22" i="2" s="1"/>
  <c r="F22" i="2"/>
  <c r="D22" i="2"/>
  <c r="G22" i="1" l="1"/>
  <c r="E22" i="1"/>
  <c r="F22" i="1" s="1"/>
  <c r="D22" i="1"/>
  <c r="H22" i="1"/>
  <c r="I22" i="2"/>
  <c r="K22" i="2" s="1"/>
  <c r="J22" i="2"/>
  <c r="D23" i="2" s="1"/>
  <c r="I22" i="1" l="1"/>
  <c r="G23" i="2"/>
  <c r="H23" i="2"/>
  <c r="E23" i="2"/>
  <c r="J22" i="1" l="1"/>
  <c r="K22" i="1"/>
  <c r="F23" i="2"/>
  <c r="I23" i="2" s="1"/>
  <c r="D23" i="1" l="1"/>
  <c r="E23" i="1"/>
  <c r="G23" i="1"/>
  <c r="H23" i="1" s="1"/>
  <c r="F23" i="1"/>
  <c r="I23" i="1"/>
  <c r="K23" i="1"/>
  <c r="J23" i="1"/>
  <c r="K23" i="2"/>
  <c r="J23" i="2"/>
  <c r="D24" i="1"/>
  <c r="E24" i="1"/>
  <c r="F24" i="1" s="1"/>
  <c r="G24" i="1"/>
  <c r="H24" i="1" s="1"/>
  <c r="I24" i="1" l="1"/>
  <c r="E24" i="2"/>
  <c r="D24" i="2"/>
  <c r="F24" i="2"/>
  <c r="G24" i="2"/>
  <c r="H24" i="2" s="1"/>
  <c r="I24" i="2" s="1"/>
  <c r="K24" i="1" l="1"/>
  <c r="J24" i="1"/>
  <c r="K24" i="2"/>
  <c r="J24" i="2"/>
  <c r="J25" i="1"/>
  <c r="K25" i="1"/>
  <c r="F25" i="1"/>
  <c r="D25" i="1" l="1"/>
  <c r="G25" i="1"/>
  <c r="H25" i="1" s="1"/>
  <c r="E25" i="1"/>
  <c r="I25" i="1" s="1"/>
  <c r="E25" i="2"/>
  <c r="F25" i="2" s="1"/>
  <c r="G25" i="2"/>
  <c r="H25" i="2" s="1"/>
  <c r="I25" i="2" s="1"/>
  <c r="D25" i="2"/>
  <c r="E26" i="1"/>
  <c r="H26" i="1"/>
  <c r="I26" i="1"/>
  <c r="K26" i="1"/>
  <c r="G26" i="1"/>
  <c r="J26" i="1"/>
  <c r="F26" i="1"/>
  <c r="D26" i="1"/>
  <c r="K25" i="2" l="1"/>
  <c r="J25" i="2"/>
  <c r="F27" i="1"/>
  <c r="I27" i="1"/>
  <c r="G27" i="1"/>
  <c r="E27" i="1"/>
  <c r="H27" i="1"/>
  <c r="J27" i="1"/>
  <c r="D27" i="1"/>
  <c r="K27" i="1"/>
  <c r="D26" i="2" l="1"/>
  <c r="G26" i="2"/>
  <c r="E26" i="2"/>
  <c r="F26" i="2" s="1"/>
  <c r="H26" i="2"/>
  <c r="E28" i="1"/>
  <c r="F28" i="1"/>
  <c r="G28" i="1"/>
  <c r="H28" i="1"/>
  <c r="I28" i="1"/>
  <c r="J28" i="1"/>
  <c r="D28" i="1"/>
  <c r="K28" i="1"/>
  <c r="I26" i="2" l="1"/>
  <c r="E29" i="1"/>
  <c r="I29" i="1"/>
  <c r="K29" i="1"/>
  <c r="F29" i="1"/>
  <c r="H29" i="1"/>
  <c r="J29" i="1"/>
  <c r="G29" i="1"/>
  <c r="D29" i="1"/>
  <c r="K26" i="2" l="1"/>
  <c r="J26" i="2"/>
  <c r="G30" i="1"/>
  <c r="H30" i="1"/>
  <c r="J30" i="1"/>
  <c r="F30" i="1"/>
  <c r="K30" i="1"/>
  <c r="E30" i="1"/>
  <c r="D30" i="1"/>
  <c r="I30" i="1"/>
  <c r="D27" i="2" l="1"/>
  <c r="G27" i="2"/>
  <c r="E27" i="2"/>
  <c r="F27" i="2" s="1"/>
  <c r="H27" i="2"/>
  <c r="E31" i="1"/>
  <c r="F31" i="1"/>
  <c r="K31" i="1"/>
  <c r="G31" i="1"/>
  <c r="J31" i="1"/>
  <c r="D31" i="1"/>
  <c r="I31" i="1"/>
  <c r="H31" i="1"/>
  <c r="I27" i="2" l="1"/>
  <c r="K27" i="2"/>
  <c r="J27" i="2"/>
  <c r="G32" i="1"/>
  <c r="J32" i="1"/>
  <c r="H32" i="1"/>
  <c r="E32" i="1"/>
  <c r="I32" i="1"/>
  <c r="F32" i="1"/>
  <c r="D32" i="1"/>
  <c r="K32" i="1"/>
  <c r="D28" i="2" l="1"/>
  <c r="E28" i="2"/>
  <c r="F28" i="2" s="1"/>
  <c r="G28" i="2"/>
  <c r="H28" i="2" s="1"/>
  <c r="D33" i="1"/>
  <c r="I33" i="1"/>
  <c r="E33" i="1"/>
  <c r="G33" i="1"/>
  <c r="H33" i="1"/>
  <c r="K33" i="1"/>
  <c r="F33" i="1"/>
  <c r="J33" i="1"/>
  <c r="I28" i="2" l="1"/>
  <c r="K28" i="2"/>
  <c r="J28" i="2"/>
  <c r="F34" i="1"/>
  <c r="I34" i="1"/>
  <c r="E34" i="1"/>
  <c r="G34" i="1"/>
  <c r="J34" i="1"/>
  <c r="D34" i="1"/>
  <c r="H34" i="1"/>
  <c r="K34" i="1"/>
  <c r="E29" i="2" l="1"/>
  <c r="F29" i="2"/>
  <c r="G29" i="2"/>
  <c r="H29" i="2" s="1"/>
  <c r="I29" i="2" s="1"/>
  <c r="K29" i="2" s="1"/>
  <c r="D29" i="2"/>
  <c r="J29" i="2" l="1"/>
  <c r="D30" i="2" s="1"/>
  <c r="E30" i="2" l="1"/>
  <c r="F30" i="2"/>
  <c r="G30" i="2"/>
  <c r="H30" i="2" s="1"/>
  <c r="I30" i="2" l="1"/>
  <c r="K30" i="2" l="1"/>
  <c r="J30" i="2"/>
  <c r="G31" i="2" l="1"/>
  <c r="D31" i="2"/>
  <c r="H31" i="2"/>
  <c r="E31" i="2"/>
  <c r="F31" i="2"/>
  <c r="I31" i="2" s="1"/>
  <c r="J31" i="2" s="1"/>
  <c r="K31" i="2" l="1"/>
  <c r="D32" i="2" l="1"/>
  <c r="G32" i="2"/>
  <c r="E32" i="2"/>
  <c r="F32" i="2" s="1"/>
  <c r="H32" i="2"/>
  <c r="I32" i="2" l="1"/>
  <c r="K32" i="2" s="1"/>
  <c r="J32" i="2"/>
  <c r="D33" i="2" s="1"/>
  <c r="G33" i="2" l="1"/>
  <c r="E33" i="2"/>
  <c r="H33" i="2"/>
  <c r="F33" i="2"/>
  <c r="I33" i="2" s="1"/>
  <c r="K33" i="2" l="1"/>
  <c r="J33" i="2"/>
  <c r="G34" i="2" l="1"/>
  <c r="E34" i="2"/>
  <c r="H34" i="2"/>
  <c r="F34" i="2"/>
  <c r="D34" i="2"/>
  <c r="I34" i="2" l="1"/>
  <c r="K34" i="2" l="1"/>
  <c r="J34" i="2"/>
  <c r="E35" i="2" l="1"/>
  <c r="F35" i="2"/>
  <c r="G35" i="2"/>
  <c r="H35" i="2" s="1"/>
  <c r="D35" i="2"/>
  <c r="I35" i="2" l="1"/>
  <c r="J35" i="2" l="1"/>
  <c r="K35" i="2"/>
  <c r="G36" i="2" l="1"/>
  <c r="D36" i="2"/>
  <c r="E36" i="2"/>
  <c r="H36" i="2"/>
  <c r="F36" i="2" l="1"/>
  <c r="I36" i="2" s="1"/>
  <c r="J36" i="2" l="1"/>
  <c r="K36" i="2"/>
  <c r="E37" i="2" l="1"/>
  <c r="F37" i="2" s="1"/>
  <c r="G37" i="2"/>
  <c r="D37" i="2"/>
  <c r="H37" i="2" l="1"/>
  <c r="I37" i="2" s="1"/>
  <c r="J37" i="2" l="1"/>
  <c r="K37" i="2"/>
  <c r="D38" i="2" s="1"/>
  <c r="F38" i="2" l="1"/>
  <c r="I38" i="2" s="1"/>
  <c r="E38" i="2"/>
  <c r="G38" i="2"/>
  <c r="H38" i="2" s="1"/>
  <c r="J38" i="2"/>
  <c r="K38" i="2"/>
  <c r="G39" i="2" l="1"/>
  <c r="H39" i="2"/>
  <c r="D39" i="2"/>
  <c r="E39" i="2"/>
  <c r="I39" i="2" s="1"/>
  <c r="F39" i="2"/>
  <c r="J39" i="2" l="1"/>
  <c r="K39" i="2"/>
  <c r="E40" i="2" l="1"/>
  <c r="F40" i="2"/>
  <c r="G40" i="2"/>
  <c r="H40" i="2" s="1"/>
  <c r="I40" i="2" s="1"/>
  <c r="D40" i="2"/>
  <c r="J40" i="2" l="1"/>
  <c r="K40" i="2"/>
  <c r="D41" i="2" l="1"/>
  <c r="E41" i="2"/>
  <c r="F41" i="2"/>
  <c r="I41" i="2" s="1"/>
  <c r="G41" i="2"/>
  <c r="H41" i="2"/>
  <c r="J41" i="2" l="1"/>
  <c r="K41" i="2"/>
  <c r="D42" i="2" l="1"/>
  <c r="G42" i="2"/>
  <c r="H42" i="2" s="1"/>
  <c r="E42" i="2"/>
  <c r="F42" i="2" s="1"/>
  <c r="I42" i="2" s="1"/>
  <c r="J42" i="2" l="1"/>
  <c r="K42" i="2"/>
  <c r="D43" i="2" l="1"/>
  <c r="E43" i="2"/>
  <c r="F43" i="2" s="1"/>
  <c r="I43" i="2" s="1"/>
  <c r="G43" i="2"/>
  <c r="H43" i="2"/>
  <c r="K43" i="2" l="1"/>
  <c r="J43" i="2"/>
  <c r="D44" i="2" l="1"/>
  <c r="E44" i="2"/>
  <c r="F44" i="2"/>
  <c r="G44" i="2"/>
  <c r="H44" i="2" s="1"/>
  <c r="I44" i="2" l="1"/>
  <c r="K44" i="2" l="1"/>
  <c r="J44" i="2"/>
  <c r="E45" i="2" l="1"/>
  <c r="D45" i="2"/>
  <c r="F45" i="2"/>
  <c r="G45" i="2"/>
  <c r="H45" i="2"/>
  <c r="I45" i="2" s="1"/>
  <c r="K45" i="2" l="1"/>
  <c r="J45" i="2"/>
  <c r="D46" i="2" l="1"/>
  <c r="G46" i="2"/>
  <c r="H46" i="2"/>
  <c r="E46" i="2"/>
  <c r="F46" i="2"/>
  <c r="I46" i="2" s="1"/>
  <c r="J46" i="2" l="1"/>
  <c r="K46" i="2"/>
  <c r="E47" i="2" l="1"/>
  <c r="G47" i="2"/>
  <c r="H47" i="2" s="1"/>
  <c r="D47" i="2"/>
  <c r="F47" i="2" l="1"/>
  <c r="I47" i="2" s="1"/>
  <c r="K47" i="2" l="1"/>
  <c r="J47" i="2"/>
  <c r="D48" i="2" l="1"/>
  <c r="E48" i="2"/>
  <c r="F48" i="2"/>
  <c r="G48" i="2"/>
  <c r="H48" i="2"/>
  <c r="I48" i="2" s="1"/>
  <c r="K48" i="2" l="1"/>
  <c r="J48" i="2"/>
  <c r="E49" i="2" l="1"/>
  <c r="F49" i="2"/>
  <c r="D49" i="2"/>
  <c r="G49" i="2"/>
  <c r="H49" i="2" s="1"/>
  <c r="I49" i="2" l="1"/>
  <c r="J49" i="2" l="1"/>
  <c r="K49" i="2"/>
  <c r="G50" i="2" l="1"/>
  <c r="E50" i="2"/>
  <c r="F50" i="2"/>
  <c r="H50" i="2"/>
  <c r="I50" i="2"/>
  <c r="K50" i="2" s="1"/>
  <c r="D50" i="2"/>
  <c r="J50" i="2" l="1"/>
  <c r="D51" i="2" s="1"/>
  <c r="G51" i="2" l="1"/>
  <c r="H51" i="2"/>
  <c r="E51" i="2"/>
  <c r="F51" i="2" l="1"/>
  <c r="I51" i="2" s="1"/>
  <c r="K51" i="2" l="1"/>
  <c r="J51" i="2"/>
  <c r="D52" i="2" l="1"/>
  <c r="G52" i="2"/>
  <c r="E52" i="2"/>
  <c r="I52" i="2" s="1"/>
  <c r="F52" i="2"/>
  <c r="H52" i="2"/>
  <c r="K52" i="2" l="1"/>
  <c r="J52" i="2"/>
  <c r="E53" i="2" l="1"/>
  <c r="F53" i="2"/>
  <c r="G53" i="2"/>
  <c r="H53" i="2" s="1"/>
  <c r="D53" i="2"/>
  <c r="I53" i="2" l="1"/>
  <c r="K53" i="2" l="1"/>
  <c r="J53" i="2"/>
  <c r="D54" i="2" l="1"/>
  <c r="G54" i="2"/>
  <c r="H54" i="2" s="1"/>
  <c r="E54" i="2"/>
  <c r="F54" i="2"/>
  <c r="I54" i="2" s="1"/>
  <c r="J54" i="2" l="1"/>
  <c r="K54" i="2"/>
  <c r="E55" i="2" l="1"/>
  <c r="F55" i="2"/>
  <c r="D55" i="2"/>
  <c r="G55" i="2"/>
  <c r="H55" i="2" s="1"/>
  <c r="I55" i="2" l="1"/>
  <c r="J55" i="2" l="1"/>
  <c r="K55" i="2"/>
  <c r="D56" i="2" l="1"/>
  <c r="G56" i="2"/>
  <c r="E56" i="2"/>
  <c r="F56" i="2" s="1"/>
  <c r="I56" i="2" s="1"/>
  <c r="H56" i="2"/>
  <c r="J56" i="2" l="1"/>
  <c r="K56" i="2"/>
  <c r="D57" i="2" l="1"/>
  <c r="E57" i="2"/>
  <c r="F57" i="2"/>
  <c r="G57" i="2"/>
  <c r="H57" i="2" s="1"/>
  <c r="I57" i="2" l="1"/>
  <c r="J57" i="2" l="1"/>
  <c r="K57" i="2"/>
  <c r="G58" i="2" l="1"/>
  <c r="E58" i="2"/>
  <c r="F58" i="2"/>
  <c r="H58" i="2"/>
  <c r="I58" i="2" s="1"/>
  <c r="D58" i="2"/>
  <c r="J58" i="2" l="1"/>
  <c r="K58" i="2"/>
  <c r="D59" i="2" l="1"/>
  <c r="G59" i="2"/>
  <c r="H59" i="2"/>
  <c r="E59" i="2"/>
  <c r="F59" i="2" s="1"/>
  <c r="I59" i="2" l="1"/>
  <c r="K59" i="2" l="1"/>
  <c r="J59" i="2"/>
  <c r="D60" i="2" l="1"/>
  <c r="E60" i="2"/>
  <c r="F60" i="2" s="1"/>
  <c r="G60" i="2"/>
  <c r="H60" i="2" s="1"/>
  <c r="I60" i="2" l="1"/>
  <c r="J60" i="2" l="1"/>
  <c r="K60" i="2"/>
  <c r="E61" i="2" l="1"/>
  <c r="F61" i="2"/>
  <c r="G61" i="2"/>
  <c r="H61" i="2" s="1"/>
  <c r="D61" i="2"/>
  <c r="I61" i="2" l="1"/>
  <c r="K61" i="2" l="1"/>
  <c r="J61" i="2"/>
  <c r="D62" i="2" l="1"/>
  <c r="G62" i="2"/>
  <c r="E62" i="2"/>
  <c r="F62" i="2"/>
  <c r="H62" i="2"/>
  <c r="I62" i="2" s="1"/>
  <c r="K62" i="2" l="1"/>
  <c r="J62" i="2"/>
  <c r="D63" i="2" l="1"/>
  <c r="G63" i="2"/>
  <c r="H63" i="2" s="1"/>
  <c r="E63" i="2"/>
  <c r="F63" i="2" l="1"/>
  <c r="I63" i="2" s="1"/>
  <c r="J63" i="2" l="1"/>
  <c r="K63" i="2"/>
  <c r="D64" i="2" l="1"/>
  <c r="E64" i="2"/>
  <c r="F64" i="2"/>
  <c r="G64" i="2"/>
  <c r="H64" i="2" s="1"/>
  <c r="I64" i="2" l="1"/>
  <c r="K64" i="2" l="1"/>
  <c r="J64" i="2"/>
  <c r="E65" i="2" l="1"/>
  <c r="G65" i="2"/>
  <c r="D65" i="2"/>
  <c r="F65" i="2"/>
  <c r="I65" i="2" s="1"/>
  <c r="H65" i="2"/>
  <c r="K65" i="2" l="1"/>
  <c r="J65" i="2"/>
  <c r="D66" i="2" l="1"/>
  <c r="E66" i="2"/>
  <c r="F66" i="2"/>
  <c r="G66" i="2"/>
  <c r="H66" i="2" s="1"/>
  <c r="I66" i="2" l="1"/>
  <c r="J66" i="2" l="1"/>
  <c r="K66" i="2"/>
  <c r="D67" i="2" l="1"/>
  <c r="G67" i="2"/>
  <c r="E67" i="2"/>
  <c r="I67" i="2" s="1"/>
  <c r="F67" i="2"/>
  <c r="H67" i="2"/>
  <c r="J67" i="2" l="1"/>
  <c r="K67" i="2"/>
  <c r="D68" i="2" l="1"/>
  <c r="G68" i="2"/>
  <c r="H68" i="2"/>
  <c r="E68" i="2"/>
  <c r="F68" i="2"/>
  <c r="I68" i="2" s="1"/>
  <c r="J68" i="2" l="1"/>
  <c r="K68" i="2"/>
  <c r="E69" i="2" l="1"/>
  <c r="D69" i="2"/>
  <c r="F69" i="2"/>
  <c r="I69" i="2" s="1"/>
  <c r="G69" i="2"/>
  <c r="H69" i="2"/>
  <c r="J69" i="2" l="1"/>
  <c r="K69" i="2"/>
  <c r="D70" i="2" l="1"/>
  <c r="E70" i="2"/>
  <c r="G70" i="2"/>
  <c r="F70" i="2"/>
  <c r="I70" i="2" s="1"/>
  <c r="H70" i="2"/>
  <c r="K70" i="2" l="1"/>
  <c r="J70" i="2"/>
  <c r="G71" i="2" l="1"/>
  <c r="E71" i="2"/>
  <c r="I71" i="2" s="1"/>
  <c r="D71" i="2"/>
  <c r="H71" i="2"/>
  <c r="F71" i="2"/>
  <c r="J71" i="2" l="1"/>
  <c r="K71" i="2"/>
  <c r="D72" i="2" l="1"/>
  <c r="E72" i="2"/>
  <c r="G72" i="2"/>
  <c r="H72" i="2"/>
  <c r="F72" i="2" l="1"/>
  <c r="I72" i="2" s="1"/>
  <c r="K72" i="2" l="1"/>
  <c r="J72" i="2"/>
  <c r="E73" i="2" l="1"/>
  <c r="G73" i="2"/>
  <c r="F73" i="2"/>
  <c r="I73" i="2" s="1"/>
  <c r="D73" i="2"/>
  <c r="H73" i="2"/>
  <c r="J73" i="2" l="1"/>
  <c r="K73" i="2"/>
  <c r="D74" i="2" l="1"/>
  <c r="G74" i="2"/>
  <c r="E74" i="2"/>
  <c r="F74" i="2"/>
  <c r="I74" i="2" s="1"/>
  <c r="H74" i="2"/>
  <c r="K74" i="2" l="1"/>
  <c r="J74" i="2"/>
  <c r="D75" i="2" l="1"/>
  <c r="G75" i="2"/>
  <c r="E75" i="2"/>
  <c r="F75" i="2" s="1"/>
  <c r="I75" i="2" s="1"/>
  <c r="H75" i="2"/>
  <c r="J75" i="2" l="1"/>
  <c r="K75" i="2"/>
  <c r="D76" i="2" l="1"/>
  <c r="G76" i="2"/>
  <c r="H76" i="2" s="1"/>
  <c r="E76" i="2"/>
  <c r="F76" i="2" s="1"/>
  <c r="I76" i="2" l="1"/>
  <c r="K76" i="2" l="1"/>
  <c r="J76" i="2"/>
  <c r="E77" i="2" l="1"/>
  <c r="D77" i="2"/>
  <c r="F77" i="2"/>
  <c r="G77" i="2"/>
  <c r="H77" i="2" s="1"/>
  <c r="I77" i="2" l="1"/>
  <c r="J77" i="2" l="1"/>
  <c r="K77" i="2"/>
  <c r="D78" i="2" l="1"/>
  <c r="G78" i="2"/>
  <c r="H78" i="2" s="1"/>
  <c r="E78" i="2"/>
  <c r="F78" i="2" s="1"/>
  <c r="I78" i="2" l="1"/>
  <c r="J78" i="2" l="1"/>
  <c r="K78" i="2"/>
  <c r="E79" i="2" l="1"/>
  <c r="D79" i="2"/>
  <c r="G79" i="2"/>
  <c r="H79" i="2" s="1"/>
  <c r="F79" i="2" l="1"/>
  <c r="I79" i="2" s="1"/>
  <c r="J79" i="2" l="1"/>
  <c r="K79" i="2"/>
  <c r="D80" i="2" l="1"/>
  <c r="E80" i="2"/>
  <c r="F80" i="2" s="1"/>
  <c r="G80" i="2"/>
  <c r="H80" i="2" s="1"/>
  <c r="I80" i="2" l="1"/>
  <c r="K80" i="2" l="1"/>
  <c r="J80" i="2"/>
  <c r="G81" i="2" l="1"/>
  <c r="D81" i="2"/>
  <c r="H81" i="2"/>
  <c r="E81" i="2"/>
  <c r="F81" i="2" l="1"/>
  <c r="I81" i="2" s="1"/>
  <c r="J81" i="2" l="1"/>
  <c r="K81" i="2"/>
  <c r="D82" i="2" l="1"/>
  <c r="G82" i="2"/>
  <c r="E82" i="2"/>
  <c r="F82" i="2" s="1"/>
  <c r="H82" i="2"/>
  <c r="I82" i="2" l="1"/>
  <c r="J82" i="2" l="1"/>
  <c r="K82" i="2"/>
  <c r="D83" i="2" l="1"/>
  <c r="E83" i="2"/>
  <c r="F83" i="2" s="1"/>
  <c r="G83" i="2"/>
  <c r="H83" i="2" s="1"/>
  <c r="I83" i="2" l="1"/>
  <c r="J83" i="2" l="1"/>
  <c r="K83" i="2"/>
  <c r="E84" i="2" l="1"/>
  <c r="F84" i="2" s="1"/>
  <c r="G84" i="2"/>
  <c r="H84" i="2" s="1"/>
  <c r="D84" i="2"/>
  <c r="I84" i="2" l="1"/>
  <c r="J84" i="2" l="1"/>
  <c r="K84" i="2"/>
  <c r="E85" i="2" l="1"/>
  <c r="F85" i="2"/>
  <c r="G85" i="2"/>
  <c r="I85" i="2" s="1"/>
  <c r="D85" i="2"/>
  <c r="H85" i="2"/>
  <c r="K85" i="2" l="1"/>
  <c r="J85" i="2"/>
  <c r="D86" i="2" l="1"/>
  <c r="E86" i="2"/>
  <c r="F86" i="2"/>
  <c r="G86" i="2"/>
  <c r="H86" i="2" s="1"/>
  <c r="I86" i="2" s="1"/>
  <c r="J86" i="2" l="1"/>
  <c r="K86" i="2"/>
  <c r="E87" i="2" l="1"/>
  <c r="I87" i="2" s="1"/>
  <c r="D87" i="2"/>
  <c r="G87" i="2"/>
  <c r="F87" i="2"/>
  <c r="H87" i="2"/>
  <c r="J87" i="2" l="1"/>
  <c r="K87" i="2"/>
  <c r="D88" i="2" l="1"/>
  <c r="E88" i="2"/>
  <c r="F88" i="2" s="1"/>
  <c r="I88" i="2" s="1"/>
  <c r="G88" i="2"/>
  <c r="H88" i="2"/>
  <c r="J88" i="2" l="1"/>
  <c r="K88" i="2"/>
  <c r="D89" i="2" l="1"/>
  <c r="G89" i="2"/>
  <c r="H89" i="2" s="1"/>
  <c r="E89" i="2"/>
  <c r="F89" i="2" s="1"/>
  <c r="I89" i="2" l="1"/>
  <c r="J89" i="2" l="1"/>
  <c r="K89" i="2"/>
  <c r="D90" i="2" l="1"/>
  <c r="G90" i="2"/>
  <c r="H90" i="2" s="1"/>
  <c r="E90" i="2"/>
  <c r="F90" i="2" s="1"/>
  <c r="I90" i="2" l="1"/>
  <c r="J90" i="2" l="1"/>
  <c r="K90" i="2"/>
  <c r="D91" i="2" l="1"/>
  <c r="E91" i="2"/>
  <c r="G91" i="2"/>
  <c r="H91" i="2" s="1"/>
  <c r="F91" i="2" l="1"/>
  <c r="I91" i="2" s="1"/>
  <c r="K91" i="2" l="1"/>
  <c r="J91" i="2"/>
  <c r="D92" i="2" l="1"/>
  <c r="G92" i="2"/>
  <c r="I92" i="2"/>
  <c r="J92" i="2"/>
  <c r="F92" i="2"/>
  <c r="K92" i="2"/>
  <c r="E92" i="2"/>
  <c r="H92" i="2"/>
  <c r="E93" i="2" l="1"/>
  <c r="D93" i="2"/>
  <c r="G93" i="2"/>
  <c r="H93" i="2" s="1"/>
  <c r="F93" i="2" l="1"/>
  <c r="I93" i="2" s="1"/>
  <c r="K93" i="2" l="1"/>
  <c r="J93" i="2"/>
  <c r="D94" i="2" l="1"/>
  <c r="F94" i="2"/>
  <c r="I94" i="2"/>
  <c r="K94" i="2"/>
  <c r="G94" i="2"/>
  <c r="J94" i="2"/>
  <c r="E94" i="2"/>
  <c r="H94" i="2"/>
  <c r="I95" i="2" l="1"/>
  <c r="J95" i="2"/>
  <c r="K95" i="2"/>
  <c r="D95" i="2"/>
  <c r="F95" i="2"/>
  <c r="G95" i="2"/>
  <c r="E95" i="2"/>
  <c r="H95" i="2"/>
  <c r="D96" i="2" l="1"/>
  <c r="G96" i="2"/>
  <c r="I96" i="2"/>
  <c r="K96" i="2"/>
  <c r="F96" i="2"/>
  <c r="E96" i="2"/>
  <c r="H96" i="2"/>
  <c r="J96" i="2"/>
  <c r="D97" i="2" l="1"/>
  <c r="E97" i="2"/>
  <c r="F97" i="2"/>
  <c r="J97" i="2"/>
  <c r="G97" i="2"/>
  <c r="I97" i="2"/>
  <c r="K97" i="2"/>
  <c r="H97" i="2"/>
  <c r="D98" i="2" l="1"/>
  <c r="J98" i="2"/>
  <c r="G98" i="2"/>
  <c r="K98" i="2"/>
  <c r="E98" i="2"/>
  <c r="I98" i="2"/>
  <c r="H98" i="2"/>
  <c r="F98" i="2"/>
  <c r="D99" i="2" l="1"/>
  <c r="F99" i="2"/>
  <c r="E99" i="2"/>
  <c r="K99" i="2"/>
  <c r="G99" i="2"/>
  <c r="H99" i="2"/>
  <c r="I99" i="2"/>
  <c r="J99" i="2"/>
  <c r="E100" i="2" l="1"/>
  <c r="F100" i="2"/>
  <c r="G100" i="2"/>
  <c r="H100" i="2"/>
  <c r="I100" i="2"/>
  <c r="D100" i="2"/>
  <c r="J100" i="2"/>
  <c r="K100" i="2"/>
  <c r="D101" i="2" l="1"/>
  <c r="K101" i="2"/>
  <c r="G101" i="2"/>
  <c r="J101" i="2"/>
  <c r="I101" i="2"/>
  <c r="H101" i="2"/>
  <c r="F101" i="2"/>
  <c r="E101" i="2"/>
  <c r="D102" i="2" l="1"/>
  <c r="G102" i="2"/>
  <c r="I102" i="2"/>
  <c r="J102" i="2"/>
  <c r="E102" i="2"/>
  <c r="F102" i="2"/>
  <c r="K102" i="2"/>
  <c r="H102" i="2"/>
  <c r="H103" i="2" l="1"/>
  <c r="E103" i="2"/>
  <c r="I103" i="2"/>
  <c r="J103" i="2"/>
  <c r="G103" i="2"/>
  <c r="K103" i="2"/>
  <c r="D103" i="2"/>
  <c r="F103" i="2"/>
  <c r="I104" i="2" l="1"/>
  <c r="E104" i="2"/>
  <c r="G104" i="2"/>
  <c r="J104" i="2"/>
  <c r="D104" i="2"/>
  <c r="H104" i="2"/>
  <c r="K104" i="2"/>
  <c r="F104" i="2"/>
  <c r="D105" i="2" l="1"/>
  <c r="E105" i="2"/>
  <c r="F105" i="2"/>
  <c r="H105" i="2"/>
  <c r="J105" i="2"/>
  <c r="K105" i="2"/>
  <c r="G105" i="2"/>
  <c r="I105" i="2"/>
  <c r="E106" i="2" l="1"/>
  <c r="K106" i="2"/>
  <c r="J106" i="2"/>
  <c r="D106" i="2"/>
  <c r="I106" i="2"/>
  <c r="F106" i="2"/>
  <c r="H106" i="2"/>
  <c r="G106" i="2"/>
  <c r="H107" i="2" l="1"/>
  <c r="I107" i="2"/>
  <c r="G107" i="2"/>
  <c r="K107" i="2"/>
  <c r="E107" i="2"/>
  <c r="J107" i="2"/>
  <c r="D107" i="2"/>
  <c r="F107" i="2"/>
  <c r="K108" i="2" l="1"/>
  <c r="E108" i="2"/>
  <c r="F108" i="2"/>
  <c r="G108" i="2"/>
  <c r="D108" i="2"/>
  <c r="J108" i="2"/>
  <c r="I108" i="2"/>
  <c r="H108" i="2"/>
  <c r="D109" i="2" l="1"/>
  <c r="H109" i="2"/>
  <c r="E109" i="2"/>
  <c r="G109" i="2"/>
  <c r="F109" i="2"/>
  <c r="I109" i="2"/>
  <c r="J109" i="2"/>
  <c r="K109" i="2"/>
  <c r="G110" i="2" l="1"/>
  <c r="I110" i="2"/>
  <c r="K110" i="2"/>
  <c r="H110" i="2"/>
  <c r="J110" i="2"/>
  <c r="F110" i="2"/>
  <c r="D110" i="2"/>
  <c r="E110" i="2"/>
  <c r="D111" i="2" l="1"/>
  <c r="E111" i="2"/>
  <c r="F111" i="2"/>
  <c r="I111" i="2"/>
  <c r="K111" i="2"/>
  <c r="H111" i="2"/>
  <c r="J111" i="2"/>
  <c r="G111" i="2"/>
  <c r="G112" i="2" l="1"/>
  <c r="H112" i="2"/>
  <c r="E112" i="2"/>
  <c r="F112" i="2"/>
  <c r="I112" i="2"/>
  <c r="K112" i="2"/>
  <c r="J112" i="2"/>
  <c r="D112" i="2"/>
  <c r="D113" i="2" l="1"/>
  <c r="I113" i="2"/>
  <c r="H113" i="2"/>
  <c r="E113" i="2"/>
  <c r="J113" i="2"/>
  <c r="F113" i="2"/>
  <c r="G113" i="2"/>
  <c r="K113" i="2"/>
  <c r="E114" i="2" l="1"/>
  <c r="H114" i="2"/>
  <c r="J114" i="2"/>
  <c r="D114" i="2"/>
  <c r="F114" i="2"/>
  <c r="K114" i="2"/>
  <c r="I114" i="2"/>
  <c r="G114" i="2"/>
  <c r="E115" i="2" l="1"/>
  <c r="K115" i="2"/>
  <c r="D115" i="2"/>
  <c r="F115" i="2"/>
  <c r="J115" i="2"/>
  <c r="G115" i="2"/>
  <c r="H115" i="2"/>
  <c r="I115" i="2"/>
  <c r="F116" i="2" l="1"/>
  <c r="G116" i="2"/>
  <c r="E116" i="2"/>
  <c r="J116" i="2"/>
  <c r="D116" i="2"/>
  <c r="H116" i="2"/>
  <c r="K116" i="2"/>
  <c r="I116" i="2"/>
  <c r="D117" i="2" l="1"/>
  <c r="E117" i="2"/>
  <c r="J117" i="2"/>
  <c r="K117" i="2"/>
  <c r="H117" i="2"/>
  <c r="I117" i="2"/>
  <c r="F117" i="2"/>
  <c r="G117" i="2"/>
  <c r="I118" i="2" l="1"/>
  <c r="E118" i="2"/>
  <c r="J118" i="2"/>
  <c r="H118" i="2"/>
  <c r="D118" i="2"/>
  <c r="F118" i="2"/>
  <c r="G118" i="2"/>
  <c r="K118" i="2"/>
  <c r="E119" i="2" l="1"/>
  <c r="H119" i="2"/>
  <c r="I119" i="2"/>
  <c r="J119" i="2"/>
  <c r="G119" i="2"/>
  <c r="K119" i="2"/>
  <c r="D119" i="2"/>
  <c r="F119" i="2"/>
</calcChain>
</file>

<file path=xl/sharedStrings.xml><?xml version="1.0" encoding="utf-8"?>
<sst xmlns="http://schemas.openxmlformats.org/spreadsheetml/2006/main" count="29" uniqueCount="15">
  <si>
    <t>Método de Bisección</t>
  </si>
  <si>
    <t>a</t>
  </si>
  <si>
    <t>b</t>
  </si>
  <si>
    <t>f(a)</t>
  </si>
  <si>
    <t>f(b)</t>
  </si>
  <si>
    <t>Iteración</t>
  </si>
  <si>
    <t>xm</t>
  </si>
  <si>
    <t>f(xm)</t>
  </si>
  <si>
    <t>Error admitido</t>
  </si>
  <si>
    <t>er%</t>
  </si>
  <si>
    <t>Método de la Regla Falsa</t>
  </si>
  <si>
    <t>Error aceptado</t>
  </si>
  <si>
    <t>Rf</t>
  </si>
  <si>
    <t>f(Rf)</t>
  </si>
  <si>
    <t>ER%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</si>
</sst>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0D29-CCC9-43A7-AD02-B404AD19619D}">
  <dimension ref="A1:K34"/>
  <sheetViews>
    <sheetView workbookViewId="0">
      <selection activeCell="B6" sqref="B6"/>
    </sheetView>
  </sheetViews>
  <sheetFormatPr baseColWidth="10" defaultRowHeight="14.5" x14ac:dyDescent="0.35"/>
  <cols>
    <col min="1" max="1" width="8.08984375" customWidth="1"/>
    <col min="11" max="11" width="13.453125" customWidth="1"/>
  </cols>
  <sheetData>
    <row r="1" spans="1:11" x14ac:dyDescent="0.35">
      <c r="A1" t="s">
        <v>0</v>
      </c>
      <c r="B1" s="1"/>
      <c r="C1" s="1"/>
      <c r="D1" s="1" t="s">
        <v>5</v>
      </c>
      <c r="E1" s="1" t="s">
        <v>1</v>
      </c>
      <c r="F1" s="1" t="s">
        <v>3</v>
      </c>
      <c r="G1" s="1" t="s">
        <v>2</v>
      </c>
      <c r="H1" s="1" t="s">
        <v>4</v>
      </c>
      <c r="I1" s="1" t="s">
        <v>6</v>
      </c>
      <c r="J1" s="1" t="s">
        <v>7</v>
      </c>
      <c r="K1" s="1" t="s">
        <v>9</v>
      </c>
    </row>
    <row r="2" spans="1:11" x14ac:dyDescent="0.35">
      <c r="B2" s="1"/>
      <c r="C2" s="1"/>
      <c r="D2" s="1">
        <v>1</v>
      </c>
      <c r="E2" s="1">
        <f>B4</f>
        <v>-12</v>
      </c>
      <c r="F2" s="1">
        <f>-(3/4)*E2-(71/3)-E2^3*EXP(0.3*E2)</f>
        <v>32.548725722254886</v>
      </c>
      <c r="G2" s="1">
        <f>B5</f>
        <v>4</v>
      </c>
      <c r="H2" s="1">
        <f t="shared" ref="H2:J2" si="0">-(3/4)*G2-(71/3)-G2^3*EXP(0.3*G2)</f>
        <v>-239.15414972180568</v>
      </c>
      <c r="I2" s="1">
        <f>(E2+G2)/2</f>
        <v>-4</v>
      </c>
      <c r="J2" s="1">
        <f t="shared" si="0"/>
        <v>-1.3902371042857311</v>
      </c>
      <c r="K2" s="1">
        <f>ABS((I2-0)/I2)*100</f>
        <v>100</v>
      </c>
    </row>
    <row r="3" spans="1:11" x14ac:dyDescent="0.35">
      <c r="B3" s="1"/>
      <c r="C3" s="1"/>
      <c r="D3" s="1">
        <f>IF(K2&gt;$B$11,D2+1,"")</f>
        <v>2</v>
      </c>
      <c r="E3" s="1">
        <f>IF(K2&gt;$B$11,IF(F2*J2&lt;0,E2,I2),"")</f>
        <v>-12</v>
      </c>
      <c r="F3" s="1">
        <f>IF(K2&gt;$B$11,-(3/4)*E3-(71/3)-E3^3*EXP(0.3*E3),"")</f>
        <v>32.548725722254886</v>
      </c>
      <c r="G3" s="1">
        <f>IF(K2&gt;$B$11,IF(H2*J2&lt;0,G2,I2),"")</f>
        <v>-4</v>
      </c>
      <c r="H3" s="1">
        <f>IF(K2&gt;$B$11,-(3/4)*G3-(71/3)-G3^3*EXP(0.3*G3),"")</f>
        <v>-1.3902371042857311</v>
      </c>
      <c r="I3" s="1">
        <f>IF(K2&gt;$B$11,(E3+G3)/2,"")</f>
        <v>-8</v>
      </c>
      <c r="J3" s="1">
        <f>IF(K2&gt;$B$11,-(3/4)*I3-(71/3)-I3^3*EXP(0.3*I3),"")</f>
        <v>28.780925417512538</v>
      </c>
      <c r="K3" s="1">
        <f>IF(K2&gt;$B$11,ABS((I3-I2)/I3)*100,"")</f>
        <v>50</v>
      </c>
    </row>
    <row r="4" spans="1:11" x14ac:dyDescent="0.35">
      <c r="A4" t="s">
        <v>1</v>
      </c>
      <c r="B4" s="1">
        <v>-12</v>
      </c>
      <c r="C4" s="1"/>
      <c r="D4" s="1">
        <f t="shared" ref="D4:D34" si="1">IF(K3&gt;$B$11,D3+1,"")</f>
        <v>3</v>
      </c>
      <c r="E4" s="1">
        <f t="shared" ref="E4:E34" si="2">IF(K3&gt;$B$11,IF(F3*J3&lt;0,E3,I3),"")</f>
        <v>-8</v>
      </c>
      <c r="F4" s="1">
        <f t="shared" ref="F4:F34" si="3">IF(K3&gt;$B$11,-(3/4)*E4-(71/3)-E4^3*EXP(0.3*E4),"")</f>
        <v>28.780925417512538</v>
      </c>
      <c r="G4" s="1">
        <f t="shared" ref="G4:G34" si="4">IF(K3&gt;$B$11,IF(H3*J3&lt;0,G3,I3),"")</f>
        <v>-4</v>
      </c>
      <c r="H4" s="1">
        <f t="shared" ref="H4:H34" si="5">IF(K3&gt;$B$11,-(3/4)*G4-(71/3)-G4^3*EXP(0.3*G4),"")</f>
        <v>-1.3902371042857311</v>
      </c>
      <c r="I4" s="1">
        <f t="shared" ref="I4:I34" si="6">IF(K3&gt;$B$11,(E4+G4)/2,"")</f>
        <v>-6</v>
      </c>
      <c r="J4" s="1">
        <f t="shared" ref="J4:J34" si="7">IF(K3&gt;$B$11,-(3/4)*I4-(71/3)-I4^3*EXP(0.3*I4),"")</f>
        <v>16.53789318919603</v>
      </c>
      <c r="K4" s="1">
        <f t="shared" ref="K4:K34" si="8">IF(K3&gt;$B$11,ABS((I4-I3)/I4)*100,"")</f>
        <v>33.333333333333329</v>
      </c>
    </row>
    <row r="5" spans="1:11" x14ac:dyDescent="0.35">
      <c r="A5" t="s">
        <v>2</v>
      </c>
      <c r="B5" s="1">
        <v>4</v>
      </c>
      <c r="C5" s="1"/>
      <c r="D5" s="1">
        <f t="shared" si="1"/>
        <v>4</v>
      </c>
      <c r="E5" s="1">
        <f t="shared" si="2"/>
        <v>-6</v>
      </c>
      <c r="F5" s="1">
        <f t="shared" si="3"/>
        <v>16.53789318919603</v>
      </c>
      <c r="G5" s="1">
        <f t="shared" si="4"/>
        <v>-4</v>
      </c>
      <c r="H5" s="1">
        <f t="shared" si="5"/>
        <v>-1.3902371042857311</v>
      </c>
      <c r="I5" s="1">
        <f t="shared" si="6"/>
        <v>-5</v>
      </c>
      <c r="J5" s="1">
        <f t="shared" si="7"/>
        <v>7.9746033518870583</v>
      </c>
      <c r="K5" s="1">
        <f t="shared" si="8"/>
        <v>20</v>
      </c>
    </row>
    <row r="6" spans="1:11" x14ac:dyDescent="0.35">
      <c r="B6" s="1"/>
      <c r="C6" s="1"/>
      <c r="D6" s="1">
        <f t="shared" si="1"/>
        <v>5</v>
      </c>
      <c r="E6" s="1">
        <f t="shared" si="2"/>
        <v>-5</v>
      </c>
      <c r="F6" s="1">
        <f t="shared" si="3"/>
        <v>7.9746033518870583</v>
      </c>
      <c r="G6" s="1">
        <f t="shared" si="4"/>
        <v>-4</v>
      </c>
      <c r="H6" s="1">
        <f t="shared" si="5"/>
        <v>-1.3902371042857311</v>
      </c>
      <c r="I6" s="1">
        <f t="shared" si="6"/>
        <v>-4.5</v>
      </c>
      <c r="J6" s="1">
        <f t="shared" si="7"/>
        <v>3.3316020846901999</v>
      </c>
      <c r="K6" s="1">
        <f t="shared" si="8"/>
        <v>11.111111111111111</v>
      </c>
    </row>
    <row r="7" spans="1:11" x14ac:dyDescent="0.35">
      <c r="B7" s="1"/>
      <c r="C7" s="1"/>
      <c r="D7" s="1">
        <f t="shared" si="1"/>
        <v>6</v>
      </c>
      <c r="E7" s="1">
        <f t="shared" si="2"/>
        <v>-4.5</v>
      </c>
      <c r="F7" s="1">
        <f t="shared" si="3"/>
        <v>3.3316020846901999</v>
      </c>
      <c r="G7" s="1">
        <f t="shared" si="4"/>
        <v>-4</v>
      </c>
      <c r="H7" s="1">
        <f t="shared" si="5"/>
        <v>-1.3902371042857311</v>
      </c>
      <c r="I7" s="1">
        <f t="shared" si="6"/>
        <v>-4.25</v>
      </c>
      <c r="J7" s="1">
        <f t="shared" si="7"/>
        <v>0.97152625320480368</v>
      </c>
      <c r="K7" s="1">
        <f t="shared" si="8"/>
        <v>5.8823529411764701</v>
      </c>
    </row>
    <row r="8" spans="1:11" x14ac:dyDescent="0.35">
      <c r="A8" t="s">
        <v>3</v>
      </c>
      <c r="B8" s="1">
        <f>-(3/4)*B4-(71/3)-B4^3*EXP(0.3*B4)</f>
        <v>32.548725722254886</v>
      </c>
      <c r="C8" s="1"/>
      <c r="D8" s="1">
        <f t="shared" si="1"/>
        <v>7</v>
      </c>
      <c r="E8" s="1">
        <f t="shared" si="2"/>
        <v>-4.25</v>
      </c>
      <c r="F8" s="1">
        <f t="shared" si="3"/>
        <v>0.97152625320480368</v>
      </c>
      <c r="G8" s="1">
        <f t="shared" si="4"/>
        <v>-4</v>
      </c>
      <c r="H8" s="1">
        <f t="shared" si="5"/>
        <v>-1.3902371042857311</v>
      </c>
      <c r="I8" s="1">
        <f t="shared" si="6"/>
        <v>-4.125</v>
      </c>
      <c r="J8" s="1">
        <f t="shared" si="7"/>
        <v>-0.21035383946534125</v>
      </c>
      <c r="K8" s="1">
        <f t="shared" si="8"/>
        <v>3.0303030303030303</v>
      </c>
    </row>
    <row r="9" spans="1:11" x14ac:dyDescent="0.35">
      <c r="A9" t="s">
        <v>4</v>
      </c>
      <c r="B9" s="1">
        <f>-(3/4)*B5-(71/3)-B5^3*EXP(0.3*B5)</f>
        <v>-239.15414972180568</v>
      </c>
      <c r="C9" s="1"/>
      <c r="D9" s="1">
        <f t="shared" si="1"/>
        <v>8</v>
      </c>
      <c r="E9" s="1">
        <f t="shared" si="2"/>
        <v>-4.25</v>
      </c>
      <c r="F9" s="1">
        <f t="shared" si="3"/>
        <v>0.97152625320480368</v>
      </c>
      <c r="G9" s="1">
        <f t="shared" si="4"/>
        <v>-4.125</v>
      </c>
      <c r="H9" s="1">
        <f t="shared" si="5"/>
        <v>-0.21035383946534125</v>
      </c>
      <c r="I9" s="1">
        <f t="shared" si="6"/>
        <v>-4.1875</v>
      </c>
      <c r="J9" s="1">
        <f t="shared" si="7"/>
        <v>0.38049128304994895</v>
      </c>
      <c r="K9" s="1">
        <f t="shared" si="8"/>
        <v>1.4925373134328357</v>
      </c>
    </row>
    <row r="10" spans="1:11" x14ac:dyDescent="0.35">
      <c r="B10" s="1"/>
      <c r="C10" s="1"/>
      <c r="D10" s="1">
        <f t="shared" si="1"/>
        <v>9</v>
      </c>
      <c r="E10" s="1">
        <f t="shared" si="2"/>
        <v>-4.1875</v>
      </c>
      <c r="F10" s="1">
        <f t="shared" si="3"/>
        <v>0.38049128304994895</v>
      </c>
      <c r="G10" s="1">
        <f t="shared" si="4"/>
        <v>-4.125</v>
      </c>
      <c r="H10" s="1">
        <f t="shared" si="5"/>
        <v>-0.21035383946534125</v>
      </c>
      <c r="I10" s="1">
        <f t="shared" si="6"/>
        <v>-4.15625</v>
      </c>
      <c r="J10" s="1">
        <f t="shared" si="7"/>
        <v>8.5025868794502912E-2</v>
      </c>
      <c r="K10" s="1">
        <f t="shared" si="8"/>
        <v>0.75187969924812026</v>
      </c>
    </row>
    <row r="11" spans="1:11" x14ac:dyDescent="0.35">
      <c r="A11" t="s">
        <v>8</v>
      </c>
      <c r="B11" s="1">
        <v>2.0000000000000001E-4</v>
      </c>
      <c r="C11" s="1"/>
      <c r="D11" s="1">
        <f t="shared" si="1"/>
        <v>10</v>
      </c>
      <c r="E11" s="1">
        <f t="shared" si="2"/>
        <v>-4.15625</v>
      </c>
      <c r="F11" s="1">
        <f t="shared" si="3"/>
        <v>8.5025868794502912E-2</v>
      </c>
      <c r="G11" s="1">
        <f t="shared" si="4"/>
        <v>-4.125</v>
      </c>
      <c r="H11" s="1">
        <f t="shared" si="5"/>
        <v>-0.21035383946534125</v>
      </c>
      <c r="I11" s="1">
        <f t="shared" si="6"/>
        <v>-4.140625</v>
      </c>
      <c r="J11" s="1">
        <f t="shared" si="7"/>
        <v>-6.2677107724677938E-2</v>
      </c>
      <c r="K11" s="1">
        <f t="shared" si="8"/>
        <v>0.37735849056603776</v>
      </c>
    </row>
    <row r="12" spans="1:11" x14ac:dyDescent="0.35">
      <c r="B12" s="1"/>
      <c r="C12" s="1"/>
      <c r="D12" s="1">
        <f t="shared" si="1"/>
        <v>11</v>
      </c>
      <c r="E12" s="1">
        <f t="shared" si="2"/>
        <v>-4.15625</v>
      </c>
      <c r="F12" s="1">
        <f t="shared" si="3"/>
        <v>8.5025868794502912E-2</v>
      </c>
      <c r="G12" s="1">
        <f t="shared" si="4"/>
        <v>-4.140625</v>
      </c>
      <c r="H12" s="1">
        <f t="shared" si="5"/>
        <v>-6.2677107724677938E-2</v>
      </c>
      <c r="I12" s="1">
        <f t="shared" si="6"/>
        <v>-4.1484375</v>
      </c>
      <c r="J12" s="1">
        <f t="shared" si="7"/>
        <v>1.1171401915241574E-2</v>
      </c>
      <c r="K12" s="1">
        <f t="shared" si="8"/>
        <v>0.18832391713747645</v>
      </c>
    </row>
    <row r="13" spans="1:11" x14ac:dyDescent="0.35">
      <c r="A13" t="str">
        <f>IF(B11&lt;1,IF(B8*B9&lt;0,IF(B4&lt;B5,"a y b son validos","Ingrese otro  valor para a y b, donde a&lt;b"),"Ingrese otro  valor para a y b"),"Ingresa otro valor para el error admitido")</f>
        <v>a y b son validos</v>
      </c>
      <c r="B13" s="1"/>
      <c r="C13" s="1"/>
      <c r="D13" s="1">
        <f t="shared" si="1"/>
        <v>12</v>
      </c>
      <c r="E13" s="1">
        <f t="shared" si="2"/>
        <v>-4.1484375</v>
      </c>
      <c r="F13" s="1">
        <f t="shared" si="3"/>
        <v>1.1171401915241574E-2</v>
      </c>
      <c r="G13" s="1">
        <f t="shared" si="4"/>
        <v>-4.140625</v>
      </c>
      <c r="H13" s="1">
        <f t="shared" si="5"/>
        <v>-6.2677107724677938E-2</v>
      </c>
      <c r="I13" s="1">
        <f t="shared" si="6"/>
        <v>-4.14453125</v>
      </c>
      <c r="J13" s="1">
        <f t="shared" si="7"/>
        <v>-2.5753635254865515E-2</v>
      </c>
      <c r="K13" s="1">
        <f t="shared" si="8"/>
        <v>9.4250706880301599E-2</v>
      </c>
    </row>
    <row r="14" spans="1:11" x14ac:dyDescent="0.35">
      <c r="D14" s="1">
        <f t="shared" si="1"/>
        <v>13</v>
      </c>
      <c r="E14" s="1">
        <f t="shared" si="2"/>
        <v>-4.1484375</v>
      </c>
      <c r="F14" s="1">
        <f t="shared" si="3"/>
        <v>1.1171401915241574E-2</v>
      </c>
      <c r="G14" s="1">
        <f t="shared" si="4"/>
        <v>-4.14453125</v>
      </c>
      <c r="H14" s="1">
        <f t="shared" si="5"/>
        <v>-2.5753635254865515E-2</v>
      </c>
      <c r="I14" s="1">
        <f t="shared" si="6"/>
        <v>-4.146484375</v>
      </c>
      <c r="J14" s="1">
        <f t="shared" si="7"/>
        <v>-7.2913075421894291E-3</v>
      </c>
      <c r="K14" s="1">
        <f t="shared" si="8"/>
        <v>4.7103155911446065E-2</v>
      </c>
    </row>
    <row r="15" spans="1:11" x14ac:dyDescent="0.35">
      <c r="D15" s="1">
        <f t="shared" si="1"/>
        <v>14</v>
      </c>
      <c r="E15" s="1">
        <f t="shared" si="2"/>
        <v>-4.1484375</v>
      </c>
      <c r="F15" s="1">
        <f t="shared" si="3"/>
        <v>1.1171401915241574E-2</v>
      </c>
      <c r="G15" s="1">
        <f t="shared" si="4"/>
        <v>-4.146484375</v>
      </c>
      <c r="H15" s="1">
        <f t="shared" si="5"/>
        <v>-7.2913075421894291E-3</v>
      </c>
      <c r="I15" s="1">
        <f t="shared" si="6"/>
        <v>-4.1474609375</v>
      </c>
      <c r="J15" s="1">
        <f t="shared" si="7"/>
        <v>1.9400000575409138E-3</v>
      </c>
      <c r="K15" s="1">
        <f t="shared" si="8"/>
        <v>2.3546032493524841E-2</v>
      </c>
    </row>
    <row r="16" spans="1:11" x14ac:dyDescent="0.35">
      <c r="D16" s="1">
        <f t="shared" si="1"/>
        <v>15</v>
      </c>
      <c r="E16" s="1">
        <f t="shared" si="2"/>
        <v>-4.1474609375</v>
      </c>
      <c r="F16" s="1">
        <f t="shared" si="3"/>
        <v>1.9400000575409138E-3</v>
      </c>
      <c r="G16" s="1">
        <f t="shared" si="4"/>
        <v>-4.146484375</v>
      </c>
      <c r="H16" s="1">
        <f t="shared" si="5"/>
        <v>-7.2913075421894291E-3</v>
      </c>
      <c r="I16" s="1">
        <f t="shared" si="6"/>
        <v>-4.14697265625</v>
      </c>
      <c r="J16" s="1">
        <f t="shared" si="7"/>
        <v>-2.6756655981969857E-3</v>
      </c>
      <c r="K16" s="1">
        <f t="shared" si="8"/>
        <v>1.1774402449075709E-2</v>
      </c>
    </row>
    <row r="17" spans="4:11" x14ac:dyDescent="0.35">
      <c r="D17" s="1">
        <f t="shared" si="1"/>
        <v>16</v>
      </c>
      <c r="E17" s="1">
        <f t="shared" si="2"/>
        <v>-4.1474609375</v>
      </c>
      <c r="F17" s="1">
        <f t="shared" si="3"/>
        <v>1.9400000575409138E-3</v>
      </c>
      <c r="G17" s="1">
        <f t="shared" si="4"/>
        <v>-4.14697265625</v>
      </c>
      <c r="H17" s="1">
        <f t="shared" si="5"/>
        <v>-2.6756655981969857E-3</v>
      </c>
      <c r="I17" s="1">
        <f t="shared" si="6"/>
        <v>-4.147216796875</v>
      </c>
      <c r="J17" s="1">
        <f t="shared" si="7"/>
        <v>-3.6783572508980455E-4</v>
      </c>
      <c r="K17" s="1">
        <f t="shared" si="8"/>
        <v>5.8868546535586035E-3</v>
      </c>
    </row>
    <row r="18" spans="4:11" x14ac:dyDescent="0.35">
      <c r="D18" s="1">
        <f t="shared" si="1"/>
        <v>17</v>
      </c>
      <c r="E18" s="1">
        <f t="shared" si="2"/>
        <v>-4.1474609375</v>
      </c>
      <c r="F18" s="1">
        <f t="shared" si="3"/>
        <v>1.9400000575409138E-3</v>
      </c>
      <c r="G18" s="1">
        <f t="shared" si="4"/>
        <v>-4.147216796875</v>
      </c>
      <c r="H18" s="1">
        <f t="shared" si="5"/>
        <v>-3.6783572508980455E-4</v>
      </c>
      <c r="I18" s="1">
        <f t="shared" si="6"/>
        <v>-4.1473388671875</v>
      </c>
      <c r="J18" s="1">
        <f t="shared" si="7"/>
        <v>7.8608142868219488E-4</v>
      </c>
      <c r="K18" s="1">
        <f t="shared" si="8"/>
        <v>2.9433406916850625E-3</v>
      </c>
    </row>
    <row r="19" spans="4:11" x14ac:dyDescent="0.35">
      <c r="D19" s="1">
        <f t="shared" si="1"/>
        <v>18</v>
      </c>
      <c r="E19" s="1">
        <f t="shared" si="2"/>
        <v>-4.1473388671875</v>
      </c>
      <c r="F19" s="1">
        <f t="shared" si="3"/>
        <v>7.8608142868219488E-4</v>
      </c>
      <c r="G19" s="1">
        <f t="shared" si="4"/>
        <v>-4.147216796875</v>
      </c>
      <c r="H19" s="1">
        <f t="shared" si="5"/>
        <v>-3.6783572508980455E-4</v>
      </c>
      <c r="I19" s="1">
        <f t="shared" si="6"/>
        <v>-4.14727783203125</v>
      </c>
      <c r="J19" s="1">
        <f t="shared" si="7"/>
        <v>2.0912266726469397E-4</v>
      </c>
      <c r="K19" s="1">
        <f t="shared" si="8"/>
        <v>1.4716920042973406E-3</v>
      </c>
    </row>
    <row r="20" spans="4:11" x14ac:dyDescent="0.35">
      <c r="D20" s="1">
        <f t="shared" si="1"/>
        <v>19</v>
      </c>
      <c r="E20" s="1">
        <f t="shared" si="2"/>
        <v>-4.14727783203125</v>
      </c>
      <c r="F20" s="1">
        <f t="shared" si="3"/>
        <v>2.0912266726469397E-4</v>
      </c>
      <c r="G20" s="1">
        <f t="shared" si="4"/>
        <v>-4.147216796875</v>
      </c>
      <c r="H20" s="1">
        <f t="shared" si="5"/>
        <v>-3.6783572508980455E-4</v>
      </c>
      <c r="I20" s="1">
        <f t="shared" si="6"/>
        <v>-4.147247314453125</v>
      </c>
      <c r="J20" s="1">
        <f t="shared" si="7"/>
        <v>-7.9356575064082335E-5</v>
      </c>
      <c r="K20" s="1">
        <f t="shared" si="8"/>
        <v>7.3585141688190317E-4</v>
      </c>
    </row>
    <row r="21" spans="4:11" x14ac:dyDescent="0.35">
      <c r="D21" s="1">
        <f t="shared" si="1"/>
        <v>20</v>
      </c>
      <c r="E21" s="1">
        <f t="shared" si="2"/>
        <v>-4.14727783203125</v>
      </c>
      <c r="F21" s="1">
        <f t="shared" si="3"/>
        <v>2.0912266726469397E-4</v>
      </c>
      <c r="G21" s="1">
        <f t="shared" si="4"/>
        <v>-4.147247314453125</v>
      </c>
      <c r="H21" s="1">
        <f t="shared" si="5"/>
        <v>-7.9356575064082335E-5</v>
      </c>
      <c r="I21" s="1">
        <f t="shared" si="6"/>
        <v>-4.1472625732421875</v>
      </c>
      <c r="J21" s="1">
        <f t="shared" si="7"/>
        <v>6.4883034568197218E-5</v>
      </c>
      <c r="K21" s="1">
        <f t="shared" si="8"/>
        <v>3.679243547526629E-4</v>
      </c>
    </row>
    <row r="22" spans="4:11" x14ac:dyDescent="0.35">
      <c r="D22" s="1">
        <f t="shared" si="1"/>
        <v>21</v>
      </c>
      <c r="E22" s="1">
        <f t="shared" si="2"/>
        <v>-4.1472625732421875</v>
      </c>
      <c r="F22" s="1">
        <f t="shared" si="3"/>
        <v>6.4883034568197218E-5</v>
      </c>
      <c r="G22" s="1">
        <f t="shared" si="4"/>
        <v>-4.147247314453125</v>
      </c>
      <c r="H22" s="1">
        <f t="shared" si="5"/>
        <v>-7.9356575064082335E-5</v>
      </c>
      <c r="I22" s="1">
        <f t="shared" si="6"/>
        <v>-4.1472549438476563</v>
      </c>
      <c r="J22" s="1">
        <f t="shared" si="7"/>
        <v>-7.236773132746066E-6</v>
      </c>
      <c r="K22" s="1">
        <f t="shared" si="8"/>
        <v>1.8396251579778103E-4</v>
      </c>
    </row>
    <row r="23" spans="4:11" x14ac:dyDescent="0.35">
      <c r="D23" s="1" t="str">
        <f t="shared" si="1"/>
        <v/>
      </c>
      <c r="E23" s="1" t="str">
        <f t="shared" si="2"/>
        <v/>
      </c>
      <c r="F23" s="1" t="str">
        <f t="shared" si="3"/>
        <v/>
      </c>
      <c r="G23" s="1" t="str">
        <f t="shared" si="4"/>
        <v/>
      </c>
      <c r="H23" s="1" t="str">
        <f t="shared" si="5"/>
        <v/>
      </c>
      <c r="I23" s="1" t="str">
        <f t="shared" si="6"/>
        <v/>
      </c>
      <c r="J23" s="1" t="str">
        <f t="shared" si="7"/>
        <v/>
      </c>
      <c r="K23" s="1" t="str">
        <f t="shared" si="8"/>
        <v/>
      </c>
    </row>
    <row r="24" spans="4:11" x14ac:dyDescent="0.35">
      <c r="D24" s="1" t="e">
        <f t="shared" si="1"/>
        <v>#VALUE!</v>
      </c>
      <c r="E24" s="1" t="e">
        <f t="shared" si="2"/>
        <v>#VALUE!</v>
      </c>
      <c r="F24" s="1" t="e">
        <f t="shared" si="3"/>
        <v>#VALUE!</v>
      </c>
      <c r="G24" s="1" t="e">
        <f t="shared" si="4"/>
        <v>#VALUE!</v>
      </c>
      <c r="H24" s="1" t="e">
        <f t="shared" si="5"/>
        <v>#VALUE!</v>
      </c>
      <c r="I24" s="1" t="e">
        <f t="shared" si="6"/>
        <v>#VALUE!</v>
      </c>
      <c r="J24" s="1" t="e">
        <f t="shared" si="7"/>
        <v>#VALUE!</v>
      </c>
      <c r="K24" s="1" t="e">
        <f t="shared" si="8"/>
        <v>#VALUE!</v>
      </c>
    </row>
    <row r="25" spans="4:11" x14ac:dyDescent="0.35">
      <c r="D25" s="1" t="e">
        <f t="shared" si="1"/>
        <v>#VALUE!</v>
      </c>
      <c r="E25" s="1" t="e">
        <f t="shared" si="2"/>
        <v>#VALUE!</v>
      </c>
      <c r="F25" s="1" t="e">
        <f t="shared" si="3"/>
        <v>#VALUE!</v>
      </c>
      <c r="G25" s="1" t="e">
        <f t="shared" si="4"/>
        <v>#VALUE!</v>
      </c>
      <c r="H25" s="1" t="e">
        <f t="shared" si="5"/>
        <v>#VALUE!</v>
      </c>
      <c r="I25" s="1" t="e">
        <f t="shared" si="6"/>
        <v>#VALUE!</v>
      </c>
      <c r="J25" s="1" t="e">
        <f t="shared" si="7"/>
        <v>#VALUE!</v>
      </c>
      <c r="K25" s="1" t="e">
        <f t="shared" si="8"/>
        <v>#VALUE!</v>
      </c>
    </row>
    <row r="26" spans="4:11" x14ac:dyDescent="0.35">
      <c r="D26" s="1" t="e">
        <f t="shared" si="1"/>
        <v>#VALUE!</v>
      </c>
      <c r="E26" s="1" t="e">
        <f t="shared" si="2"/>
        <v>#VALUE!</v>
      </c>
      <c r="F26" s="1" t="e">
        <f t="shared" si="3"/>
        <v>#VALUE!</v>
      </c>
      <c r="G26" s="1" t="e">
        <f t="shared" si="4"/>
        <v>#VALUE!</v>
      </c>
      <c r="H26" s="1" t="e">
        <f t="shared" si="5"/>
        <v>#VALUE!</v>
      </c>
      <c r="I26" s="1" t="e">
        <f t="shared" si="6"/>
        <v>#VALUE!</v>
      </c>
      <c r="J26" s="1" t="e">
        <f t="shared" si="7"/>
        <v>#VALUE!</v>
      </c>
      <c r="K26" s="1" t="e">
        <f t="shared" si="8"/>
        <v>#VALUE!</v>
      </c>
    </row>
    <row r="27" spans="4:11" x14ac:dyDescent="0.35">
      <c r="D27" s="1" t="e">
        <f t="shared" si="1"/>
        <v>#VALUE!</v>
      </c>
      <c r="E27" s="1" t="e">
        <f t="shared" si="2"/>
        <v>#VALUE!</v>
      </c>
      <c r="F27" s="1" t="e">
        <f t="shared" si="3"/>
        <v>#VALUE!</v>
      </c>
      <c r="G27" s="1" t="e">
        <f t="shared" si="4"/>
        <v>#VALUE!</v>
      </c>
      <c r="H27" s="1" t="e">
        <f t="shared" si="5"/>
        <v>#VALUE!</v>
      </c>
      <c r="I27" s="1" t="e">
        <f t="shared" si="6"/>
        <v>#VALUE!</v>
      </c>
      <c r="J27" s="1" t="e">
        <f t="shared" si="7"/>
        <v>#VALUE!</v>
      </c>
      <c r="K27" s="1" t="e">
        <f t="shared" si="8"/>
        <v>#VALUE!</v>
      </c>
    </row>
    <row r="28" spans="4:11" x14ac:dyDescent="0.35">
      <c r="D28" s="1" t="e">
        <f t="shared" si="1"/>
        <v>#VALUE!</v>
      </c>
      <c r="E28" s="1" t="e">
        <f t="shared" si="2"/>
        <v>#VALUE!</v>
      </c>
      <c r="F28" s="1" t="e">
        <f t="shared" si="3"/>
        <v>#VALUE!</v>
      </c>
      <c r="G28" s="1" t="e">
        <f t="shared" si="4"/>
        <v>#VALUE!</v>
      </c>
      <c r="H28" s="1" t="e">
        <f t="shared" si="5"/>
        <v>#VALUE!</v>
      </c>
      <c r="I28" s="1" t="e">
        <f t="shared" si="6"/>
        <v>#VALUE!</v>
      </c>
      <c r="J28" s="1" t="e">
        <f t="shared" si="7"/>
        <v>#VALUE!</v>
      </c>
      <c r="K28" s="1" t="e">
        <f t="shared" si="8"/>
        <v>#VALUE!</v>
      </c>
    </row>
    <row r="29" spans="4:11" x14ac:dyDescent="0.35">
      <c r="D29" s="1" t="e">
        <f t="shared" si="1"/>
        <v>#VALUE!</v>
      </c>
      <c r="E29" s="1" t="e">
        <f t="shared" si="2"/>
        <v>#VALUE!</v>
      </c>
      <c r="F29" s="1" t="e">
        <f t="shared" si="3"/>
        <v>#VALUE!</v>
      </c>
      <c r="G29" s="1" t="e">
        <f t="shared" si="4"/>
        <v>#VALUE!</v>
      </c>
      <c r="H29" s="1" t="e">
        <f t="shared" si="5"/>
        <v>#VALUE!</v>
      </c>
      <c r="I29" s="1" t="e">
        <f t="shared" si="6"/>
        <v>#VALUE!</v>
      </c>
      <c r="J29" s="1" t="e">
        <f t="shared" si="7"/>
        <v>#VALUE!</v>
      </c>
      <c r="K29" s="1" t="e">
        <f t="shared" si="8"/>
        <v>#VALUE!</v>
      </c>
    </row>
    <row r="30" spans="4:11" x14ac:dyDescent="0.35">
      <c r="D30" s="1" t="e">
        <f t="shared" si="1"/>
        <v>#VALUE!</v>
      </c>
      <c r="E30" s="1" t="e">
        <f t="shared" si="2"/>
        <v>#VALUE!</v>
      </c>
      <c r="F30" s="1" t="e">
        <f t="shared" si="3"/>
        <v>#VALUE!</v>
      </c>
      <c r="G30" s="1" t="e">
        <f t="shared" si="4"/>
        <v>#VALUE!</v>
      </c>
      <c r="H30" s="1" t="e">
        <f t="shared" si="5"/>
        <v>#VALUE!</v>
      </c>
      <c r="I30" s="1" t="e">
        <f t="shared" si="6"/>
        <v>#VALUE!</v>
      </c>
      <c r="J30" s="1" t="e">
        <f t="shared" si="7"/>
        <v>#VALUE!</v>
      </c>
      <c r="K30" s="1" t="e">
        <f t="shared" si="8"/>
        <v>#VALUE!</v>
      </c>
    </row>
    <row r="31" spans="4:11" x14ac:dyDescent="0.35">
      <c r="D31" s="1" t="e">
        <f t="shared" si="1"/>
        <v>#VALUE!</v>
      </c>
      <c r="E31" s="1" t="e">
        <f t="shared" si="2"/>
        <v>#VALUE!</v>
      </c>
      <c r="F31" s="1" t="e">
        <f t="shared" si="3"/>
        <v>#VALUE!</v>
      </c>
      <c r="G31" s="1" t="e">
        <f t="shared" si="4"/>
        <v>#VALUE!</v>
      </c>
      <c r="H31" s="1" t="e">
        <f t="shared" si="5"/>
        <v>#VALUE!</v>
      </c>
      <c r="I31" s="1" t="e">
        <f t="shared" si="6"/>
        <v>#VALUE!</v>
      </c>
      <c r="J31" s="1" t="e">
        <f t="shared" si="7"/>
        <v>#VALUE!</v>
      </c>
      <c r="K31" s="1" t="e">
        <f t="shared" si="8"/>
        <v>#VALUE!</v>
      </c>
    </row>
    <row r="32" spans="4:11" x14ac:dyDescent="0.35">
      <c r="D32" s="1" t="e">
        <f t="shared" si="1"/>
        <v>#VALUE!</v>
      </c>
      <c r="E32" s="1" t="e">
        <f t="shared" si="2"/>
        <v>#VALUE!</v>
      </c>
      <c r="F32" s="1" t="e">
        <f t="shared" si="3"/>
        <v>#VALUE!</v>
      </c>
      <c r="G32" s="1" t="e">
        <f t="shared" si="4"/>
        <v>#VALUE!</v>
      </c>
      <c r="H32" s="1" t="e">
        <f t="shared" si="5"/>
        <v>#VALUE!</v>
      </c>
      <c r="I32" s="1" t="e">
        <f t="shared" si="6"/>
        <v>#VALUE!</v>
      </c>
      <c r="J32" s="1" t="e">
        <f t="shared" si="7"/>
        <v>#VALUE!</v>
      </c>
      <c r="K32" s="1" t="e">
        <f t="shared" si="8"/>
        <v>#VALUE!</v>
      </c>
    </row>
    <row r="33" spans="4:11" x14ac:dyDescent="0.35">
      <c r="D33" s="1" t="e">
        <f t="shared" si="1"/>
        <v>#VALUE!</v>
      </c>
      <c r="E33" s="1" t="e">
        <f t="shared" si="2"/>
        <v>#VALUE!</v>
      </c>
      <c r="F33" s="1" t="e">
        <f t="shared" si="3"/>
        <v>#VALUE!</v>
      </c>
      <c r="G33" s="1" t="e">
        <f t="shared" si="4"/>
        <v>#VALUE!</v>
      </c>
      <c r="H33" s="1" t="e">
        <f t="shared" si="5"/>
        <v>#VALUE!</v>
      </c>
      <c r="I33" s="1" t="e">
        <f t="shared" si="6"/>
        <v>#VALUE!</v>
      </c>
      <c r="J33" s="1" t="e">
        <f t="shared" si="7"/>
        <v>#VALUE!</v>
      </c>
      <c r="K33" s="1" t="e">
        <f t="shared" si="8"/>
        <v>#VALUE!</v>
      </c>
    </row>
    <row r="34" spans="4:11" x14ac:dyDescent="0.35">
      <c r="D34" s="1" t="e">
        <f t="shared" si="1"/>
        <v>#VALUE!</v>
      </c>
      <c r="E34" s="1" t="e">
        <f t="shared" si="2"/>
        <v>#VALUE!</v>
      </c>
      <c r="F34" s="1" t="e">
        <f t="shared" si="3"/>
        <v>#VALUE!</v>
      </c>
      <c r="G34" s="1" t="e">
        <f t="shared" si="4"/>
        <v>#VALUE!</v>
      </c>
      <c r="H34" s="1" t="e">
        <f t="shared" si="5"/>
        <v>#VALUE!</v>
      </c>
      <c r="I34" s="1" t="e">
        <f t="shared" si="6"/>
        <v>#VALUE!</v>
      </c>
      <c r="J34" s="1" t="e">
        <f t="shared" si="7"/>
        <v>#VALUE!</v>
      </c>
      <c r="K34" s="1" t="e">
        <f t="shared" si="8"/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033A-2731-4058-8035-5F0B1B787F3E}">
  <dimension ref="A1:K119"/>
  <sheetViews>
    <sheetView tabSelected="1" topLeftCell="A16" workbookViewId="0">
      <selection activeCell="B4" sqref="B4"/>
    </sheetView>
  </sheetViews>
  <sheetFormatPr baseColWidth="10" defaultRowHeight="14.5" x14ac:dyDescent="0.35"/>
  <sheetData>
    <row r="1" spans="1:11" x14ac:dyDescent="0.35">
      <c r="A1" t="s">
        <v>10</v>
      </c>
      <c r="D1" s="1" t="s">
        <v>5</v>
      </c>
      <c r="E1" s="1" t="s">
        <v>1</v>
      </c>
      <c r="F1" s="1" t="s">
        <v>3</v>
      </c>
      <c r="G1" s="1" t="s">
        <v>2</v>
      </c>
      <c r="H1" s="1" t="s">
        <v>4</v>
      </c>
      <c r="I1" s="1" t="s">
        <v>12</v>
      </c>
      <c r="J1" s="1" t="s">
        <v>13</v>
      </c>
      <c r="K1" s="1" t="s">
        <v>14</v>
      </c>
    </row>
    <row r="2" spans="1:11" x14ac:dyDescent="0.35">
      <c r="D2" s="1">
        <v>1</v>
      </c>
      <c r="E2" s="1">
        <f>B4</f>
        <v>-12</v>
      </c>
      <c r="F2" s="1">
        <f>-(3/4)*E2-(71/3)-E2^3*EXP(0.3*E2)</f>
        <v>32.548725722254886</v>
      </c>
      <c r="G2" s="1">
        <v>4</v>
      </c>
      <c r="H2" s="1">
        <f t="shared" ref="H2:H3" si="0">-(3/4)*G2-(71/3)-G2^3*EXP(0.3*G2)</f>
        <v>-239.15414972180568</v>
      </c>
      <c r="I2" s="1">
        <f>E2-((F2*(G2-E2))/(H2-F2))</f>
        <v>-10.083275303196787</v>
      </c>
      <c r="J2" s="1">
        <f>-(3/4)*I2-(71/3)-I2^3*EXP(0.3*I2)</f>
        <v>33.677708085814778</v>
      </c>
      <c r="K2" s="1">
        <f>100*ABS((I2-0)/I2)</f>
        <v>100</v>
      </c>
    </row>
    <row r="3" spans="1:11" x14ac:dyDescent="0.35">
      <c r="D3" s="1">
        <f>IF(K2&gt;$B$11,IF(J2&lt;&gt;0,D2+1,""),"")</f>
        <v>2</v>
      </c>
      <c r="E3" s="1">
        <f>IF(K2&gt;$B$11,IF(J2&lt;&gt;0,IF(F2*J2&lt;0,E2,I2),""),"")</f>
        <v>-10.083275303196787</v>
      </c>
      <c r="F3" s="1">
        <f>IF(K2&gt;$B$11,IF(J2&lt;&gt;0,-(3/4)*E3-(71/3)-E3^3*EXP(0.3*E3),""),"")</f>
        <v>33.677708085814778</v>
      </c>
      <c r="G3" s="1">
        <f>IF(K2&gt;$B$11,IF(J2&lt;&gt;0,IF(H2*J2&lt;0,G2,I2),""),"")</f>
        <v>4</v>
      </c>
      <c r="H3" s="1">
        <f>IF(K2&gt;$B$11,IF(J2&lt;&gt;0,-(3/4)*G3-(71/3)-G3^3*EXP(0.3*G3),""),"")</f>
        <v>-239.15414972180568</v>
      </c>
      <c r="I3" s="1">
        <f>IF(K2&gt;$B$11,IF(J2&lt;&gt;0,E3-((F3*(G3-E3))/(H3-F3)),""),"")</f>
        <v>-8.3448696845697299</v>
      </c>
      <c r="J3" s="1">
        <f>IF(K2&gt;$B$11,IF(J2&lt;&gt;0,-(3/4)*I3-(71/3)-I3^3*EXP(0.3*I3),""),"")</f>
        <v>30.127633780166313</v>
      </c>
      <c r="K3" s="1">
        <f>IF(K2&gt;$B$11,IF(J2&lt;&gt;0,100*ABS((I3-I2)/I3),""),"")</f>
        <v>20.83202835200046</v>
      </c>
    </row>
    <row r="4" spans="1:11" x14ac:dyDescent="0.35">
      <c r="A4" t="s">
        <v>1</v>
      </c>
      <c r="B4">
        <v>-12</v>
      </c>
      <c r="D4" s="1">
        <f t="shared" ref="D4:D67" si="1">IF(K3&gt;$B$11,IF(J3&lt;&gt;0,D3+1,""),"")</f>
        <v>3</v>
      </c>
      <c r="E4" s="1">
        <f t="shared" ref="E4:E67" si="2">IF(K3&gt;$B$11,IF(J3&lt;&gt;0,IF(F3*J3&lt;0,E3,I3),""),"")</f>
        <v>-8.3448696845697299</v>
      </c>
      <c r="F4" s="1">
        <f t="shared" ref="F4:F67" si="3">IF(K3&gt;$B$11,IF(J3&lt;&gt;0,-(3/4)*E4-(71/3)-E4^3*EXP(0.3*E4),""),"")</f>
        <v>30.127633780166313</v>
      </c>
      <c r="G4" s="1">
        <f t="shared" ref="G4:G67" si="4">IF(K3&gt;$B$11,IF(J3&lt;&gt;0,IF(H3*J3&lt;0,G3,I3),""),"")</f>
        <v>4</v>
      </c>
      <c r="H4" s="1">
        <f t="shared" ref="H4:H67" si="5">IF(K3&gt;$B$11,IF(J3&lt;&gt;0,-(3/4)*G4-(71/3)-G4^3*EXP(0.3*G4),""),"")</f>
        <v>-239.15414972180568</v>
      </c>
      <c r="I4" s="1">
        <f t="shared" ref="I4:I67" si="6">IF(K3&gt;$B$11,IF(J3&lt;&gt;0,E4-((F4*(G4-E4))/(H4-F4)),""),"")</f>
        <v>-6.9637078841545508</v>
      </c>
      <c r="J4" s="1">
        <f t="shared" ref="J4:J67" si="7">IF(K3&gt;$B$11,IF(J3&lt;&gt;0,-(3/4)*I4-(71/3)-I4^3*EXP(0.3*I4),""),"")</f>
        <v>23.36144486466441</v>
      </c>
      <c r="K4" s="1">
        <f t="shared" ref="K4:K67" si="8">IF(K3&gt;$B$11,IF(J3&lt;&gt;0,100*ABS((I4-I3)/I4),""),"")</f>
        <v>19.833712490409312</v>
      </c>
    </row>
    <row r="5" spans="1:11" x14ac:dyDescent="0.35">
      <c r="A5" t="s">
        <v>3</v>
      </c>
      <c r="B5">
        <f>-(3/4)*B4-(71/3)-B4^3*EXP(0.3*B4)</f>
        <v>32.548725722254886</v>
      </c>
      <c r="D5" s="1">
        <f t="shared" si="1"/>
        <v>4</v>
      </c>
      <c r="E5" s="1">
        <f t="shared" si="2"/>
        <v>-6.9637078841545508</v>
      </c>
      <c r="F5" s="1">
        <f t="shared" si="3"/>
        <v>23.36144486466441</v>
      </c>
      <c r="G5" s="1">
        <f t="shared" si="4"/>
        <v>4</v>
      </c>
      <c r="H5" s="1">
        <f t="shared" si="5"/>
        <v>-239.15414972180568</v>
      </c>
      <c r="I5" s="1">
        <f t="shared" si="6"/>
        <v>-5.9880399142138279</v>
      </c>
      <c r="J5" s="1">
        <f t="shared" si="7"/>
        <v>16.443406691811884</v>
      </c>
      <c r="K5" s="1">
        <f t="shared" si="8"/>
        <v>16.293611664557829</v>
      </c>
    </row>
    <row r="6" spans="1:11" x14ac:dyDescent="0.35">
      <c r="A6" t="s">
        <v>2</v>
      </c>
      <c r="B6">
        <v>4</v>
      </c>
      <c r="D6" s="1">
        <f t="shared" si="1"/>
        <v>5</v>
      </c>
      <c r="E6" s="1">
        <f t="shared" si="2"/>
        <v>-5.9880399142138279</v>
      </c>
      <c r="F6" s="1">
        <f t="shared" si="3"/>
        <v>16.443406691811884</v>
      </c>
      <c r="G6" s="1">
        <f t="shared" si="4"/>
        <v>4</v>
      </c>
      <c r="H6" s="1">
        <f t="shared" si="5"/>
        <v>-239.15414972180568</v>
      </c>
      <c r="I6" s="1">
        <f t="shared" si="6"/>
        <v>-5.3454774239148488</v>
      </c>
      <c r="J6" s="1">
        <f t="shared" si="7"/>
        <v>11.068446236326825</v>
      </c>
      <c r="K6" s="1">
        <f t="shared" si="8"/>
        <v>12.020675411035368</v>
      </c>
    </row>
    <row r="7" spans="1:11" x14ac:dyDescent="0.35">
      <c r="A7" t="s">
        <v>4</v>
      </c>
      <c r="B7">
        <f t="shared" ref="B7" si="9">-(3/4)*B6-(71/3)-B6^3*EXP(0.3*B6)</f>
        <v>-239.15414972180568</v>
      </c>
      <c r="D7" s="1">
        <f t="shared" si="1"/>
        <v>6</v>
      </c>
      <c r="E7" s="1">
        <f t="shared" si="2"/>
        <v>-5.3454774239148488</v>
      </c>
      <c r="F7" s="1">
        <f t="shared" si="3"/>
        <v>11.068446236326825</v>
      </c>
      <c r="G7" s="1">
        <f t="shared" si="4"/>
        <v>4</v>
      </c>
      <c r="H7" s="1">
        <f t="shared" si="5"/>
        <v>-239.15414972180568</v>
      </c>
      <c r="I7" s="1">
        <f t="shared" si="6"/>
        <v>-4.9320858434169974</v>
      </c>
      <c r="J7" s="1">
        <f t="shared" si="7"/>
        <v>7.35352288361155</v>
      </c>
      <c r="K7" s="1">
        <f t="shared" si="8"/>
        <v>8.3816785356568264</v>
      </c>
    </row>
    <row r="8" spans="1:11" x14ac:dyDescent="0.35">
      <c r="D8" s="1">
        <f t="shared" si="1"/>
        <v>7</v>
      </c>
      <c r="E8" s="1">
        <f t="shared" si="2"/>
        <v>-4.9320858434169974</v>
      </c>
      <c r="F8" s="1">
        <f t="shared" si="3"/>
        <v>7.35352288361155</v>
      </c>
      <c r="G8" s="1">
        <f t="shared" si="4"/>
        <v>4</v>
      </c>
      <c r="H8" s="1">
        <f t="shared" si="5"/>
        <v>-239.15414972180568</v>
      </c>
      <c r="I8" s="1">
        <f t="shared" si="6"/>
        <v>-4.6656345116846714</v>
      </c>
      <c r="J8" s="1">
        <f t="shared" si="7"/>
        <v>4.8852482337587269</v>
      </c>
      <c r="K8" s="1">
        <f t="shared" si="8"/>
        <v>5.7109345163025971</v>
      </c>
    </row>
    <row r="9" spans="1:11" x14ac:dyDescent="0.35">
      <c r="A9" t="str">
        <f>IF(B5*B7&lt;0,IF(B4&lt;B6,"Valores válidos","a tiene que ser menor que b"),"El producto de la funcioón de a y b deben ser menor a 0")</f>
        <v>Valores válidos</v>
      </c>
      <c r="D9" s="1">
        <f t="shared" si="1"/>
        <v>8</v>
      </c>
      <c r="E9" s="1">
        <f t="shared" si="2"/>
        <v>-4.6656345116846714</v>
      </c>
      <c r="F9" s="1">
        <f t="shared" si="3"/>
        <v>4.8852482337587269</v>
      </c>
      <c r="G9" s="1">
        <f t="shared" si="4"/>
        <v>4</v>
      </c>
      <c r="H9" s="1">
        <f t="shared" si="5"/>
        <v>-239.15414972180568</v>
      </c>
      <c r="I9" s="1">
        <f t="shared" si="6"/>
        <v>-4.4921634408360438</v>
      </c>
      <c r="J9" s="1">
        <f t="shared" si="7"/>
        <v>3.25783559653296</v>
      </c>
      <c r="K9" s="1">
        <f t="shared" si="8"/>
        <v>3.8616375635776641</v>
      </c>
    </row>
    <row r="10" spans="1:11" x14ac:dyDescent="0.35">
      <c r="D10" s="1">
        <f t="shared" si="1"/>
        <v>9</v>
      </c>
      <c r="E10" s="1">
        <f t="shared" si="2"/>
        <v>-4.4921634408360438</v>
      </c>
      <c r="F10" s="1">
        <f t="shared" si="3"/>
        <v>3.25783559653296</v>
      </c>
      <c r="G10" s="1">
        <f t="shared" si="4"/>
        <v>4</v>
      </c>
      <c r="H10" s="1">
        <f t="shared" si="5"/>
        <v>-239.15414972180568</v>
      </c>
      <c r="I10" s="1">
        <f t="shared" si="6"/>
        <v>-4.3780351220039533</v>
      </c>
      <c r="J10" s="1">
        <f t="shared" si="7"/>
        <v>2.1816226190675145</v>
      </c>
      <c r="K10" s="1">
        <f t="shared" si="8"/>
        <v>2.6068388135691949</v>
      </c>
    </row>
    <row r="11" spans="1:11" x14ac:dyDescent="0.35">
      <c r="A11" t="s">
        <v>11</v>
      </c>
      <c r="B11">
        <v>2.0000000000000001E-4</v>
      </c>
      <c r="D11" s="1">
        <f t="shared" si="1"/>
        <v>10</v>
      </c>
      <c r="E11" s="1">
        <f t="shared" si="2"/>
        <v>-4.3780351220039533</v>
      </c>
      <c r="F11" s="1">
        <f t="shared" si="3"/>
        <v>2.1816226190675145</v>
      </c>
      <c r="G11" s="1">
        <f t="shared" si="4"/>
        <v>4</v>
      </c>
      <c r="H11" s="1">
        <f t="shared" si="5"/>
        <v>-239.15414972180568</v>
      </c>
      <c r="I11" s="1">
        <f t="shared" si="6"/>
        <v>-4.3022995161788469</v>
      </c>
      <c r="J11" s="1">
        <f t="shared" si="7"/>
        <v>1.466025684092223</v>
      </c>
      <c r="K11" s="1">
        <f t="shared" si="8"/>
        <v>1.7603517732854672</v>
      </c>
    </row>
    <row r="12" spans="1:11" x14ac:dyDescent="0.35">
      <c r="D12" s="1">
        <f t="shared" si="1"/>
        <v>11</v>
      </c>
      <c r="E12" s="1">
        <f t="shared" si="2"/>
        <v>-4.3022995161788469</v>
      </c>
      <c r="F12" s="1">
        <f t="shared" si="3"/>
        <v>1.466025684092223</v>
      </c>
      <c r="G12" s="1">
        <f t="shared" si="4"/>
        <v>4</v>
      </c>
      <c r="H12" s="1">
        <f t="shared" si="5"/>
        <v>-239.15414972180568</v>
      </c>
      <c r="I12" s="1">
        <f t="shared" si="6"/>
        <v>-4.2517161255416616</v>
      </c>
      <c r="J12" s="1">
        <f t="shared" si="7"/>
        <v>0.98775467816253482</v>
      </c>
      <c r="K12" s="1">
        <f t="shared" si="8"/>
        <v>1.1897170258689618</v>
      </c>
    </row>
    <row r="13" spans="1:11" x14ac:dyDescent="0.35">
      <c r="A13" t="s">
        <v>12</v>
      </c>
      <c r="B13">
        <f>B4-((B5*(B6-B4))/(B7-B5))</f>
        <v>-10.083275303196787</v>
      </c>
      <c r="D13" s="1">
        <f t="shared" si="1"/>
        <v>12</v>
      </c>
      <c r="E13" s="1">
        <f t="shared" si="2"/>
        <v>-4.2517161255416616</v>
      </c>
      <c r="F13" s="1">
        <f t="shared" si="3"/>
        <v>0.98775467816253482</v>
      </c>
      <c r="G13" s="1">
        <f t="shared" si="4"/>
        <v>4</v>
      </c>
      <c r="H13" s="1">
        <f t="shared" si="5"/>
        <v>-239.15414972180568</v>
      </c>
      <c r="I13" s="1">
        <f t="shared" si="6"/>
        <v>-4.2177750637921987</v>
      </c>
      <c r="J13" s="1">
        <f t="shared" si="7"/>
        <v>0.66678433815534177</v>
      </c>
      <c r="K13" s="1">
        <f t="shared" si="8"/>
        <v>0.80471483747040995</v>
      </c>
    </row>
    <row r="14" spans="1:11" x14ac:dyDescent="0.35">
      <c r="A14" t="str">
        <f>IF(B13=0,"Encontramos la función raiz","Sigue buscando")</f>
        <v>Sigue buscando</v>
      </c>
      <c r="D14" s="1">
        <f t="shared" si="1"/>
        <v>13</v>
      </c>
      <c r="E14" s="1">
        <f t="shared" si="2"/>
        <v>-4.2177750637921987</v>
      </c>
      <c r="F14" s="1">
        <f t="shared" si="3"/>
        <v>0.66678433815534177</v>
      </c>
      <c r="G14" s="1">
        <f t="shared" si="4"/>
        <v>4</v>
      </c>
      <c r="H14" s="1">
        <f t="shared" si="5"/>
        <v>-239.15414972180568</v>
      </c>
      <c r="I14" s="1">
        <f t="shared" si="6"/>
        <v>-4.1949268344309951</v>
      </c>
      <c r="J14" s="1">
        <f t="shared" si="7"/>
        <v>0.45071960256516164</v>
      </c>
      <c r="K14" s="1">
        <f t="shared" si="8"/>
        <v>0.54466335797970422</v>
      </c>
    </row>
    <row r="15" spans="1:11" x14ac:dyDescent="0.35">
      <c r="D15" s="1">
        <f t="shared" si="1"/>
        <v>14</v>
      </c>
      <c r="E15" s="1">
        <f t="shared" si="2"/>
        <v>-4.1949268344309951</v>
      </c>
      <c r="F15" s="1">
        <f t="shared" si="3"/>
        <v>0.45071960256516164</v>
      </c>
      <c r="G15" s="1">
        <f t="shared" si="4"/>
        <v>4</v>
      </c>
      <c r="H15" s="1">
        <f t="shared" si="5"/>
        <v>-239.15414972180568</v>
      </c>
      <c r="I15" s="1">
        <f t="shared" si="6"/>
        <v>-4.1795113957703354</v>
      </c>
      <c r="J15" s="1">
        <f t="shared" si="7"/>
        <v>0.30495385499570915</v>
      </c>
      <c r="K15" s="1">
        <f t="shared" si="8"/>
        <v>0.3688335118851494</v>
      </c>
    </row>
    <row r="16" spans="1:11" x14ac:dyDescent="0.35">
      <c r="D16" s="1">
        <f t="shared" si="1"/>
        <v>15</v>
      </c>
      <c r="E16" s="1">
        <f t="shared" si="2"/>
        <v>-4.1795113957703354</v>
      </c>
      <c r="F16" s="1">
        <f t="shared" si="3"/>
        <v>0.30495385499570915</v>
      </c>
      <c r="G16" s="1">
        <f t="shared" si="4"/>
        <v>4</v>
      </c>
      <c r="H16" s="1">
        <f t="shared" si="5"/>
        <v>-239.15414972180568</v>
      </c>
      <c r="I16" s="1">
        <f t="shared" si="6"/>
        <v>-4.1690946962385027</v>
      </c>
      <c r="J16" s="1">
        <f t="shared" si="7"/>
        <v>0.20646291664266059</v>
      </c>
      <c r="K16" s="1">
        <f t="shared" si="8"/>
        <v>0.24985519137358425</v>
      </c>
    </row>
    <row r="17" spans="4:11" x14ac:dyDescent="0.35">
      <c r="D17" s="1">
        <f t="shared" si="1"/>
        <v>16</v>
      </c>
      <c r="E17" s="1">
        <f t="shared" si="2"/>
        <v>-4.1690946962385027</v>
      </c>
      <c r="F17" s="1">
        <f t="shared" si="3"/>
        <v>0.20646291664266059</v>
      </c>
      <c r="G17" s="1">
        <f t="shared" si="4"/>
        <v>4</v>
      </c>
      <c r="H17" s="1">
        <f t="shared" si="5"/>
        <v>-239.15414972180568</v>
      </c>
      <c r="I17" s="1">
        <f t="shared" si="6"/>
        <v>-4.16204836100931</v>
      </c>
      <c r="J17" s="1">
        <f t="shared" si="7"/>
        <v>0.1398434265026971</v>
      </c>
      <c r="K17" s="1">
        <f t="shared" si="8"/>
        <v>0.16929969615932036</v>
      </c>
    </row>
    <row r="18" spans="4:11" x14ac:dyDescent="0.35">
      <c r="D18" s="1">
        <f t="shared" si="1"/>
        <v>17</v>
      </c>
      <c r="E18" s="1">
        <f t="shared" si="2"/>
        <v>-4.16204836100931</v>
      </c>
      <c r="F18" s="1">
        <f t="shared" si="3"/>
        <v>0.1398434265026971</v>
      </c>
      <c r="G18" s="1">
        <f t="shared" si="4"/>
        <v>4</v>
      </c>
      <c r="H18" s="1">
        <f t="shared" si="5"/>
        <v>-239.15414972180568</v>
      </c>
      <c r="I18" s="1">
        <f t="shared" si="6"/>
        <v>-4.1572784593704633</v>
      </c>
      <c r="J18" s="1">
        <f t="shared" si="7"/>
        <v>9.4748689404767106E-2</v>
      </c>
      <c r="K18" s="1">
        <f t="shared" si="8"/>
        <v>0.11473615937598332</v>
      </c>
    </row>
    <row r="19" spans="4:11" x14ac:dyDescent="0.35">
      <c r="D19" s="1">
        <f t="shared" si="1"/>
        <v>18</v>
      </c>
      <c r="E19" s="1">
        <f t="shared" si="2"/>
        <v>-4.1572784593704633</v>
      </c>
      <c r="F19" s="1">
        <f t="shared" si="3"/>
        <v>9.4748689404767106E-2</v>
      </c>
      <c r="G19" s="1">
        <f t="shared" si="4"/>
        <v>4</v>
      </c>
      <c r="H19" s="1">
        <f t="shared" si="5"/>
        <v>-239.15414972180568</v>
      </c>
      <c r="I19" s="1">
        <f t="shared" si="6"/>
        <v>-4.1540479682448295</v>
      </c>
      <c r="J19" s="1">
        <f t="shared" si="7"/>
        <v>6.4208676002355247E-2</v>
      </c>
      <c r="K19" s="1">
        <f t="shared" si="8"/>
        <v>7.7767304333722753E-2</v>
      </c>
    </row>
    <row r="20" spans="4:11" x14ac:dyDescent="0.35">
      <c r="D20" s="1">
        <f t="shared" si="1"/>
        <v>19</v>
      </c>
      <c r="E20" s="1">
        <f t="shared" si="2"/>
        <v>-4.1540479682448295</v>
      </c>
      <c r="F20" s="1">
        <f t="shared" si="3"/>
        <v>6.4208676002355247E-2</v>
      </c>
      <c r="G20" s="1">
        <f t="shared" si="4"/>
        <v>4</v>
      </c>
      <c r="H20" s="1">
        <f t="shared" si="5"/>
        <v>-239.15414972180568</v>
      </c>
      <c r="I20" s="1">
        <f t="shared" si="6"/>
        <v>-4.1518593376246411</v>
      </c>
      <c r="J20" s="1">
        <f t="shared" si="7"/>
        <v>4.351860744470315E-2</v>
      </c>
      <c r="K20" s="1">
        <f t="shared" si="8"/>
        <v>5.271446940301517E-2</v>
      </c>
    </row>
    <row r="21" spans="4:11" x14ac:dyDescent="0.35">
      <c r="D21" s="1">
        <f t="shared" si="1"/>
        <v>20</v>
      </c>
      <c r="E21" s="1">
        <f t="shared" si="2"/>
        <v>-4.1518593376246411</v>
      </c>
      <c r="F21" s="1">
        <f t="shared" si="3"/>
        <v>4.351860744470315E-2</v>
      </c>
      <c r="G21" s="1">
        <f t="shared" si="4"/>
        <v>4</v>
      </c>
      <c r="H21" s="1">
        <f t="shared" si="5"/>
        <v>-239.15414972180568</v>
      </c>
      <c r="I21" s="1">
        <f t="shared" si="6"/>
        <v>-4.1503762229733301</v>
      </c>
      <c r="J21" s="1">
        <f t="shared" si="7"/>
        <v>2.9498338586257944E-2</v>
      </c>
      <c r="K21" s="1">
        <f t="shared" si="8"/>
        <v>3.5734462892824427E-2</v>
      </c>
    </row>
    <row r="22" spans="4:11" x14ac:dyDescent="0.35">
      <c r="D22" s="1">
        <f t="shared" si="1"/>
        <v>21</v>
      </c>
      <c r="E22" s="1">
        <f t="shared" si="2"/>
        <v>-4.1503762229733301</v>
      </c>
      <c r="F22" s="1">
        <f t="shared" si="3"/>
        <v>2.9498338586257944E-2</v>
      </c>
      <c r="G22" s="1">
        <f t="shared" si="4"/>
        <v>4</v>
      </c>
      <c r="H22" s="1">
        <f t="shared" si="5"/>
        <v>-239.15414972180568</v>
      </c>
      <c r="I22" s="1">
        <f t="shared" si="6"/>
        <v>-4.1493710432322386</v>
      </c>
      <c r="J22" s="1">
        <f t="shared" si="7"/>
        <v>1.9996231585167834E-2</v>
      </c>
      <c r="K22" s="1">
        <f t="shared" si="8"/>
        <v>2.4224870001225127E-2</v>
      </c>
    </row>
    <row r="23" spans="4:11" x14ac:dyDescent="0.35">
      <c r="D23" s="1">
        <f t="shared" si="1"/>
        <v>22</v>
      </c>
      <c r="E23" s="1">
        <f t="shared" si="2"/>
        <v>-4.1493710432322386</v>
      </c>
      <c r="F23" s="1">
        <f t="shared" si="3"/>
        <v>1.9996231585167834E-2</v>
      </c>
      <c r="G23" s="1">
        <f t="shared" si="4"/>
        <v>4</v>
      </c>
      <c r="H23" s="1">
        <f t="shared" si="5"/>
        <v>-239.15414972180568</v>
      </c>
      <c r="I23" s="1">
        <f t="shared" si="6"/>
        <v>-4.1486897124387099</v>
      </c>
      <c r="J23" s="1">
        <f t="shared" si="7"/>
        <v>1.3555570046762E-2</v>
      </c>
      <c r="K23" s="1">
        <f t="shared" si="8"/>
        <v>1.6422794683486185E-2</v>
      </c>
    </row>
    <row r="24" spans="4:11" x14ac:dyDescent="0.35">
      <c r="D24" s="1">
        <f t="shared" si="1"/>
        <v>23</v>
      </c>
      <c r="E24" s="1">
        <f t="shared" si="2"/>
        <v>-4.1486897124387099</v>
      </c>
      <c r="F24" s="1">
        <f t="shared" si="3"/>
        <v>1.3555570046762E-2</v>
      </c>
      <c r="G24" s="1">
        <f t="shared" si="4"/>
        <v>4</v>
      </c>
      <c r="H24" s="1">
        <f t="shared" si="5"/>
        <v>-239.15414972180568</v>
      </c>
      <c r="I24" s="1">
        <f t="shared" si="6"/>
        <v>-4.148227860224794</v>
      </c>
      <c r="J24" s="1">
        <f t="shared" si="7"/>
        <v>9.1896785624427935E-3</v>
      </c>
      <c r="K24" s="1">
        <f t="shared" si="8"/>
        <v>1.1133723350744225E-2</v>
      </c>
    </row>
    <row r="25" spans="4:11" x14ac:dyDescent="0.35">
      <c r="D25" s="1">
        <f t="shared" si="1"/>
        <v>24</v>
      </c>
      <c r="E25" s="1">
        <f t="shared" si="2"/>
        <v>-4.148227860224794</v>
      </c>
      <c r="F25" s="1">
        <f t="shared" si="3"/>
        <v>9.1896785624427935E-3</v>
      </c>
      <c r="G25" s="1">
        <f t="shared" si="4"/>
        <v>4</v>
      </c>
      <c r="H25" s="1">
        <f t="shared" si="5"/>
        <v>-239.15414972180568</v>
      </c>
      <c r="I25" s="1">
        <f t="shared" si="6"/>
        <v>-4.1479147704549453</v>
      </c>
      <c r="J25" s="1">
        <f t="shared" si="7"/>
        <v>6.2300511340360742E-3</v>
      </c>
      <c r="K25" s="1">
        <f t="shared" si="8"/>
        <v>7.5481244715723409E-3</v>
      </c>
    </row>
    <row r="26" spans="4:11" x14ac:dyDescent="0.35">
      <c r="D26" s="1">
        <f t="shared" si="1"/>
        <v>25</v>
      </c>
      <c r="E26" s="1">
        <f t="shared" si="2"/>
        <v>-4.1479147704549453</v>
      </c>
      <c r="F26" s="1">
        <f t="shared" si="3"/>
        <v>6.2300511340360742E-3</v>
      </c>
      <c r="G26" s="1">
        <f t="shared" si="4"/>
        <v>4</v>
      </c>
      <c r="H26" s="1">
        <f t="shared" si="5"/>
        <v>-239.15414972180568</v>
      </c>
      <c r="I26" s="1">
        <f t="shared" si="6"/>
        <v>-4.1477025198902657</v>
      </c>
      <c r="J26" s="1">
        <f t="shared" si="7"/>
        <v>4.2236589138191505E-3</v>
      </c>
      <c r="K26" s="1">
        <f t="shared" si="8"/>
        <v>5.1173044272511065E-3</v>
      </c>
    </row>
    <row r="27" spans="4:11" x14ac:dyDescent="0.35">
      <c r="D27" s="1">
        <f t="shared" si="1"/>
        <v>26</v>
      </c>
      <c r="E27" s="1">
        <f t="shared" si="2"/>
        <v>-4.1477025198902657</v>
      </c>
      <c r="F27" s="1">
        <f t="shared" si="3"/>
        <v>4.2236589138191505E-3</v>
      </c>
      <c r="G27" s="1">
        <f t="shared" si="4"/>
        <v>4</v>
      </c>
      <c r="H27" s="1">
        <f t="shared" si="5"/>
        <v>-239.15414972180568</v>
      </c>
      <c r="I27" s="1">
        <f t="shared" si="6"/>
        <v>-4.1475586273060809</v>
      </c>
      <c r="J27" s="1">
        <f t="shared" si="7"/>
        <v>2.8634532239877331E-3</v>
      </c>
      <c r="K27" s="1">
        <f t="shared" si="8"/>
        <v>3.4693321328227115E-3</v>
      </c>
    </row>
    <row r="28" spans="4:11" x14ac:dyDescent="0.35">
      <c r="D28" s="1">
        <f t="shared" si="1"/>
        <v>27</v>
      </c>
      <c r="E28" s="1">
        <f t="shared" si="2"/>
        <v>-4.1475586273060809</v>
      </c>
      <c r="F28" s="1">
        <f t="shared" si="3"/>
        <v>2.8634532239877331E-3</v>
      </c>
      <c r="G28" s="1">
        <f t="shared" si="4"/>
        <v>4</v>
      </c>
      <c r="H28" s="1">
        <f t="shared" si="5"/>
        <v>-239.15414972180568</v>
      </c>
      <c r="I28" s="1">
        <f t="shared" si="6"/>
        <v>-4.1474610756904742</v>
      </c>
      <c r="J28" s="1">
        <f t="shared" si="7"/>
        <v>1.9413063592956803E-3</v>
      </c>
      <c r="K28" s="1">
        <f t="shared" si="8"/>
        <v>2.3520803167639322E-3</v>
      </c>
    </row>
    <row r="29" spans="4:11" x14ac:dyDescent="0.35">
      <c r="D29" s="1">
        <f t="shared" si="1"/>
        <v>28</v>
      </c>
      <c r="E29" s="1">
        <f t="shared" si="2"/>
        <v>-4.1474610756904742</v>
      </c>
      <c r="F29" s="1">
        <f t="shared" si="3"/>
        <v>1.9413063592956803E-3</v>
      </c>
      <c r="G29" s="1">
        <f t="shared" si="4"/>
        <v>4</v>
      </c>
      <c r="H29" s="1">
        <f t="shared" si="5"/>
        <v>-239.15414972180568</v>
      </c>
      <c r="I29" s="1">
        <f t="shared" si="6"/>
        <v>-4.1473949401472385</v>
      </c>
      <c r="J29" s="1">
        <f t="shared" si="7"/>
        <v>1.3161334056945861E-3</v>
      </c>
      <c r="K29" s="1">
        <f t="shared" si="8"/>
        <v>1.5946285364686764E-3</v>
      </c>
    </row>
    <row r="30" spans="4:11" x14ac:dyDescent="0.35">
      <c r="D30" s="1">
        <f t="shared" si="1"/>
        <v>29</v>
      </c>
      <c r="E30" s="1">
        <f t="shared" si="2"/>
        <v>-4.1473949401472385</v>
      </c>
      <c r="F30" s="1">
        <f t="shared" si="3"/>
        <v>1.3161334056945861E-3</v>
      </c>
      <c r="G30" s="1">
        <f t="shared" si="4"/>
        <v>4</v>
      </c>
      <c r="H30" s="1">
        <f t="shared" si="5"/>
        <v>-239.15414972180568</v>
      </c>
      <c r="I30" s="1">
        <f t="shared" si="6"/>
        <v>-4.1473501029589608</v>
      </c>
      <c r="J30" s="1">
        <f t="shared" si="7"/>
        <v>8.9229200694163069E-4</v>
      </c>
      <c r="K30" s="1">
        <f t="shared" si="8"/>
        <v>1.0811044923783276E-3</v>
      </c>
    </row>
    <row r="31" spans="4:11" x14ac:dyDescent="0.35">
      <c r="D31" s="1">
        <f t="shared" si="1"/>
        <v>30</v>
      </c>
      <c r="E31" s="1">
        <f t="shared" si="2"/>
        <v>-4.1473501029589608</v>
      </c>
      <c r="F31" s="1">
        <f t="shared" si="3"/>
        <v>8.9229200694163069E-4</v>
      </c>
      <c r="G31" s="1">
        <f t="shared" si="4"/>
        <v>4</v>
      </c>
      <c r="H31" s="1">
        <f t="shared" si="5"/>
        <v>-239.15414972180568</v>
      </c>
      <c r="I31" s="1">
        <f t="shared" si="6"/>
        <v>-4.1473197050408848</v>
      </c>
      <c r="J31" s="1">
        <f t="shared" si="7"/>
        <v>6.0494367986407838E-4</v>
      </c>
      <c r="K31" s="1">
        <f t="shared" si="8"/>
        <v>7.32953334633742E-4</v>
      </c>
    </row>
    <row r="32" spans="4:11" x14ac:dyDescent="0.35">
      <c r="D32" s="1">
        <f t="shared" si="1"/>
        <v>31</v>
      </c>
      <c r="E32" s="1">
        <f t="shared" si="2"/>
        <v>-4.1473197050408848</v>
      </c>
      <c r="F32" s="1">
        <f t="shared" si="3"/>
        <v>6.0494367986407838E-4</v>
      </c>
      <c r="G32" s="1">
        <f t="shared" si="4"/>
        <v>4</v>
      </c>
      <c r="H32" s="1">
        <f t="shared" si="5"/>
        <v>-239.15414972180568</v>
      </c>
      <c r="I32" s="1">
        <f t="shared" si="6"/>
        <v>-4.147299096336825</v>
      </c>
      <c r="J32" s="1">
        <f t="shared" si="7"/>
        <v>4.101318168210355E-4</v>
      </c>
      <c r="K32" s="1">
        <f t="shared" si="8"/>
        <v>4.9691868324460787E-4</v>
      </c>
    </row>
    <row r="33" spans="4:11" x14ac:dyDescent="0.35">
      <c r="D33" s="1">
        <f t="shared" si="1"/>
        <v>32</v>
      </c>
      <c r="E33" s="1">
        <f t="shared" si="2"/>
        <v>-4.147299096336825</v>
      </c>
      <c r="F33" s="1">
        <f t="shared" si="3"/>
        <v>4.101318168210355E-4</v>
      </c>
      <c r="G33" s="1">
        <f t="shared" si="4"/>
        <v>4</v>
      </c>
      <c r="H33" s="1">
        <f t="shared" si="5"/>
        <v>-239.15414972180568</v>
      </c>
      <c r="I33" s="1">
        <f t="shared" si="6"/>
        <v>-4.1472851243407129</v>
      </c>
      <c r="J33" s="1">
        <f t="shared" si="7"/>
        <v>2.7805606417174999E-4</v>
      </c>
      <c r="K33" s="1">
        <f t="shared" si="8"/>
        <v>3.3689499740638943E-4</v>
      </c>
    </row>
    <row r="34" spans="4:11" x14ac:dyDescent="0.35">
      <c r="D34" s="1">
        <f t="shared" si="1"/>
        <v>33</v>
      </c>
      <c r="E34" s="1">
        <f t="shared" si="2"/>
        <v>-4.1472851243407129</v>
      </c>
      <c r="F34" s="1">
        <f t="shared" si="3"/>
        <v>2.7805606417174999E-4</v>
      </c>
      <c r="G34" s="1">
        <f t="shared" si="4"/>
        <v>4</v>
      </c>
      <c r="H34" s="1">
        <f t="shared" si="5"/>
        <v>-239.15414972180568</v>
      </c>
      <c r="I34" s="1">
        <f t="shared" si="6"/>
        <v>-4.1472756517917144</v>
      </c>
      <c r="J34" s="1">
        <f t="shared" si="7"/>
        <v>1.8851310447232095E-4</v>
      </c>
      <c r="K34" s="1">
        <f t="shared" si="8"/>
        <v>2.2840413307061776E-4</v>
      </c>
    </row>
    <row r="35" spans="4:11" x14ac:dyDescent="0.35">
      <c r="D35" s="1">
        <f t="shared" si="1"/>
        <v>34</v>
      </c>
      <c r="E35" s="1">
        <f t="shared" si="2"/>
        <v>-4.1472756517917144</v>
      </c>
      <c r="F35" s="1">
        <f t="shared" si="3"/>
        <v>1.8851310447232095E-4</v>
      </c>
      <c r="G35" s="1">
        <f t="shared" si="4"/>
        <v>4</v>
      </c>
      <c r="H35" s="1">
        <f t="shared" si="5"/>
        <v>-239.15414972180568</v>
      </c>
      <c r="I35" s="1">
        <f t="shared" si="6"/>
        <v>-4.1472692297119922</v>
      </c>
      <c r="J35" s="1">
        <f t="shared" si="7"/>
        <v>1.2780589905858619E-4</v>
      </c>
      <c r="K35" s="1">
        <f t="shared" si="8"/>
        <v>1.548508034208506E-4</v>
      </c>
    </row>
    <row r="36" spans="4:11" x14ac:dyDescent="0.35">
      <c r="D36" s="1" t="str">
        <f t="shared" si="1"/>
        <v/>
      </c>
      <c r="E36" s="1" t="str">
        <f t="shared" si="2"/>
        <v/>
      </c>
      <c r="F36" s="1" t="str">
        <f t="shared" si="3"/>
        <v/>
      </c>
      <c r="G36" s="1" t="str">
        <f t="shared" si="4"/>
        <v/>
      </c>
      <c r="H36" s="1" t="str">
        <f t="shared" si="5"/>
        <v/>
      </c>
      <c r="I36" s="1" t="str">
        <f t="shared" si="6"/>
        <v/>
      </c>
      <c r="J36" s="1" t="str">
        <f t="shared" si="7"/>
        <v/>
      </c>
      <c r="K36" s="1" t="str">
        <f t="shared" si="8"/>
        <v/>
      </c>
    </row>
    <row r="37" spans="4:11" x14ac:dyDescent="0.35">
      <c r="D37" s="1" t="e">
        <f t="shared" si="1"/>
        <v>#VALUE!</v>
      </c>
      <c r="E37" s="1" t="e">
        <f t="shared" si="2"/>
        <v>#VALUE!</v>
      </c>
      <c r="F37" s="1" t="e">
        <f t="shared" si="3"/>
        <v>#VALUE!</v>
      </c>
      <c r="G37" s="1" t="e">
        <f t="shared" si="4"/>
        <v>#VALUE!</v>
      </c>
      <c r="H37" s="1" t="e">
        <f t="shared" si="5"/>
        <v>#VALUE!</v>
      </c>
      <c r="I37" s="1" t="e">
        <f t="shared" si="6"/>
        <v>#VALUE!</v>
      </c>
      <c r="J37" s="1" t="e">
        <f t="shared" si="7"/>
        <v>#VALUE!</v>
      </c>
      <c r="K37" s="1" t="e">
        <f t="shared" si="8"/>
        <v>#VALUE!</v>
      </c>
    </row>
    <row r="38" spans="4:11" x14ac:dyDescent="0.35">
      <c r="D38" s="1" t="e">
        <f t="shared" si="1"/>
        <v>#VALUE!</v>
      </c>
      <c r="E38" s="1" t="e">
        <f t="shared" si="2"/>
        <v>#VALUE!</v>
      </c>
      <c r="F38" s="1" t="e">
        <f t="shared" si="3"/>
        <v>#VALUE!</v>
      </c>
      <c r="G38" s="1" t="e">
        <f t="shared" si="4"/>
        <v>#VALUE!</v>
      </c>
      <c r="H38" s="1" t="e">
        <f t="shared" si="5"/>
        <v>#VALUE!</v>
      </c>
      <c r="I38" s="1" t="e">
        <f t="shared" si="6"/>
        <v>#VALUE!</v>
      </c>
      <c r="J38" s="1" t="e">
        <f t="shared" si="7"/>
        <v>#VALUE!</v>
      </c>
      <c r="K38" s="1" t="e">
        <f t="shared" si="8"/>
        <v>#VALUE!</v>
      </c>
    </row>
    <row r="39" spans="4:11" x14ac:dyDescent="0.35">
      <c r="D39" s="1" t="e">
        <f t="shared" si="1"/>
        <v>#VALUE!</v>
      </c>
      <c r="E39" s="1" t="e">
        <f t="shared" si="2"/>
        <v>#VALUE!</v>
      </c>
      <c r="F39" s="1" t="e">
        <f t="shared" si="3"/>
        <v>#VALUE!</v>
      </c>
      <c r="G39" s="1" t="e">
        <f t="shared" si="4"/>
        <v>#VALUE!</v>
      </c>
      <c r="H39" s="1" t="e">
        <f t="shared" si="5"/>
        <v>#VALUE!</v>
      </c>
      <c r="I39" s="1" t="e">
        <f t="shared" si="6"/>
        <v>#VALUE!</v>
      </c>
      <c r="J39" s="1" t="e">
        <f t="shared" si="7"/>
        <v>#VALUE!</v>
      </c>
      <c r="K39" s="1" t="e">
        <f t="shared" si="8"/>
        <v>#VALUE!</v>
      </c>
    </row>
    <row r="40" spans="4:11" x14ac:dyDescent="0.35">
      <c r="D40" s="1" t="e">
        <f t="shared" si="1"/>
        <v>#VALUE!</v>
      </c>
      <c r="E40" s="1" t="e">
        <f t="shared" si="2"/>
        <v>#VALUE!</v>
      </c>
      <c r="F40" s="1" t="e">
        <f t="shared" si="3"/>
        <v>#VALUE!</v>
      </c>
      <c r="G40" s="1" t="e">
        <f t="shared" si="4"/>
        <v>#VALUE!</v>
      </c>
      <c r="H40" s="1" t="e">
        <f t="shared" si="5"/>
        <v>#VALUE!</v>
      </c>
      <c r="I40" s="1" t="e">
        <f t="shared" si="6"/>
        <v>#VALUE!</v>
      </c>
      <c r="J40" s="1" t="e">
        <f t="shared" si="7"/>
        <v>#VALUE!</v>
      </c>
      <c r="K40" s="1" t="e">
        <f t="shared" si="8"/>
        <v>#VALUE!</v>
      </c>
    </row>
    <row r="41" spans="4:11" x14ac:dyDescent="0.35">
      <c r="D41" s="1" t="e">
        <f t="shared" si="1"/>
        <v>#VALUE!</v>
      </c>
      <c r="E41" s="1" t="e">
        <f t="shared" si="2"/>
        <v>#VALUE!</v>
      </c>
      <c r="F41" s="1" t="e">
        <f t="shared" si="3"/>
        <v>#VALUE!</v>
      </c>
      <c r="G41" s="1" t="e">
        <f t="shared" si="4"/>
        <v>#VALUE!</v>
      </c>
      <c r="H41" s="1" t="e">
        <f t="shared" si="5"/>
        <v>#VALUE!</v>
      </c>
      <c r="I41" s="1" t="e">
        <f t="shared" si="6"/>
        <v>#VALUE!</v>
      </c>
      <c r="J41" s="1" t="e">
        <f t="shared" si="7"/>
        <v>#VALUE!</v>
      </c>
      <c r="K41" s="1" t="e">
        <f t="shared" si="8"/>
        <v>#VALUE!</v>
      </c>
    </row>
    <row r="42" spans="4:11" x14ac:dyDescent="0.35">
      <c r="D42" s="1" t="e">
        <f t="shared" si="1"/>
        <v>#VALUE!</v>
      </c>
      <c r="E42" s="1" t="e">
        <f t="shared" si="2"/>
        <v>#VALUE!</v>
      </c>
      <c r="F42" s="1" t="e">
        <f t="shared" si="3"/>
        <v>#VALUE!</v>
      </c>
      <c r="G42" s="1" t="e">
        <f t="shared" si="4"/>
        <v>#VALUE!</v>
      </c>
      <c r="H42" s="1" t="e">
        <f t="shared" si="5"/>
        <v>#VALUE!</v>
      </c>
      <c r="I42" s="1" t="e">
        <f t="shared" si="6"/>
        <v>#VALUE!</v>
      </c>
      <c r="J42" s="1" t="e">
        <f t="shared" si="7"/>
        <v>#VALUE!</v>
      </c>
      <c r="K42" s="1" t="e">
        <f t="shared" si="8"/>
        <v>#VALUE!</v>
      </c>
    </row>
    <row r="43" spans="4:11" x14ac:dyDescent="0.35">
      <c r="D43" s="1" t="e">
        <f t="shared" si="1"/>
        <v>#VALUE!</v>
      </c>
      <c r="E43" s="1" t="e">
        <f t="shared" si="2"/>
        <v>#VALUE!</v>
      </c>
      <c r="F43" s="1" t="e">
        <f t="shared" si="3"/>
        <v>#VALUE!</v>
      </c>
      <c r="G43" s="1" t="e">
        <f t="shared" si="4"/>
        <v>#VALUE!</v>
      </c>
      <c r="H43" s="1" t="e">
        <f t="shared" si="5"/>
        <v>#VALUE!</v>
      </c>
      <c r="I43" s="1" t="e">
        <f t="shared" si="6"/>
        <v>#VALUE!</v>
      </c>
      <c r="J43" s="1" t="e">
        <f t="shared" si="7"/>
        <v>#VALUE!</v>
      </c>
      <c r="K43" s="1" t="e">
        <f t="shared" si="8"/>
        <v>#VALUE!</v>
      </c>
    </row>
    <row r="44" spans="4:11" x14ac:dyDescent="0.35">
      <c r="D44" s="1" t="e">
        <f t="shared" si="1"/>
        <v>#VALUE!</v>
      </c>
      <c r="E44" s="1" t="e">
        <f t="shared" si="2"/>
        <v>#VALUE!</v>
      </c>
      <c r="F44" s="1" t="e">
        <f t="shared" si="3"/>
        <v>#VALUE!</v>
      </c>
      <c r="G44" s="1" t="e">
        <f t="shared" si="4"/>
        <v>#VALUE!</v>
      </c>
      <c r="H44" s="1" t="e">
        <f t="shared" si="5"/>
        <v>#VALUE!</v>
      </c>
      <c r="I44" s="1" t="e">
        <f t="shared" si="6"/>
        <v>#VALUE!</v>
      </c>
      <c r="J44" s="1" t="e">
        <f t="shared" si="7"/>
        <v>#VALUE!</v>
      </c>
      <c r="K44" s="1" t="e">
        <f t="shared" si="8"/>
        <v>#VALUE!</v>
      </c>
    </row>
    <row r="45" spans="4:11" x14ac:dyDescent="0.35">
      <c r="D45" s="1" t="e">
        <f t="shared" si="1"/>
        <v>#VALUE!</v>
      </c>
      <c r="E45" s="1" t="e">
        <f t="shared" si="2"/>
        <v>#VALUE!</v>
      </c>
      <c r="F45" s="1" t="e">
        <f t="shared" si="3"/>
        <v>#VALUE!</v>
      </c>
      <c r="G45" s="1" t="e">
        <f t="shared" si="4"/>
        <v>#VALUE!</v>
      </c>
      <c r="H45" s="1" t="e">
        <f t="shared" si="5"/>
        <v>#VALUE!</v>
      </c>
      <c r="I45" s="1" t="e">
        <f t="shared" si="6"/>
        <v>#VALUE!</v>
      </c>
      <c r="J45" s="1" t="e">
        <f t="shared" si="7"/>
        <v>#VALUE!</v>
      </c>
      <c r="K45" s="1" t="e">
        <f t="shared" si="8"/>
        <v>#VALUE!</v>
      </c>
    </row>
    <row r="46" spans="4:11" x14ac:dyDescent="0.35">
      <c r="D46" s="1" t="e">
        <f t="shared" si="1"/>
        <v>#VALUE!</v>
      </c>
      <c r="E46" s="1" t="e">
        <f t="shared" si="2"/>
        <v>#VALUE!</v>
      </c>
      <c r="F46" s="1" t="e">
        <f t="shared" si="3"/>
        <v>#VALUE!</v>
      </c>
      <c r="G46" s="1" t="e">
        <f t="shared" si="4"/>
        <v>#VALUE!</v>
      </c>
      <c r="H46" s="1" t="e">
        <f t="shared" si="5"/>
        <v>#VALUE!</v>
      </c>
      <c r="I46" s="1" t="e">
        <f t="shared" si="6"/>
        <v>#VALUE!</v>
      </c>
      <c r="J46" s="1" t="e">
        <f t="shared" si="7"/>
        <v>#VALUE!</v>
      </c>
      <c r="K46" s="1" t="e">
        <f t="shared" si="8"/>
        <v>#VALUE!</v>
      </c>
    </row>
    <row r="47" spans="4:11" x14ac:dyDescent="0.35">
      <c r="D47" s="1" t="e">
        <f t="shared" si="1"/>
        <v>#VALUE!</v>
      </c>
      <c r="E47" s="1" t="e">
        <f t="shared" si="2"/>
        <v>#VALUE!</v>
      </c>
      <c r="F47" s="1" t="e">
        <f t="shared" si="3"/>
        <v>#VALUE!</v>
      </c>
      <c r="G47" s="1" t="e">
        <f t="shared" si="4"/>
        <v>#VALUE!</v>
      </c>
      <c r="H47" s="1" t="e">
        <f t="shared" si="5"/>
        <v>#VALUE!</v>
      </c>
      <c r="I47" s="1" t="e">
        <f t="shared" si="6"/>
        <v>#VALUE!</v>
      </c>
      <c r="J47" s="1" t="e">
        <f t="shared" si="7"/>
        <v>#VALUE!</v>
      </c>
      <c r="K47" s="1" t="e">
        <f t="shared" si="8"/>
        <v>#VALUE!</v>
      </c>
    </row>
    <row r="48" spans="4:11" x14ac:dyDescent="0.35">
      <c r="D48" s="1" t="e">
        <f t="shared" si="1"/>
        <v>#VALUE!</v>
      </c>
      <c r="E48" s="1" t="e">
        <f t="shared" si="2"/>
        <v>#VALUE!</v>
      </c>
      <c r="F48" s="1" t="e">
        <f t="shared" si="3"/>
        <v>#VALUE!</v>
      </c>
      <c r="G48" s="1" t="e">
        <f t="shared" si="4"/>
        <v>#VALUE!</v>
      </c>
      <c r="H48" s="1" t="e">
        <f t="shared" si="5"/>
        <v>#VALUE!</v>
      </c>
      <c r="I48" s="1" t="e">
        <f t="shared" si="6"/>
        <v>#VALUE!</v>
      </c>
      <c r="J48" s="1" t="e">
        <f t="shared" si="7"/>
        <v>#VALUE!</v>
      </c>
      <c r="K48" s="1" t="e">
        <f t="shared" si="8"/>
        <v>#VALUE!</v>
      </c>
    </row>
    <row r="49" spans="4:11" x14ac:dyDescent="0.35">
      <c r="D49" s="1" t="e">
        <f t="shared" si="1"/>
        <v>#VALUE!</v>
      </c>
      <c r="E49" s="1" t="e">
        <f t="shared" si="2"/>
        <v>#VALUE!</v>
      </c>
      <c r="F49" s="1" t="e">
        <f t="shared" si="3"/>
        <v>#VALUE!</v>
      </c>
      <c r="G49" s="1" t="e">
        <f t="shared" si="4"/>
        <v>#VALUE!</v>
      </c>
      <c r="H49" s="1" t="e">
        <f t="shared" si="5"/>
        <v>#VALUE!</v>
      </c>
      <c r="I49" s="1" t="e">
        <f t="shared" si="6"/>
        <v>#VALUE!</v>
      </c>
      <c r="J49" s="1" t="e">
        <f t="shared" si="7"/>
        <v>#VALUE!</v>
      </c>
      <c r="K49" s="1" t="e">
        <f t="shared" si="8"/>
        <v>#VALUE!</v>
      </c>
    </row>
    <row r="50" spans="4:11" x14ac:dyDescent="0.35">
      <c r="D50" s="1" t="e">
        <f t="shared" si="1"/>
        <v>#VALUE!</v>
      </c>
      <c r="E50" s="1" t="e">
        <f t="shared" si="2"/>
        <v>#VALUE!</v>
      </c>
      <c r="F50" s="1" t="e">
        <f t="shared" si="3"/>
        <v>#VALUE!</v>
      </c>
      <c r="G50" s="1" t="e">
        <f t="shared" si="4"/>
        <v>#VALUE!</v>
      </c>
      <c r="H50" s="1" t="e">
        <f t="shared" si="5"/>
        <v>#VALUE!</v>
      </c>
      <c r="I50" s="1" t="e">
        <f t="shared" si="6"/>
        <v>#VALUE!</v>
      </c>
      <c r="J50" s="1" t="e">
        <f t="shared" si="7"/>
        <v>#VALUE!</v>
      </c>
      <c r="K50" s="1" t="e">
        <f t="shared" si="8"/>
        <v>#VALUE!</v>
      </c>
    </row>
    <row r="51" spans="4:11" x14ac:dyDescent="0.35">
      <c r="D51" s="1" t="e">
        <f t="shared" si="1"/>
        <v>#VALUE!</v>
      </c>
      <c r="E51" s="1" t="e">
        <f t="shared" si="2"/>
        <v>#VALUE!</v>
      </c>
      <c r="F51" s="1" t="e">
        <f t="shared" si="3"/>
        <v>#VALUE!</v>
      </c>
      <c r="G51" s="1" t="e">
        <f t="shared" si="4"/>
        <v>#VALUE!</v>
      </c>
      <c r="H51" s="1" t="e">
        <f t="shared" si="5"/>
        <v>#VALUE!</v>
      </c>
      <c r="I51" s="1" t="e">
        <f t="shared" si="6"/>
        <v>#VALUE!</v>
      </c>
      <c r="J51" s="1" t="e">
        <f t="shared" si="7"/>
        <v>#VALUE!</v>
      </c>
      <c r="K51" s="1" t="e">
        <f t="shared" si="8"/>
        <v>#VALUE!</v>
      </c>
    </row>
    <row r="52" spans="4:11" x14ac:dyDescent="0.35">
      <c r="D52" s="1" t="e">
        <f t="shared" si="1"/>
        <v>#VALUE!</v>
      </c>
      <c r="E52" s="1" t="e">
        <f t="shared" si="2"/>
        <v>#VALUE!</v>
      </c>
      <c r="F52" s="1" t="e">
        <f t="shared" si="3"/>
        <v>#VALUE!</v>
      </c>
      <c r="G52" s="1" t="e">
        <f t="shared" si="4"/>
        <v>#VALUE!</v>
      </c>
      <c r="H52" s="1" t="e">
        <f t="shared" si="5"/>
        <v>#VALUE!</v>
      </c>
      <c r="I52" s="1" t="e">
        <f t="shared" si="6"/>
        <v>#VALUE!</v>
      </c>
      <c r="J52" s="1" t="e">
        <f t="shared" si="7"/>
        <v>#VALUE!</v>
      </c>
      <c r="K52" s="1" t="e">
        <f t="shared" si="8"/>
        <v>#VALUE!</v>
      </c>
    </row>
    <row r="53" spans="4:11" x14ac:dyDescent="0.35">
      <c r="D53" s="1" t="e">
        <f t="shared" si="1"/>
        <v>#VALUE!</v>
      </c>
      <c r="E53" s="1" t="e">
        <f t="shared" si="2"/>
        <v>#VALUE!</v>
      </c>
      <c r="F53" s="1" t="e">
        <f t="shared" si="3"/>
        <v>#VALUE!</v>
      </c>
      <c r="G53" s="1" t="e">
        <f t="shared" si="4"/>
        <v>#VALUE!</v>
      </c>
      <c r="H53" s="1" t="e">
        <f t="shared" si="5"/>
        <v>#VALUE!</v>
      </c>
      <c r="I53" s="1" t="e">
        <f t="shared" si="6"/>
        <v>#VALUE!</v>
      </c>
      <c r="J53" s="1" t="e">
        <f t="shared" si="7"/>
        <v>#VALUE!</v>
      </c>
      <c r="K53" s="1" t="e">
        <f t="shared" si="8"/>
        <v>#VALUE!</v>
      </c>
    </row>
    <row r="54" spans="4:11" x14ac:dyDescent="0.35">
      <c r="D54" s="1" t="e">
        <f t="shared" si="1"/>
        <v>#VALUE!</v>
      </c>
      <c r="E54" s="1" t="e">
        <f t="shared" si="2"/>
        <v>#VALUE!</v>
      </c>
      <c r="F54" s="1" t="e">
        <f t="shared" si="3"/>
        <v>#VALUE!</v>
      </c>
      <c r="G54" s="1" t="e">
        <f t="shared" si="4"/>
        <v>#VALUE!</v>
      </c>
      <c r="H54" s="1" t="e">
        <f t="shared" si="5"/>
        <v>#VALUE!</v>
      </c>
      <c r="I54" s="1" t="e">
        <f t="shared" si="6"/>
        <v>#VALUE!</v>
      </c>
      <c r="J54" s="1" t="e">
        <f t="shared" si="7"/>
        <v>#VALUE!</v>
      </c>
      <c r="K54" s="1" t="e">
        <f t="shared" si="8"/>
        <v>#VALUE!</v>
      </c>
    </row>
    <row r="55" spans="4:11" x14ac:dyDescent="0.35">
      <c r="D55" s="1" t="e">
        <f t="shared" si="1"/>
        <v>#VALUE!</v>
      </c>
      <c r="E55" s="1" t="e">
        <f t="shared" si="2"/>
        <v>#VALUE!</v>
      </c>
      <c r="F55" s="1" t="e">
        <f t="shared" si="3"/>
        <v>#VALUE!</v>
      </c>
      <c r="G55" s="1" t="e">
        <f t="shared" si="4"/>
        <v>#VALUE!</v>
      </c>
      <c r="H55" s="1" t="e">
        <f t="shared" si="5"/>
        <v>#VALUE!</v>
      </c>
      <c r="I55" s="1" t="e">
        <f t="shared" si="6"/>
        <v>#VALUE!</v>
      </c>
      <c r="J55" s="1" t="e">
        <f t="shared" si="7"/>
        <v>#VALUE!</v>
      </c>
      <c r="K55" s="1" t="e">
        <f t="shared" si="8"/>
        <v>#VALUE!</v>
      </c>
    </row>
    <row r="56" spans="4:11" x14ac:dyDescent="0.35">
      <c r="D56" s="1" t="e">
        <f t="shared" si="1"/>
        <v>#VALUE!</v>
      </c>
      <c r="E56" s="1" t="e">
        <f t="shared" si="2"/>
        <v>#VALUE!</v>
      </c>
      <c r="F56" s="1" t="e">
        <f t="shared" si="3"/>
        <v>#VALUE!</v>
      </c>
      <c r="G56" s="1" t="e">
        <f t="shared" si="4"/>
        <v>#VALUE!</v>
      </c>
      <c r="H56" s="1" t="e">
        <f t="shared" si="5"/>
        <v>#VALUE!</v>
      </c>
      <c r="I56" s="1" t="e">
        <f t="shared" si="6"/>
        <v>#VALUE!</v>
      </c>
      <c r="J56" s="1" t="e">
        <f t="shared" si="7"/>
        <v>#VALUE!</v>
      </c>
      <c r="K56" s="1" t="e">
        <f t="shared" si="8"/>
        <v>#VALUE!</v>
      </c>
    </row>
    <row r="57" spans="4:11" x14ac:dyDescent="0.35">
      <c r="D57" s="1" t="e">
        <f t="shared" si="1"/>
        <v>#VALUE!</v>
      </c>
      <c r="E57" s="1" t="e">
        <f t="shared" si="2"/>
        <v>#VALUE!</v>
      </c>
      <c r="F57" s="1" t="e">
        <f t="shared" si="3"/>
        <v>#VALUE!</v>
      </c>
      <c r="G57" s="1" t="e">
        <f t="shared" si="4"/>
        <v>#VALUE!</v>
      </c>
      <c r="H57" s="1" t="e">
        <f t="shared" si="5"/>
        <v>#VALUE!</v>
      </c>
      <c r="I57" s="1" t="e">
        <f t="shared" si="6"/>
        <v>#VALUE!</v>
      </c>
      <c r="J57" s="1" t="e">
        <f t="shared" si="7"/>
        <v>#VALUE!</v>
      </c>
      <c r="K57" s="1" t="e">
        <f t="shared" si="8"/>
        <v>#VALUE!</v>
      </c>
    </row>
    <row r="58" spans="4:11" x14ac:dyDescent="0.35">
      <c r="D58" s="1" t="e">
        <f t="shared" si="1"/>
        <v>#VALUE!</v>
      </c>
      <c r="E58" s="1" t="e">
        <f t="shared" si="2"/>
        <v>#VALUE!</v>
      </c>
      <c r="F58" s="1" t="e">
        <f t="shared" si="3"/>
        <v>#VALUE!</v>
      </c>
      <c r="G58" s="1" t="e">
        <f t="shared" si="4"/>
        <v>#VALUE!</v>
      </c>
      <c r="H58" s="1" t="e">
        <f t="shared" si="5"/>
        <v>#VALUE!</v>
      </c>
      <c r="I58" s="1" t="e">
        <f t="shared" si="6"/>
        <v>#VALUE!</v>
      </c>
      <c r="J58" s="1" t="e">
        <f t="shared" si="7"/>
        <v>#VALUE!</v>
      </c>
      <c r="K58" s="1" t="e">
        <f t="shared" si="8"/>
        <v>#VALUE!</v>
      </c>
    </row>
    <row r="59" spans="4:11" x14ac:dyDescent="0.35">
      <c r="D59" s="1" t="e">
        <f t="shared" si="1"/>
        <v>#VALUE!</v>
      </c>
      <c r="E59" s="1" t="e">
        <f t="shared" si="2"/>
        <v>#VALUE!</v>
      </c>
      <c r="F59" s="1" t="e">
        <f t="shared" si="3"/>
        <v>#VALUE!</v>
      </c>
      <c r="G59" s="1" t="e">
        <f t="shared" si="4"/>
        <v>#VALUE!</v>
      </c>
      <c r="H59" s="1" t="e">
        <f t="shared" si="5"/>
        <v>#VALUE!</v>
      </c>
      <c r="I59" s="1" t="e">
        <f t="shared" si="6"/>
        <v>#VALUE!</v>
      </c>
      <c r="J59" s="1" t="e">
        <f t="shared" si="7"/>
        <v>#VALUE!</v>
      </c>
      <c r="K59" s="1" t="e">
        <f t="shared" si="8"/>
        <v>#VALUE!</v>
      </c>
    </row>
    <row r="60" spans="4:11" x14ac:dyDescent="0.35">
      <c r="D60" s="1" t="e">
        <f t="shared" si="1"/>
        <v>#VALUE!</v>
      </c>
      <c r="E60" s="1" t="e">
        <f t="shared" si="2"/>
        <v>#VALUE!</v>
      </c>
      <c r="F60" s="1" t="e">
        <f t="shared" si="3"/>
        <v>#VALUE!</v>
      </c>
      <c r="G60" s="1" t="e">
        <f t="shared" si="4"/>
        <v>#VALUE!</v>
      </c>
      <c r="H60" s="1" t="e">
        <f t="shared" si="5"/>
        <v>#VALUE!</v>
      </c>
      <c r="I60" s="1" t="e">
        <f t="shared" si="6"/>
        <v>#VALUE!</v>
      </c>
      <c r="J60" s="1" t="e">
        <f t="shared" si="7"/>
        <v>#VALUE!</v>
      </c>
      <c r="K60" s="1" t="e">
        <f t="shared" si="8"/>
        <v>#VALUE!</v>
      </c>
    </row>
    <row r="61" spans="4:11" x14ac:dyDescent="0.35">
      <c r="D61" s="1" t="e">
        <f t="shared" si="1"/>
        <v>#VALUE!</v>
      </c>
      <c r="E61" s="1" t="e">
        <f t="shared" si="2"/>
        <v>#VALUE!</v>
      </c>
      <c r="F61" s="1" t="e">
        <f t="shared" si="3"/>
        <v>#VALUE!</v>
      </c>
      <c r="G61" s="1" t="e">
        <f t="shared" si="4"/>
        <v>#VALUE!</v>
      </c>
      <c r="H61" s="1" t="e">
        <f t="shared" si="5"/>
        <v>#VALUE!</v>
      </c>
      <c r="I61" s="1" t="e">
        <f t="shared" si="6"/>
        <v>#VALUE!</v>
      </c>
      <c r="J61" s="1" t="e">
        <f t="shared" si="7"/>
        <v>#VALUE!</v>
      </c>
      <c r="K61" s="1" t="e">
        <f t="shared" si="8"/>
        <v>#VALUE!</v>
      </c>
    </row>
    <row r="62" spans="4:11" x14ac:dyDescent="0.35">
      <c r="D62" s="1" t="e">
        <f t="shared" si="1"/>
        <v>#VALUE!</v>
      </c>
      <c r="E62" s="1" t="e">
        <f t="shared" si="2"/>
        <v>#VALUE!</v>
      </c>
      <c r="F62" s="1" t="e">
        <f t="shared" si="3"/>
        <v>#VALUE!</v>
      </c>
      <c r="G62" s="1" t="e">
        <f t="shared" si="4"/>
        <v>#VALUE!</v>
      </c>
      <c r="H62" s="1" t="e">
        <f t="shared" si="5"/>
        <v>#VALUE!</v>
      </c>
      <c r="I62" s="1" t="e">
        <f t="shared" si="6"/>
        <v>#VALUE!</v>
      </c>
      <c r="J62" s="1" t="e">
        <f t="shared" si="7"/>
        <v>#VALUE!</v>
      </c>
      <c r="K62" s="1" t="e">
        <f t="shared" si="8"/>
        <v>#VALUE!</v>
      </c>
    </row>
    <row r="63" spans="4:11" x14ac:dyDescent="0.35">
      <c r="D63" s="1" t="e">
        <f t="shared" si="1"/>
        <v>#VALUE!</v>
      </c>
      <c r="E63" s="1" t="e">
        <f t="shared" si="2"/>
        <v>#VALUE!</v>
      </c>
      <c r="F63" s="1" t="e">
        <f t="shared" si="3"/>
        <v>#VALUE!</v>
      </c>
      <c r="G63" s="1" t="e">
        <f t="shared" si="4"/>
        <v>#VALUE!</v>
      </c>
      <c r="H63" s="1" t="e">
        <f t="shared" si="5"/>
        <v>#VALUE!</v>
      </c>
      <c r="I63" s="1" t="e">
        <f t="shared" si="6"/>
        <v>#VALUE!</v>
      </c>
      <c r="J63" s="1" t="e">
        <f t="shared" si="7"/>
        <v>#VALUE!</v>
      </c>
      <c r="K63" s="1" t="e">
        <f t="shared" si="8"/>
        <v>#VALUE!</v>
      </c>
    </row>
    <row r="64" spans="4:11" x14ac:dyDescent="0.35">
      <c r="D64" s="1" t="e">
        <f t="shared" si="1"/>
        <v>#VALUE!</v>
      </c>
      <c r="E64" s="1" t="e">
        <f t="shared" si="2"/>
        <v>#VALUE!</v>
      </c>
      <c r="F64" s="1" t="e">
        <f t="shared" si="3"/>
        <v>#VALUE!</v>
      </c>
      <c r="G64" s="1" t="e">
        <f t="shared" si="4"/>
        <v>#VALUE!</v>
      </c>
      <c r="H64" s="1" t="e">
        <f t="shared" si="5"/>
        <v>#VALUE!</v>
      </c>
      <c r="I64" s="1" t="e">
        <f t="shared" si="6"/>
        <v>#VALUE!</v>
      </c>
      <c r="J64" s="1" t="e">
        <f t="shared" si="7"/>
        <v>#VALUE!</v>
      </c>
      <c r="K64" s="1" t="e">
        <f t="shared" si="8"/>
        <v>#VALUE!</v>
      </c>
    </row>
    <row r="65" spans="4:11" x14ac:dyDescent="0.35">
      <c r="D65" s="1" t="e">
        <f t="shared" si="1"/>
        <v>#VALUE!</v>
      </c>
      <c r="E65" s="1" t="e">
        <f t="shared" si="2"/>
        <v>#VALUE!</v>
      </c>
      <c r="F65" s="1" t="e">
        <f t="shared" si="3"/>
        <v>#VALUE!</v>
      </c>
      <c r="G65" s="1" t="e">
        <f t="shared" si="4"/>
        <v>#VALUE!</v>
      </c>
      <c r="H65" s="1" t="e">
        <f t="shared" si="5"/>
        <v>#VALUE!</v>
      </c>
      <c r="I65" s="1" t="e">
        <f t="shared" si="6"/>
        <v>#VALUE!</v>
      </c>
      <c r="J65" s="1" t="e">
        <f t="shared" si="7"/>
        <v>#VALUE!</v>
      </c>
      <c r="K65" s="1" t="e">
        <f t="shared" si="8"/>
        <v>#VALUE!</v>
      </c>
    </row>
    <row r="66" spans="4:11" x14ac:dyDescent="0.35">
      <c r="D66" s="1" t="e">
        <f t="shared" si="1"/>
        <v>#VALUE!</v>
      </c>
      <c r="E66" s="1" t="e">
        <f t="shared" si="2"/>
        <v>#VALUE!</v>
      </c>
      <c r="F66" s="1" t="e">
        <f t="shared" si="3"/>
        <v>#VALUE!</v>
      </c>
      <c r="G66" s="1" t="e">
        <f t="shared" si="4"/>
        <v>#VALUE!</v>
      </c>
      <c r="H66" s="1" t="e">
        <f t="shared" si="5"/>
        <v>#VALUE!</v>
      </c>
      <c r="I66" s="1" t="e">
        <f t="shared" si="6"/>
        <v>#VALUE!</v>
      </c>
      <c r="J66" s="1" t="e">
        <f t="shared" si="7"/>
        <v>#VALUE!</v>
      </c>
      <c r="K66" s="1" t="e">
        <f t="shared" si="8"/>
        <v>#VALUE!</v>
      </c>
    </row>
    <row r="67" spans="4:11" x14ac:dyDescent="0.35">
      <c r="D67" s="1" t="e">
        <f t="shared" si="1"/>
        <v>#VALUE!</v>
      </c>
      <c r="E67" s="1" t="e">
        <f t="shared" si="2"/>
        <v>#VALUE!</v>
      </c>
      <c r="F67" s="1" t="e">
        <f t="shared" si="3"/>
        <v>#VALUE!</v>
      </c>
      <c r="G67" s="1" t="e">
        <f t="shared" si="4"/>
        <v>#VALUE!</v>
      </c>
      <c r="H67" s="1" t="e">
        <f t="shared" si="5"/>
        <v>#VALUE!</v>
      </c>
      <c r="I67" s="1" t="e">
        <f t="shared" si="6"/>
        <v>#VALUE!</v>
      </c>
      <c r="J67" s="1" t="e">
        <f t="shared" si="7"/>
        <v>#VALUE!</v>
      </c>
      <c r="K67" s="1" t="e">
        <f t="shared" si="8"/>
        <v>#VALUE!</v>
      </c>
    </row>
    <row r="68" spans="4:11" x14ac:dyDescent="0.35">
      <c r="D68" s="1" t="e">
        <f t="shared" ref="D68:D98" si="10">IF(K67&gt;$B$11,IF(J67&lt;&gt;0,D67+1,""),"")</f>
        <v>#VALUE!</v>
      </c>
      <c r="E68" s="1" t="e">
        <f t="shared" ref="E68:E98" si="11">IF(K67&gt;$B$11,IF(J67&lt;&gt;0,IF(F67*J67&lt;0,E67,I67),""),"")</f>
        <v>#VALUE!</v>
      </c>
      <c r="F68" s="1" t="e">
        <f t="shared" ref="F68:F98" si="12">IF(K67&gt;$B$11,IF(J67&lt;&gt;0,-(3/4)*E68-(71/3)-E68^3*EXP(0.3*E68),""),"")</f>
        <v>#VALUE!</v>
      </c>
      <c r="G68" s="1" t="e">
        <f t="shared" ref="G68:G98" si="13">IF(K67&gt;$B$11,IF(J67&lt;&gt;0,IF(H67*J67&lt;0,G67,I67),""),"")</f>
        <v>#VALUE!</v>
      </c>
      <c r="H68" s="1" t="e">
        <f t="shared" ref="H68:H98" si="14">IF(K67&gt;$B$11,IF(J67&lt;&gt;0,-(3/4)*G68-(71/3)-G68^3*EXP(0.3*G68),""),"")</f>
        <v>#VALUE!</v>
      </c>
      <c r="I68" s="1" t="e">
        <f t="shared" ref="I68:I98" si="15">IF(K67&gt;$B$11,IF(J67&lt;&gt;0,E68-((F68*(G68-E68))/(H68-F68)),""),"")</f>
        <v>#VALUE!</v>
      </c>
      <c r="J68" s="1" t="e">
        <f t="shared" ref="J68:J98" si="16">IF(K67&gt;$B$11,IF(J67&lt;&gt;0,-(3/4)*I68-(71/3)-I68^3*EXP(0.3*I68),""),"")</f>
        <v>#VALUE!</v>
      </c>
      <c r="K68" s="1" t="e">
        <f t="shared" ref="K68:K98" si="17">IF(K67&gt;$B$11,IF(J67&lt;&gt;0,100*ABS((I68-I67)/I68),""),"")</f>
        <v>#VALUE!</v>
      </c>
    </row>
    <row r="69" spans="4:11" x14ac:dyDescent="0.35">
      <c r="D69" s="1" t="e">
        <f t="shared" si="10"/>
        <v>#VALUE!</v>
      </c>
      <c r="E69" s="1" t="e">
        <f t="shared" si="11"/>
        <v>#VALUE!</v>
      </c>
      <c r="F69" s="1" t="e">
        <f t="shared" si="12"/>
        <v>#VALUE!</v>
      </c>
      <c r="G69" s="1" t="e">
        <f t="shared" si="13"/>
        <v>#VALUE!</v>
      </c>
      <c r="H69" s="1" t="e">
        <f t="shared" si="14"/>
        <v>#VALUE!</v>
      </c>
      <c r="I69" s="1" t="e">
        <f t="shared" si="15"/>
        <v>#VALUE!</v>
      </c>
      <c r="J69" s="1" t="e">
        <f t="shared" si="16"/>
        <v>#VALUE!</v>
      </c>
      <c r="K69" s="1" t="e">
        <f t="shared" si="17"/>
        <v>#VALUE!</v>
      </c>
    </row>
    <row r="70" spans="4:11" x14ac:dyDescent="0.35">
      <c r="D70" s="1" t="e">
        <f t="shared" si="10"/>
        <v>#VALUE!</v>
      </c>
      <c r="E70" s="1" t="e">
        <f t="shared" si="11"/>
        <v>#VALUE!</v>
      </c>
      <c r="F70" s="1" t="e">
        <f t="shared" si="12"/>
        <v>#VALUE!</v>
      </c>
      <c r="G70" s="1" t="e">
        <f t="shared" si="13"/>
        <v>#VALUE!</v>
      </c>
      <c r="H70" s="1" t="e">
        <f t="shared" si="14"/>
        <v>#VALUE!</v>
      </c>
      <c r="I70" s="1" t="e">
        <f t="shared" si="15"/>
        <v>#VALUE!</v>
      </c>
      <c r="J70" s="1" t="e">
        <f t="shared" si="16"/>
        <v>#VALUE!</v>
      </c>
      <c r="K70" s="1" t="e">
        <f t="shared" si="17"/>
        <v>#VALUE!</v>
      </c>
    </row>
    <row r="71" spans="4:11" x14ac:dyDescent="0.35">
      <c r="D71" s="1" t="e">
        <f t="shared" si="10"/>
        <v>#VALUE!</v>
      </c>
      <c r="E71" s="1" t="e">
        <f t="shared" si="11"/>
        <v>#VALUE!</v>
      </c>
      <c r="F71" s="1" t="e">
        <f t="shared" si="12"/>
        <v>#VALUE!</v>
      </c>
      <c r="G71" s="1" t="e">
        <f t="shared" si="13"/>
        <v>#VALUE!</v>
      </c>
      <c r="H71" s="1" t="e">
        <f t="shared" si="14"/>
        <v>#VALUE!</v>
      </c>
      <c r="I71" s="1" t="e">
        <f t="shared" si="15"/>
        <v>#VALUE!</v>
      </c>
      <c r="J71" s="1" t="e">
        <f t="shared" si="16"/>
        <v>#VALUE!</v>
      </c>
      <c r="K71" s="1" t="e">
        <f t="shared" si="17"/>
        <v>#VALUE!</v>
      </c>
    </row>
    <row r="72" spans="4:11" x14ac:dyDescent="0.35">
      <c r="D72" s="1" t="e">
        <f t="shared" si="10"/>
        <v>#VALUE!</v>
      </c>
      <c r="E72" s="1" t="e">
        <f t="shared" si="11"/>
        <v>#VALUE!</v>
      </c>
      <c r="F72" s="1" t="e">
        <f t="shared" si="12"/>
        <v>#VALUE!</v>
      </c>
      <c r="G72" s="1" t="e">
        <f t="shared" si="13"/>
        <v>#VALUE!</v>
      </c>
      <c r="H72" s="1" t="e">
        <f t="shared" si="14"/>
        <v>#VALUE!</v>
      </c>
      <c r="I72" s="1" t="e">
        <f t="shared" si="15"/>
        <v>#VALUE!</v>
      </c>
      <c r="J72" s="1" t="e">
        <f t="shared" si="16"/>
        <v>#VALUE!</v>
      </c>
      <c r="K72" s="1" t="e">
        <f t="shared" si="17"/>
        <v>#VALUE!</v>
      </c>
    </row>
    <row r="73" spans="4:11" x14ac:dyDescent="0.35">
      <c r="D73" s="1" t="e">
        <f t="shared" si="10"/>
        <v>#VALUE!</v>
      </c>
      <c r="E73" s="1" t="e">
        <f t="shared" si="11"/>
        <v>#VALUE!</v>
      </c>
      <c r="F73" s="1" t="e">
        <f t="shared" si="12"/>
        <v>#VALUE!</v>
      </c>
      <c r="G73" s="1" t="e">
        <f t="shared" si="13"/>
        <v>#VALUE!</v>
      </c>
      <c r="H73" s="1" t="e">
        <f t="shared" si="14"/>
        <v>#VALUE!</v>
      </c>
      <c r="I73" s="1" t="e">
        <f t="shared" si="15"/>
        <v>#VALUE!</v>
      </c>
      <c r="J73" s="1" t="e">
        <f t="shared" si="16"/>
        <v>#VALUE!</v>
      </c>
      <c r="K73" s="1" t="e">
        <f t="shared" si="17"/>
        <v>#VALUE!</v>
      </c>
    </row>
    <row r="74" spans="4:11" x14ac:dyDescent="0.35">
      <c r="D74" s="1" t="e">
        <f t="shared" si="10"/>
        <v>#VALUE!</v>
      </c>
      <c r="E74" s="1" t="e">
        <f t="shared" si="11"/>
        <v>#VALUE!</v>
      </c>
      <c r="F74" s="1" t="e">
        <f t="shared" si="12"/>
        <v>#VALUE!</v>
      </c>
      <c r="G74" s="1" t="e">
        <f t="shared" si="13"/>
        <v>#VALUE!</v>
      </c>
      <c r="H74" s="1" t="e">
        <f t="shared" si="14"/>
        <v>#VALUE!</v>
      </c>
      <c r="I74" s="1" t="e">
        <f t="shared" si="15"/>
        <v>#VALUE!</v>
      </c>
      <c r="J74" s="1" t="e">
        <f t="shared" si="16"/>
        <v>#VALUE!</v>
      </c>
      <c r="K74" s="1" t="e">
        <f t="shared" si="17"/>
        <v>#VALUE!</v>
      </c>
    </row>
    <row r="75" spans="4:11" x14ac:dyDescent="0.35">
      <c r="D75" s="1" t="e">
        <f t="shared" si="10"/>
        <v>#VALUE!</v>
      </c>
      <c r="E75" s="1" t="e">
        <f t="shared" si="11"/>
        <v>#VALUE!</v>
      </c>
      <c r="F75" s="1" t="e">
        <f t="shared" si="12"/>
        <v>#VALUE!</v>
      </c>
      <c r="G75" s="1" t="e">
        <f t="shared" si="13"/>
        <v>#VALUE!</v>
      </c>
      <c r="H75" s="1" t="e">
        <f t="shared" si="14"/>
        <v>#VALUE!</v>
      </c>
      <c r="I75" s="1" t="e">
        <f t="shared" si="15"/>
        <v>#VALUE!</v>
      </c>
      <c r="J75" s="1" t="e">
        <f t="shared" si="16"/>
        <v>#VALUE!</v>
      </c>
      <c r="K75" s="1" t="e">
        <f t="shared" si="17"/>
        <v>#VALUE!</v>
      </c>
    </row>
    <row r="76" spans="4:11" x14ac:dyDescent="0.35">
      <c r="D76" s="1" t="e">
        <f t="shared" si="10"/>
        <v>#VALUE!</v>
      </c>
      <c r="E76" s="1" t="e">
        <f t="shared" si="11"/>
        <v>#VALUE!</v>
      </c>
      <c r="F76" s="1" t="e">
        <f t="shared" si="12"/>
        <v>#VALUE!</v>
      </c>
      <c r="G76" s="1" t="e">
        <f t="shared" si="13"/>
        <v>#VALUE!</v>
      </c>
      <c r="H76" s="1" t="e">
        <f t="shared" si="14"/>
        <v>#VALUE!</v>
      </c>
      <c r="I76" s="1" t="e">
        <f t="shared" si="15"/>
        <v>#VALUE!</v>
      </c>
      <c r="J76" s="1" t="e">
        <f t="shared" si="16"/>
        <v>#VALUE!</v>
      </c>
      <c r="K76" s="1" t="e">
        <f t="shared" si="17"/>
        <v>#VALUE!</v>
      </c>
    </row>
    <row r="77" spans="4:11" x14ac:dyDescent="0.35">
      <c r="D77" s="1" t="e">
        <f t="shared" si="10"/>
        <v>#VALUE!</v>
      </c>
      <c r="E77" s="1" t="e">
        <f t="shared" si="11"/>
        <v>#VALUE!</v>
      </c>
      <c r="F77" s="1" t="e">
        <f t="shared" si="12"/>
        <v>#VALUE!</v>
      </c>
      <c r="G77" s="1" t="e">
        <f t="shared" si="13"/>
        <v>#VALUE!</v>
      </c>
      <c r="H77" s="1" t="e">
        <f t="shared" si="14"/>
        <v>#VALUE!</v>
      </c>
      <c r="I77" s="1" t="e">
        <f t="shared" si="15"/>
        <v>#VALUE!</v>
      </c>
      <c r="J77" s="1" t="e">
        <f t="shared" si="16"/>
        <v>#VALUE!</v>
      </c>
      <c r="K77" s="1" t="e">
        <f t="shared" si="17"/>
        <v>#VALUE!</v>
      </c>
    </row>
    <row r="78" spans="4:11" x14ac:dyDescent="0.35">
      <c r="D78" s="1" t="e">
        <f t="shared" si="10"/>
        <v>#VALUE!</v>
      </c>
      <c r="E78" s="1" t="e">
        <f t="shared" si="11"/>
        <v>#VALUE!</v>
      </c>
      <c r="F78" s="1" t="e">
        <f t="shared" si="12"/>
        <v>#VALUE!</v>
      </c>
      <c r="G78" s="1" t="e">
        <f t="shared" si="13"/>
        <v>#VALUE!</v>
      </c>
      <c r="H78" s="1" t="e">
        <f t="shared" si="14"/>
        <v>#VALUE!</v>
      </c>
      <c r="I78" s="1" t="e">
        <f t="shared" si="15"/>
        <v>#VALUE!</v>
      </c>
      <c r="J78" s="1" t="e">
        <f t="shared" si="16"/>
        <v>#VALUE!</v>
      </c>
      <c r="K78" s="1" t="e">
        <f t="shared" si="17"/>
        <v>#VALUE!</v>
      </c>
    </row>
    <row r="79" spans="4:11" x14ac:dyDescent="0.35">
      <c r="D79" s="1" t="e">
        <f t="shared" si="10"/>
        <v>#VALUE!</v>
      </c>
      <c r="E79" s="1" t="e">
        <f t="shared" si="11"/>
        <v>#VALUE!</v>
      </c>
      <c r="F79" s="1" t="e">
        <f t="shared" si="12"/>
        <v>#VALUE!</v>
      </c>
      <c r="G79" s="1" t="e">
        <f t="shared" si="13"/>
        <v>#VALUE!</v>
      </c>
      <c r="H79" s="1" t="e">
        <f t="shared" si="14"/>
        <v>#VALUE!</v>
      </c>
      <c r="I79" s="1" t="e">
        <f t="shared" si="15"/>
        <v>#VALUE!</v>
      </c>
      <c r="J79" s="1" t="e">
        <f t="shared" si="16"/>
        <v>#VALUE!</v>
      </c>
      <c r="K79" s="1" t="e">
        <f t="shared" si="17"/>
        <v>#VALUE!</v>
      </c>
    </row>
    <row r="80" spans="4:11" x14ac:dyDescent="0.35">
      <c r="D80" s="1" t="e">
        <f t="shared" si="10"/>
        <v>#VALUE!</v>
      </c>
      <c r="E80" s="1" t="e">
        <f t="shared" si="11"/>
        <v>#VALUE!</v>
      </c>
      <c r="F80" s="1" t="e">
        <f t="shared" si="12"/>
        <v>#VALUE!</v>
      </c>
      <c r="G80" s="1" t="e">
        <f t="shared" si="13"/>
        <v>#VALUE!</v>
      </c>
      <c r="H80" s="1" t="e">
        <f t="shared" si="14"/>
        <v>#VALUE!</v>
      </c>
      <c r="I80" s="1" t="e">
        <f t="shared" si="15"/>
        <v>#VALUE!</v>
      </c>
      <c r="J80" s="1" t="e">
        <f t="shared" si="16"/>
        <v>#VALUE!</v>
      </c>
      <c r="K80" s="1" t="e">
        <f t="shared" si="17"/>
        <v>#VALUE!</v>
      </c>
    </row>
    <row r="81" spans="4:11" x14ac:dyDescent="0.35">
      <c r="D81" s="1" t="e">
        <f t="shared" si="10"/>
        <v>#VALUE!</v>
      </c>
      <c r="E81" s="1" t="e">
        <f t="shared" si="11"/>
        <v>#VALUE!</v>
      </c>
      <c r="F81" s="1" t="e">
        <f t="shared" si="12"/>
        <v>#VALUE!</v>
      </c>
      <c r="G81" s="1" t="e">
        <f t="shared" si="13"/>
        <v>#VALUE!</v>
      </c>
      <c r="H81" s="1" t="e">
        <f t="shared" si="14"/>
        <v>#VALUE!</v>
      </c>
      <c r="I81" s="1" t="e">
        <f t="shared" si="15"/>
        <v>#VALUE!</v>
      </c>
      <c r="J81" s="1" t="e">
        <f t="shared" si="16"/>
        <v>#VALUE!</v>
      </c>
      <c r="K81" s="1" t="e">
        <f t="shared" si="17"/>
        <v>#VALUE!</v>
      </c>
    </row>
    <row r="82" spans="4:11" x14ac:dyDescent="0.35">
      <c r="D82" s="1" t="e">
        <f t="shared" si="10"/>
        <v>#VALUE!</v>
      </c>
      <c r="E82" s="1" t="e">
        <f t="shared" si="11"/>
        <v>#VALUE!</v>
      </c>
      <c r="F82" s="1" t="e">
        <f t="shared" si="12"/>
        <v>#VALUE!</v>
      </c>
      <c r="G82" s="1" t="e">
        <f t="shared" si="13"/>
        <v>#VALUE!</v>
      </c>
      <c r="H82" s="1" t="e">
        <f t="shared" si="14"/>
        <v>#VALUE!</v>
      </c>
      <c r="I82" s="1" t="e">
        <f t="shared" si="15"/>
        <v>#VALUE!</v>
      </c>
      <c r="J82" s="1" t="e">
        <f t="shared" si="16"/>
        <v>#VALUE!</v>
      </c>
      <c r="K82" s="1" t="e">
        <f t="shared" si="17"/>
        <v>#VALUE!</v>
      </c>
    </row>
    <row r="83" spans="4:11" x14ac:dyDescent="0.35">
      <c r="D83" s="1" t="e">
        <f t="shared" si="10"/>
        <v>#VALUE!</v>
      </c>
      <c r="E83" s="1" t="e">
        <f t="shared" si="11"/>
        <v>#VALUE!</v>
      </c>
      <c r="F83" s="1" t="e">
        <f t="shared" si="12"/>
        <v>#VALUE!</v>
      </c>
      <c r="G83" s="1" t="e">
        <f t="shared" si="13"/>
        <v>#VALUE!</v>
      </c>
      <c r="H83" s="1" t="e">
        <f t="shared" si="14"/>
        <v>#VALUE!</v>
      </c>
      <c r="I83" s="1" t="e">
        <f t="shared" si="15"/>
        <v>#VALUE!</v>
      </c>
      <c r="J83" s="1" t="e">
        <f t="shared" si="16"/>
        <v>#VALUE!</v>
      </c>
      <c r="K83" s="1" t="e">
        <f t="shared" si="17"/>
        <v>#VALUE!</v>
      </c>
    </row>
    <row r="84" spans="4:11" x14ac:dyDescent="0.35">
      <c r="D84" s="1" t="e">
        <f t="shared" si="10"/>
        <v>#VALUE!</v>
      </c>
      <c r="E84" s="1" t="e">
        <f t="shared" si="11"/>
        <v>#VALUE!</v>
      </c>
      <c r="F84" s="1" t="e">
        <f t="shared" si="12"/>
        <v>#VALUE!</v>
      </c>
      <c r="G84" s="1" t="e">
        <f t="shared" si="13"/>
        <v>#VALUE!</v>
      </c>
      <c r="H84" s="1" t="e">
        <f t="shared" si="14"/>
        <v>#VALUE!</v>
      </c>
      <c r="I84" s="1" t="e">
        <f t="shared" si="15"/>
        <v>#VALUE!</v>
      </c>
      <c r="J84" s="1" t="e">
        <f t="shared" si="16"/>
        <v>#VALUE!</v>
      </c>
      <c r="K84" s="1" t="e">
        <f t="shared" si="17"/>
        <v>#VALUE!</v>
      </c>
    </row>
    <row r="85" spans="4:11" x14ac:dyDescent="0.35">
      <c r="D85" s="1" t="e">
        <f t="shared" si="10"/>
        <v>#VALUE!</v>
      </c>
      <c r="E85" s="1" t="e">
        <f t="shared" si="11"/>
        <v>#VALUE!</v>
      </c>
      <c r="F85" s="1" t="e">
        <f t="shared" si="12"/>
        <v>#VALUE!</v>
      </c>
      <c r="G85" s="1" t="e">
        <f t="shared" si="13"/>
        <v>#VALUE!</v>
      </c>
      <c r="H85" s="1" t="e">
        <f t="shared" si="14"/>
        <v>#VALUE!</v>
      </c>
      <c r="I85" s="1" t="e">
        <f t="shared" si="15"/>
        <v>#VALUE!</v>
      </c>
      <c r="J85" s="1" t="e">
        <f t="shared" si="16"/>
        <v>#VALUE!</v>
      </c>
      <c r="K85" s="1" t="e">
        <f t="shared" si="17"/>
        <v>#VALUE!</v>
      </c>
    </row>
    <row r="86" spans="4:11" x14ac:dyDescent="0.35">
      <c r="D86" s="1" t="e">
        <f t="shared" si="10"/>
        <v>#VALUE!</v>
      </c>
      <c r="E86" s="1" t="e">
        <f t="shared" si="11"/>
        <v>#VALUE!</v>
      </c>
      <c r="F86" s="1" t="e">
        <f t="shared" si="12"/>
        <v>#VALUE!</v>
      </c>
      <c r="G86" s="1" t="e">
        <f t="shared" si="13"/>
        <v>#VALUE!</v>
      </c>
      <c r="H86" s="1" t="e">
        <f t="shared" si="14"/>
        <v>#VALUE!</v>
      </c>
      <c r="I86" s="1" t="e">
        <f t="shared" si="15"/>
        <v>#VALUE!</v>
      </c>
      <c r="J86" s="1" t="e">
        <f t="shared" si="16"/>
        <v>#VALUE!</v>
      </c>
      <c r="K86" s="1" t="e">
        <f t="shared" si="17"/>
        <v>#VALUE!</v>
      </c>
    </row>
    <row r="87" spans="4:11" x14ac:dyDescent="0.35">
      <c r="D87" s="1" t="e">
        <f t="shared" si="10"/>
        <v>#VALUE!</v>
      </c>
      <c r="E87" s="1" t="e">
        <f t="shared" si="11"/>
        <v>#VALUE!</v>
      </c>
      <c r="F87" s="1" t="e">
        <f t="shared" si="12"/>
        <v>#VALUE!</v>
      </c>
      <c r="G87" s="1" t="e">
        <f t="shared" si="13"/>
        <v>#VALUE!</v>
      </c>
      <c r="H87" s="1" t="e">
        <f t="shared" si="14"/>
        <v>#VALUE!</v>
      </c>
      <c r="I87" s="1" t="e">
        <f t="shared" si="15"/>
        <v>#VALUE!</v>
      </c>
      <c r="J87" s="1" t="e">
        <f t="shared" si="16"/>
        <v>#VALUE!</v>
      </c>
      <c r="K87" s="1" t="e">
        <f t="shared" si="17"/>
        <v>#VALUE!</v>
      </c>
    </row>
    <row r="88" spans="4:11" x14ac:dyDescent="0.35">
      <c r="D88" s="1" t="e">
        <f t="shared" si="10"/>
        <v>#VALUE!</v>
      </c>
      <c r="E88" s="1" t="e">
        <f t="shared" si="11"/>
        <v>#VALUE!</v>
      </c>
      <c r="F88" s="1" t="e">
        <f t="shared" si="12"/>
        <v>#VALUE!</v>
      </c>
      <c r="G88" s="1" t="e">
        <f t="shared" si="13"/>
        <v>#VALUE!</v>
      </c>
      <c r="H88" s="1" t="e">
        <f t="shared" si="14"/>
        <v>#VALUE!</v>
      </c>
      <c r="I88" s="1" t="e">
        <f t="shared" si="15"/>
        <v>#VALUE!</v>
      </c>
      <c r="J88" s="1" t="e">
        <f t="shared" si="16"/>
        <v>#VALUE!</v>
      </c>
      <c r="K88" s="1" t="e">
        <f t="shared" si="17"/>
        <v>#VALUE!</v>
      </c>
    </row>
    <row r="89" spans="4:11" x14ac:dyDescent="0.35">
      <c r="D89" s="1" t="e">
        <f t="shared" si="10"/>
        <v>#VALUE!</v>
      </c>
      <c r="E89" s="1" t="e">
        <f t="shared" si="11"/>
        <v>#VALUE!</v>
      </c>
      <c r="F89" s="1" t="e">
        <f t="shared" si="12"/>
        <v>#VALUE!</v>
      </c>
      <c r="G89" s="1" t="e">
        <f t="shared" si="13"/>
        <v>#VALUE!</v>
      </c>
      <c r="H89" s="1" t="e">
        <f t="shared" si="14"/>
        <v>#VALUE!</v>
      </c>
      <c r="I89" s="1" t="e">
        <f t="shared" si="15"/>
        <v>#VALUE!</v>
      </c>
      <c r="J89" s="1" t="e">
        <f t="shared" si="16"/>
        <v>#VALUE!</v>
      </c>
      <c r="K89" s="1" t="e">
        <f t="shared" si="17"/>
        <v>#VALUE!</v>
      </c>
    </row>
    <row r="90" spans="4:11" x14ac:dyDescent="0.35">
      <c r="D90" s="1" t="e">
        <f t="shared" si="10"/>
        <v>#VALUE!</v>
      </c>
      <c r="E90" s="1" t="e">
        <f t="shared" si="11"/>
        <v>#VALUE!</v>
      </c>
      <c r="F90" s="1" t="e">
        <f t="shared" si="12"/>
        <v>#VALUE!</v>
      </c>
      <c r="G90" s="1" t="e">
        <f t="shared" si="13"/>
        <v>#VALUE!</v>
      </c>
      <c r="H90" s="1" t="e">
        <f t="shared" si="14"/>
        <v>#VALUE!</v>
      </c>
      <c r="I90" s="1" t="e">
        <f t="shared" si="15"/>
        <v>#VALUE!</v>
      </c>
      <c r="J90" s="1" t="e">
        <f t="shared" si="16"/>
        <v>#VALUE!</v>
      </c>
      <c r="K90" s="1" t="e">
        <f t="shared" si="17"/>
        <v>#VALUE!</v>
      </c>
    </row>
    <row r="91" spans="4:11" x14ac:dyDescent="0.35">
      <c r="D91" s="1" t="e">
        <f t="shared" si="10"/>
        <v>#VALUE!</v>
      </c>
      <c r="E91" s="1" t="e">
        <f t="shared" si="11"/>
        <v>#VALUE!</v>
      </c>
      <c r="F91" s="1" t="e">
        <f t="shared" si="12"/>
        <v>#VALUE!</v>
      </c>
      <c r="G91" s="1" t="e">
        <f t="shared" si="13"/>
        <v>#VALUE!</v>
      </c>
      <c r="H91" s="1" t="e">
        <f t="shared" si="14"/>
        <v>#VALUE!</v>
      </c>
      <c r="I91" s="1" t="e">
        <f t="shared" si="15"/>
        <v>#VALUE!</v>
      </c>
      <c r="J91" s="1" t="e">
        <f t="shared" si="16"/>
        <v>#VALUE!</v>
      </c>
      <c r="K91" s="1" t="e">
        <f t="shared" si="17"/>
        <v>#VALUE!</v>
      </c>
    </row>
    <row r="92" spans="4:11" x14ac:dyDescent="0.35">
      <c r="D92" s="1" t="e">
        <f t="shared" si="10"/>
        <v>#VALUE!</v>
      </c>
      <c r="E92" s="1" t="e">
        <f t="shared" si="11"/>
        <v>#VALUE!</v>
      </c>
      <c r="F92" s="1" t="e">
        <f t="shared" si="12"/>
        <v>#VALUE!</v>
      </c>
      <c r="G92" s="1" t="e">
        <f t="shared" si="13"/>
        <v>#VALUE!</v>
      </c>
      <c r="H92" s="1" t="e">
        <f t="shared" si="14"/>
        <v>#VALUE!</v>
      </c>
      <c r="I92" s="1" t="e">
        <f t="shared" si="15"/>
        <v>#VALUE!</v>
      </c>
      <c r="J92" s="1" t="e">
        <f t="shared" si="16"/>
        <v>#VALUE!</v>
      </c>
      <c r="K92" s="1" t="e">
        <f t="shared" si="17"/>
        <v>#VALUE!</v>
      </c>
    </row>
    <row r="93" spans="4:11" x14ac:dyDescent="0.35">
      <c r="D93" s="1" t="e">
        <f t="shared" si="10"/>
        <v>#VALUE!</v>
      </c>
      <c r="E93" s="1" t="e">
        <f t="shared" si="11"/>
        <v>#VALUE!</v>
      </c>
      <c r="F93" s="1" t="e">
        <f t="shared" si="12"/>
        <v>#VALUE!</v>
      </c>
      <c r="G93" s="1" t="e">
        <f t="shared" si="13"/>
        <v>#VALUE!</v>
      </c>
      <c r="H93" s="1" t="e">
        <f t="shared" si="14"/>
        <v>#VALUE!</v>
      </c>
      <c r="I93" s="1" t="e">
        <f t="shared" si="15"/>
        <v>#VALUE!</v>
      </c>
      <c r="J93" s="1" t="e">
        <f t="shared" si="16"/>
        <v>#VALUE!</v>
      </c>
      <c r="K93" s="1" t="e">
        <f t="shared" si="17"/>
        <v>#VALUE!</v>
      </c>
    </row>
    <row r="94" spans="4:11" x14ac:dyDescent="0.35">
      <c r="D94" s="1" t="e">
        <f t="shared" si="10"/>
        <v>#VALUE!</v>
      </c>
      <c r="E94" s="1" t="e">
        <f t="shared" si="11"/>
        <v>#VALUE!</v>
      </c>
      <c r="F94" s="1" t="e">
        <f t="shared" si="12"/>
        <v>#VALUE!</v>
      </c>
      <c r="G94" s="1" t="e">
        <f t="shared" si="13"/>
        <v>#VALUE!</v>
      </c>
      <c r="H94" s="1" t="e">
        <f t="shared" si="14"/>
        <v>#VALUE!</v>
      </c>
      <c r="I94" s="1" t="e">
        <f t="shared" si="15"/>
        <v>#VALUE!</v>
      </c>
      <c r="J94" s="1" t="e">
        <f t="shared" si="16"/>
        <v>#VALUE!</v>
      </c>
      <c r="K94" s="1" t="e">
        <f t="shared" si="17"/>
        <v>#VALUE!</v>
      </c>
    </row>
    <row r="95" spans="4:11" x14ac:dyDescent="0.35">
      <c r="D95" s="1" t="e">
        <f t="shared" si="10"/>
        <v>#VALUE!</v>
      </c>
      <c r="E95" s="1" t="e">
        <f t="shared" si="11"/>
        <v>#VALUE!</v>
      </c>
      <c r="F95" s="1" t="e">
        <f t="shared" si="12"/>
        <v>#VALUE!</v>
      </c>
      <c r="G95" s="1" t="e">
        <f t="shared" si="13"/>
        <v>#VALUE!</v>
      </c>
      <c r="H95" s="1" t="e">
        <f t="shared" si="14"/>
        <v>#VALUE!</v>
      </c>
      <c r="I95" s="1" t="e">
        <f t="shared" si="15"/>
        <v>#VALUE!</v>
      </c>
      <c r="J95" s="1" t="e">
        <f t="shared" si="16"/>
        <v>#VALUE!</v>
      </c>
      <c r="K95" s="1" t="e">
        <f t="shared" si="17"/>
        <v>#VALUE!</v>
      </c>
    </row>
    <row r="96" spans="4:11" x14ac:dyDescent="0.35">
      <c r="D96" s="1" t="e">
        <f t="shared" si="10"/>
        <v>#VALUE!</v>
      </c>
      <c r="E96" s="1" t="e">
        <f t="shared" si="11"/>
        <v>#VALUE!</v>
      </c>
      <c r="F96" s="1" t="e">
        <f t="shared" si="12"/>
        <v>#VALUE!</v>
      </c>
      <c r="G96" s="1" t="e">
        <f t="shared" si="13"/>
        <v>#VALUE!</v>
      </c>
      <c r="H96" s="1" t="e">
        <f t="shared" si="14"/>
        <v>#VALUE!</v>
      </c>
      <c r="I96" s="1" t="e">
        <f t="shared" si="15"/>
        <v>#VALUE!</v>
      </c>
      <c r="J96" s="1" t="e">
        <f t="shared" si="16"/>
        <v>#VALUE!</v>
      </c>
      <c r="K96" s="1" t="e">
        <f t="shared" si="17"/>
        <v>#VALUE!</v>
      </c>
    </row>
    <row r="97" spans="4:11" x14ac:dyDescent="0.35">
      <c r="D97" s="1" t="e">
        <f t="shared" si="10"/>
        <v>#VALUE!</v>
      </c>
      <c r="E97" s="1" t="e">
        <f t="shared" si="11"/>
        <v>#VALUE!</v>
      </c>
      <c r="F97" s="1" t="e">
        <f t="shared" si="12"/>
        <v>#VALUE!</v>
      </c>
      <c r="G97" s="1" t="e">
        <f t="shared" si="13"/>
        <v>#VALUE!</v>
      </c>
      <c r="H97" s="1" t="e">
        <f t="shared" si="14"/>
        <v>#VALUE!</v>
      </c>
      <c r="I97" s="1" t="e">
        <f t="shared" si="15"/>
        <v>#VALUE!</v>
      </c>
      <c r="J97" s="1" t="e">
        <f t="shared" si="16"/>
        <v>#VALUE!</v>
      </c>
      <c r="K97" s="1" t="e">
        <f t="shared" si="17"/>
        <v>#VALUE!</v>
      </c>
    </row>
    <row r="98" spans="4:11" x14ac:dyDescent="0.35">
      <c r="D98" s="1" t="e">
        <f t="shared" si="10"/>
        <v>#VALUE!</v>
      </c>
      <c r="E98" s="1" t="e">
        <f t="shared" si="11"/>
        <v>#VALUE!</v>
      </c>
      <c r="F98" s="1" t="e">
        <f t="shared" si="12"/>
        <v>#VALUE!</v>
      </c>
      <c r="G98" s="1" t="e">
        <f t="shared" si="13"/>
        <v>#VALUE!</v>
      </c>
      <c r="H98" s="1" t="e">
        <f t="shared" si="14"/>
        <v>#VALUE!</v>
      </c>
      <c r="I98" s="1" t="e">
        <f t="shared" si="15"/>
        <v>#VALUE!</v>
      </c>
      <c r="J98" s="1" t="e">
        <f t="shared" si="16"/>
        <v>#VALUE!</v>
      </c>
      <c r="K98" s="1" t="e">
        <f t="shared" si="17"/>
        <v>#VALUE!</v>
      </c>
    </row>
    <row r="99" spans="4:11" x14ac:dyDescent="0.35">
      <c r="D99" s="1" t="e">
        <f>IF(K98&gt;$B$11,IF(J98&lt;&gt;0,D98+1,""),"")</f>
        <v>#VALUE!</v>
      </c>
      <c r="E99" s="1" t="e">
        <f>IF(K98&gt;$B$11,IF(J98&lt;&gt;0,IF(F98*J98&lt;0,E98,I98),""),"")</f>
        <v>#VALUE!</v>
      </c>
      <c r="F99" s="1" t="e">
        <f>IF(K98&gt;$B$11,IF(J98&lt;&gt;0,-(3/4)*E99-(71/3)-E99^3*EXP(0.3*E99),""),"")</f>
        <v>#VALUE!</v>
      </c>
      <c r="G99" s="1" t="e">
        <f>IF(K98&gt;$B$11,IF(J98&lt;&gt;0,IF(H98*J98&lt;0,G98,I98),""),"")</f>
        <v>#VALUE!</v>
      </c>
      <c r="H99" s="1" t="e">
        <f>IF(K98&gt;$B$11,IF(J98&lt;&gt;0,-(3/4)*G99-(71/3)-G99^3*EXP(0.3*G99),""),"")</f>
        <v>#VALUE!</v>
      </c>
      <c r="I99" s="1" t="e">
        <f>IF(K98&gt;$B$11,IF(J98&lt;&gt;0,E99-((F99*(G99-E99))/(H99-F99)),""),"")</f>
        <v>#VALUE!</v>
      </c>
      <c r="J99" s="1" t="e">
        <f>IF(K98&gt;$B$11,IF(J98&lt;&gt;0,-(3/4)*I99-(71/3)-I99^3*EXP(0.3*I99),""),"")</f>
        <v>#VALUE!</v>
      </c>
      <c r="K99" s="1" t="e">
        <f>IF(K98&gt;$B$11,IF(J98&lt;&gt;0,100*ABS((I99-I98)/I99),""),"")</f>
        <v>#VALUE!</v>
      </c>
    </row>
    <row r="100" spans="4:11" x14ac:dyDescent="0.35">
      <c r="D100" s="1" t="e">
        <f t="shared" ref="D100:D119" si="18">IF(K99&gt;$B$11,IF(J99&lt;&gt;0,D99+1,""),"")</f>
        <v>#VALUE!</v>
      </c>
      <c r="E100" s="1" t="e">
        <f t="shared" ref="E100:E119" si="19">IF(K99&gt;$B$11,IF(J99&lt;&gt;0,IF(F99*J99&lt;0,E99,I99),""),"")</f>
        <v>#VALUE!</v>
      </c>
      <c r="F100" s="1" t="e">
        <f t="shared" ref="F100:F119" si="20">IF(K99&gt;$B$11,IF(J99&lt;&gt;0,-(3/4)*E100-(71/3)-E100^3*EXP(0.3*E100),""),"")</f>
        <v>#VALUE!</v>
      </c>
      <c r="G100" s="1" t="e">
        <f t="shared" ref="G100:G119" si="21">IF(K99&gt;$B$11,IF(J99&lt;&gt;0,IF(H99*J99&lt;0,G99,I99),""),"")</f>
        <v>#VALUE!</v>
      </c>
      <c r="H100" s="1" t="e">
        <f t="shared" ref="H100:H119" si="22">IF(K99&gt;$B$11,IF(J99&lt;&gt;0,-(3/4)*G100-(71/3)-G100^3*EXP(0.3*G100),""),"")</f>
        <v>#VALUE!</v>
      </c>
      <c r="I100" s="1" t="e">
        <f t="shared" ref="I100:I119" si="23">IF(K99&gt;$B$11,IF(J99&lt;&gt;0,E100-((F100*(G100-E100))/(H100-F100)),""),"")</f>
        <v>#VALUE!</v>
      </c>
      <c r="J100" s="1" t="e">
        <f t="shared" ref="J100:J119" si="24">IF(K99&gt;$B$11,IF(J99&lt;&gt;0,-(3/4)*I100-(71/3)-I100^3*EXP(0.3*I100),""),"")</f>
        <v>#VALUE!</v>
      </c>
      <c r="K100" s="1" t="e">
        <f t="shared" ref="K100:K119" si="25">IF(K99&gt;$B$11,IF(J99&lt;&gt;0,100*ABS((I100-I99)/I100),""),"")</f>
        <v>#VALUE!</v>
      </c>
    </row>
    <row r="101" spans="4:11" x14ac:dyDescent="0.35">
      <c r="D101" s="1" t="e">
        <f t="shared" si="18"/>
        <v>#VALUE!</v>
      </c>
      <c r="E101" s="1" t="e">
        <f t="shared" si="19"/>
        <v>#VALUE!</v>
      </c>
      <c r="F101" s="1" t="e">
        <f t="shared" si="20"/>
        <v>#VALUE!</v>
      </c>
      <c r="G101" s="1" t="e">
        <f t="shared" si="21"/>
        <v>#VALUE!</v>
      </c>
      <c r="H101" s="1" t="e">
        <f t="shared" si="22"/>
        <v>#VALUE!</v>
      </c>
      <c r="I101" s="1" t="e">
        <f t="shared" si="23"/>
        <v>#VALUE!</v>
      </c>
      <c r="J101" s="1" t="e">
        <f t="shared" si="24"/>
        <v>#VALUE!</v>
      </c>
      <c r="K101" s="1" t="e">
        <f t="shared" si="25"/>
        <v>#VALUE!</v>
      </c>
    </row>
    <row r="102" spans="4:11" x14ac:dyDescent="0.35">
      <c r="D102" s="1" t="e">
        <f t="shared" si="18"/>
        <v>#VALUE!</v>
      </c>
      <c r="E102" s="1" t="e">
        <f t="shared" si="19"/>
        <v>#VALUE!</v>
      </c>
      <c r="F102" s="1" t="e">
        <f t="shared" si="20"/>
        <v>#VALUE!</v>
      </c>
      <c r="G102" s="1" t="e">
        <f t="shared" si="21"/>
        <v>#VALUE!</v>
      </c>
      <c r="H102" s="1" t="e">
        <f t="shared" si="22"/>
        <v>#VALUE!</v>
      </c>
      <c r="I102" s="1" t="e">
        <f t="shared" si="23"/>
        <v>#VALUE!</v>
      </c>
      <c r="J102" s="1" t="e">
        <f t="shared" si="24"/>
        <v>#VALUE!</v>
      </c>
      <c r="K102" s="1" t="e">
        <f t="shared" si="25"/>
        <v>#VALUE!</v>
      </c>
    </row>
    <row r="103" spans="4:11" x14ac:dyDescent="0.35">
      <c r="D103" s="1" t="e">
        <f t="shared" si="18"/>
        <v>#VALUE!</v>
      </c>
      <c r="E103" s="1" t="e">
        <f t="shared" si="19"/>
        <v>#VALUE!</v>
      </c>
      <c r="F103" s="1" t="e">
        <f t="shared" si="20"/>
        <v>#VALUE!</v>
      </c>
      <c r="G103" s="1" t="e">
        <f t="shared" si="21"/>
        <v>#VALUE!</v>
      </c>
      <c r="H103" s="1" t="e">
        <f t="shared" si="22"/>
        <v>#VALUE!</v>
      </c>
      <c r="I103" s="1" t="e">
        <f t="shared" si="23"/>
        <v>#VALUE!</v>
      </c>
      <c r="J103" s="1" t="e">
        <f t="shared" si="24"/>
        <v>#VALUE!</v>
      </c>
      <c r="K103" s="1" t="e">
        <f t="shared" si="25"/>
        <v>#VALUE!</v>
      </c>
    </row>
    <row r="104" spans="4:11" x14ac:dyDescent="0.35">
      <c r="D104" s="1" t="e">
        <f t="shared" si="18"/>
        <v>#VALUE!</v>
      </c>
      <c r="E104" s="1" t="e">
        <f t="shared" si="19"/>
        <v>#VALUE!</v>
      </c>
      <c r="F104" s="1" t="e">
        <f t="shared" si="20"/>
        <v>#VALUE!</v>
      </c>
      <c r="G104" s="1" t="e">
        <f t="shared" si="21"/>
        <v>#VALUE!</v>
      </c>
      <c r="H104" s="1" t="e">
        <f t="shared" si="22"/>
        <v>#VALUE!</v>
      </c>
      <c r="I104" s="1" t="e">
        <f t="shared" si="23"/>
        <v>#VALUE!</v>
      </c>
      <c r="J104" s="1" t="e">
        <f t="shared" si="24"/>
        <v>#VALUE!</v>
      </c>
      <c r="K104" s="1" t="e">
        <f t="shared" si="25"/>
        <v>#VALUE!</v>
      </c>
    </row>
    <row r="105" spans="4:11" x14ac:dyDescent="0.35">
      <c r="D105" s="1" t="e">
        <f t="shared" si="18"/>
        <v>#VALUE!</v>
      </c>
      <c r="E105" s="1" t="e">
        <f t="shared" si="19"/>
        <v>#VALUE!</v>
      </c>
      <c r="F105" s="1" t="e">
        <f t="shared" si="20"/>
        <v>#VALUE!</v>
      </c>
      <c r="G105" s="1" t="e">
        <f t="shared" si="21"/>
        <v>#VALUE!</v>
      </c>
      <c r="H105" s="1" t="e">
        <f t="shared" si="22"/>
        <v>#VALUE!</v>
      </c>
      <c r="I105" s="1" t="e">
        <f t="shared" si="23"/>
        <v>#VALUE!</v>
      </c>
      <c r="J105" s="1" t="e">
        <f t="shared" si="24"/>
        <v>#VALUE!</v>
      </c>
      <c r="K105" s="1" t="e">
        <f t="shared" si="25"/>
        <v>#VALUE!</v>
      </c>
    </row>
    <row r="106" spans="4:11" x14ac:dyDescent="0.35">
      <c r="D106" s="1" t="e">
        <f t="shared" si="18"/>
        <v>#VALUE!</v>
      </c>
      <c r="E106" s="1" t="e">
        <f t="shared" si="19"/>
        <v>#VALUE!</v>
      </c>
      <c r="F106" s="1" t="e">
        <f t="shared" si="20"/>
        <v>#VALUE!</v>
      </c>
      <c r="G106" s="1" t="e">
        <f t="shared" si="21"/>
        <v>#VALUE!</v>
      </c>
      <c r="H106" s="1" t="e">
        <f t="shared" si="22"/>
        <v>#VALUE!</v>
      </c>
      <c r="I106" s="1" t="e">
        <f t="shared" si="23"/>
        <v>#VALUE!</v>
      </c>
      <c r="J106" s="1" t="e">
        <f t="shared" si="24"/>
        <v>#VALUE!</v>
      </c>
      <c r="K106" s="1" t="e">
        <f t="shared" si="25"/>
        <v>#VALUE!</v>
      </c>
    </row>
    <row r="107" spans="4:11" x14ac:dyDescent="0.35">
      <c r="D107" s="1" t="e">
        <f t="shared" si="18"/>
        <v>#VALUE!</v>
      </c>
      <c r="E107" s="1" t="e">
        <f t="shared" si="19"/>
        <v>#VALUE!</v>
      </c>
      <c r="F107" s="1" t="e">
        <f t="shared" si="20"/>
        <v>#VALUE!</v>
      </c>
      <c r="G107" s="1" t="e">
        <f t="shared" si="21"/>
        <v>#VALUE!</v>
      </c>
      <c r="H107" s="1" t="e">
        <f t="shared" si="22"/>
        <v>#VALUE!</v>
      </c>
      <c r="I107" s="1" t="e">
        <f t="shared" si="23"/>
        <v>#VALUE!</v>
      </c>
      <c r="J107" s="1" t="e">
        <f t="shared" si="24"/>
        <v>#VALUE!</v>
      </c>
      <c r="K107" s="1" t="e">
        <f t="shared" si="25"/>
        <v>#VALUE!</v>
      </c>
    </row>
    <row r="108" spans="4:11" x14ac:dyDescent="0.35">
      <c r="D108" s="1" t="e">
        <f t="shared" si="18"/>
        <v>#VALUE!</v>
      </c>
      <c r="E108" s="1" t="e">
        <f t="shared" si="19"/>
        <v>#VALUE!</v>
      </c>
      <c r="F108" s="1" t="e">
        <f t="shared" si="20"/>
        <v>#VALUE!</v>
      </c>
      <c r="G108" s="1" t="e">
        <f t="shared" si="21"/>
        <v>#VALUE!</v>
      </c>
      <c r="H108" s="1" t="e">
        <f t="shared" si="22"/>
        <v>#VALUE!</v>
      </c>
      <c r="I108" s="1" t="e">
        <f t="shared" si="23"/>
        <v>#VALUE!</v>
      </c>
      <c r="J108" s="1" t="e">
        <f t="shared" si="24"/>
        <v>#VALUE!</v>
      </c>
      <c r="K108" s="1" t="e">
        <f t="shared" si="25"/>
        <v>#VALUE!</v>
      </c>
    </row>
    <row r="109" spans="4:11" x14ac:dyDescent="0.35">
      <c r="D109" s="1" t="e">
        <f t="shared" si="18"/>
        <v>#VALUE!</v>
      </c>
      <c r="E109" s="1" t="e">
        <f t="shared" si="19"/>
        <v>#VALUE!</v>
      </c>
      <c r="F109" s="1" t="e">
        <f t="shared" si="20"/>
        <v>#VALUE!</v>
      </c>
      <c r="G109" s="1" t="e">
        <f t="shared" si="21"/>
        <v>#VALUE!</v>
      </c>
      <c r="H109" s="1" t="e">
        <f t="shared" si="22"/>
        <v>#VALUE!</v>
      </c>
      <c r="I109" s="1" t="e">
        <f t="shared" si="23"/>
        <v>#VALUE!</v>
      </c>
      <c r="J109" s="1" t="e">
        <f t="shared" si="24"/>
        <v>#VALUE!</v>
      </c>
      <c r="K109" s="1" t="e">
        <f t="shared" si="25"/>
        <v>#VALUE!</v>
      </c>
    </row>
    <row r="110" spans="4:11" x14ac:dyDescent="0.35">
      <c r="D110" s="1" t="e">
        <f t="shared" si="18"/>
        <v>#VALUE!</v>
      </c>
      <c r="E110" s="1" t="e">
        <f t="shared" si="19"/>
        <v>#VALUE!</v>
      </c>
      <c r="F110" s="1" t="e">
        <f t="shared" si="20"/>
        <v>#VALUE!</v>
      </c>
      <c r="G110" s="1" t="e">
        <f t="shared" si="21"/>
        <v>#VALUE!</v>
      </c>
      <c r="H110" s="1" t="e">
        <f t="shared" si="22"/>
        <v>#VALUE!</v>
      </c>
      <c r="I110" s="1" t="e">
        <f t="shared" si="23"/>
        <v>#VALUE!</v>
      </c>
      <c r="J110" s="1" t="e">
        <f t="shared" si="24"/>
        <v>#VALUE!</v>
      </c>
      <c r="K110" s="1" t="e">
        <f t="shared" si="25"/>
        <v>#VALUE!</v>
      </c>
    </row>
    <row r="111" spans="4:11" x14ac:dyDescent="0.35">
      <c r="D111" s="1" t="e">
        <f t="shared" si="18"/>
        <v>#VALUE!</v>
      </c>
      <c r="E111" s="1" t="e">
        <f t="shared" si="19"/>
        <v>#VALUE!</v>
      </c>
      <c r="F111" s="1" t="e">
        <f t="shared" si="20"/>
        <v>#VALUE!</v>
      </c>
      <c r="G111" s="1" t="e">
        <f t="shared" si="21"/>
        <v>#VALUE!</v>
      </c>
      <c r="H111" s="1" t="e">
        <f t="shared" si="22"/>
        <v>#VALUE!</v>
      </c>
      <c r="I111" s="1" t="e">
        <f t="shared" si="23"/>
        <v>#VALUE!</v>
      </c>
      <c r="J111" s="1" t="e">
        <f t="shared" si="24"/>
        <v>#VALUE!</v>
      </c>
      <c r="K111" s="1" t="e">
        <f t="shared" si="25"/>
        <v>#VALUE!</v>
      </c>
    </row>
    <row r="112" spans="4:11" x14ac:dyDescent="0.35">
      <c r="D112" s="1" t="e">
        <f t="shared" si="18"/>
        <v>#VALUE!</v>
      </c>
      <c r="E112" s="1" t="e">
        <f t="shared" si="19"/>
        <v>#VALUE!</v>
      </c>
      <c r="F112" s="1" t="e">
        <f t="shared" si="20"/>
        <v>#VALUE!</v>
      </c>
      <c r="G112" s="1" t="e">
        <f t="shared" si="21"/>
        <v>#VALUE!</v>
      </c>
      <c r="H112" s="1" t="e">
        <f t="shared" si="22"/>
        <v>#VALUE!</v>
      </c>
      <c r="I112" s="1" t="e">
        <f t="shared" si="23"/>
        <v>#VALUE!</v>
      </c>
      <c r="J112" s="1" t="e">
        <f t="shared" si="24"/>
        <v>#VALUE!</v>
      </c>
      <c r="K112" s="1" t="e">
        <f t="shared" si="25"/>
        <v>#VALUE!</v>
      </c>
    </row>
    <row r="113" spans="4:11" x14ac:dyDescent="0.35">
      <c r="D113" s="1" t="e">
        <f t="shared" si="18"/>
        <v>#VALUE!</v>
      </c>
      <c r="E113" s="1" t="e">
        <f t="shared" si="19"/>
        <v>#VALUE!</v>
      </c>
      <c r="F113" s="1" t="e">
        <f t="shared" si="20"/>
        <v>#VALUE!</v>
      </c>
      <c r="G113" s="1" t="e">
        <f t="shared" si="21"/>
        <v>#VALUE!</v>
      </c>
      <c r="H113" s="1" t="e">
        <f t="shared" si="22"/>
        <v>#VALUE!</v>
      </c>
      <c r="I113" s="1" t="e">
        <f t="shared" si="23"/>
        <v>#VALUE!</v>
      </c>
      <c r="J113" s="1" t="e">
        <f t="shared" si="24"/>
        <v>#VALUE!</v>
      </c>
      <c r="K113" s="1" t="e">
        <f t="shared" si="25"/>
        <v>#VALUE!</v>
      </c>
    </row>
    <row r="114" spans="4:11" x14ac:dyDescent="0.35">
      <c r="D114" s="1" t="e">
        <f t="shared" si="18"/>
        <v>#VALUE!</v>
      </c>
      <c r="E114" s="1" t="e">
        <f t="shared" si="19"/>
        <v>#VALUE!</v>
      </c>
      <c r="F114" s="1" t="e">
        <f t="shared" si="20"/>
        <v>#VALUE!</v>
      </c>
      <c r="G114" s="1" t="e">
        <f t="shared" si="21"/>
        <v>#VALUE!</v>
      </c>
      <c r="H114" s="1" t="e">
        <f t="shared" si="22"/>
        <v>#VALUE!</v>
      </c>
      <c r="I114" s="1" t="e">
        <f t="shared" si="23"/>
        <v>#VALUE!</v>
      </c>
      <c r="J114" s="1" t="e">
        <f t="shared" si="24"/>
        <v>#VALUE!</v>
      </c>
      <c r="K114" s="1" t="e">
        <f t="shared" si="25"/>
        <v>#VALUE!</v>
      </c>
    </row>
    <row r="115" spans="4:11" x14ac:dyDescent="0.35">
      <c r="D115" s="1" t="e">
        <f t="shared" si="18"/>
        <v>#VALUE!</v>
      </c>
      <c r="E115" s="1" t="e">
        <f t="shared" si="19"/>
        <v>#VALUE!</v>
      </c>
      <c r="F115" s="1" t="e">
        <f t="shared" si="20"/>
        <v>#VALUE!</v>
      </c>
      <c r="G115" s="1" t="e">
        <f t="shared" si="21"/>
        <v>#VALUE!</v>
      </c>
      <c r="H115" s="1" t="e">
        <f t="shared" si="22"/>
        <v>#VALUE!</v>
      </c>
      <c r="I115" s="1" t="e">
        <f t="shared" si="23"/>
        <v>#VALUE!</v>
      </c>
      <c r="J115" s="1" t="e">
        <f t="shared" si="24"/>
        <v>#VALUE!</v>
      </c>
      <c r="K115" s="1" t="e">
        <f t="shared" si="25"/>
        <v>#VALUE!</v>
      </c>
    </row>
    <row r="116" spans="4:11" x14ac:dyDescent="0.35">
      <c r="D116" s="1" t="e">
        <f t="shared" si="18"/>
        <v>#VALUE!</v>
      </c>
      <c r="E116" s="1" t="e">
        <f t="shared" si="19"/>
        <v>#VALUE!</v>
      </c>
      <c r="F116" s="1" t="e">
        <f t="shared" si="20"/>
        <v>#VALUE!</v>
      </c>
      <c r="G116" s="1" t="e">
        <f t="shared" si="21"/>
        <v>#VALUE!</v>
      </c>
      <c r="H116" s="1" t="e">
        <f t="shared" si="22"/>
        <v>#VALUE!</v>
      </c>
      <c r="I116" s="1" t="e">
        <f t="shared" si="23"/>
        <v>#VALUE!</v>
      </c>
      <c r="J116" s="1" t="e">
        <f t="shared" si="24"/>
        <v>#VALUE!</v>
      </c>
      <c r="K116" s="1" t="e">
        <f t="shared" si="25"/>
        <v>#VALUE!</v>
      </c>
    </row>
    <row r="117" spans="4:11" x14ac:dyDescent="0.35">
      <c r="D117" s="1" t="e">
        <f t="shared" si="18"/>
        <v>#VALUE!</v>
      </c>
      <c r="E117" s="1" t="e">
        <f t="shared" si="19"/>
        <v>#VALUE!</v>
      </c>
      <c r="F117" s="1" t="e">
        <f t="shared" si="20"/>
        <v>#VALUE!</v>
      </c>
      <c r="G117" s="1" t="e">
        <f t="shared" si="21"/>
        <v>#VALUE!</v>
      </c>
      <c r="H117" s="1" t="e">
        <f t="shared" si="22"/>
        <v>#VALUE!</v>
      </c>
      <c r="I117" s="1" t="e">
        <f t="shared" si="23"/>
        <v>#VALUE!</v>
      </c>
      <c r="J117" s="1" t="e">
        <f t="shared" si="24"/>
        <v>#VALUE!</v>
      </c>
      <c r="K117" s="1" t="e">
        <f t="shared" si="25"/>
        <v>#VALUE!</v>
      </c>
    </row>
    <row r="118" spans="4:11" x14ac:dyDescent="0.35">
      <c r="D118" s="1" t="e">
        <f t="shared" si="18"/>
        <v>#VALUE!</v>
      </c>
      <c r="E118" s="1" t="e">
        <f t="shared" si="19"/>
        <v>#VALUE!</v>
      </c>
      <c r="F118" s="1" t="e">
        <f t="shared" si="20"/>
        <v>#VALUE!</v>
      </c>
      <c r="G118" s="1" t="e">
        <f t="shared" si="21"/>
        <v>#VALUE!</v>
      </c>
      <c r="H118" s="1" t="e">
        <f t="shared" si="22"/>
        <v>#VALUE!</v>
      </c>
      <c r="I118" s="1" t="e">
        <f t="shared" si="23"/>
        <v>#VALUE!</v>
      </c>
      <c r="J118" s="1" t="e">
        <f t="shared" si="24"/>
        <v>#VALUE!</v>
      </c>
      <c r="K118" s="1" t="e">
        <f t="shared" si="25"/>
        <v>#VALUE!</v>
      </c>
    </row>
    <row r="119" spans="4:11" x14ac:dyDescent="0.35">
      <c r="D119" s="1" t="e">
        <f t="shared" si="18"/>
        <v>#VALUE!</v>
      </c>
      <c r="E119" s="1" t="e">
        <f t="shared" si="19"/>
        <v>#VALUE!</v>
      </c>
      <c r="F119" s="1" t="e">
        <f t="shared" si="20"/>
        <v>#VALUE!</v>
      </c>
      <c r="G119" s="1" t="e">
        <f t="shared" si="21"/>
        <v>#VALUE!</v>
      </c>
      <c r="H119" s="1" t="e">
        <f t="shared" si="22"/>
        <v>#VALUE!</v>
      </c>
      <c r="I119" s="1" t="e">
        <f t="shared" si="23"/>
        <v>#VALUE!</v>
      </c>
      <c r="J119" s="1" t="e">
        <f t="shared" si="24"/>
        <v>#VALUE!</v>
      </c>
      <c r="K119" s="1" t="e">
        <f t="shared" si="25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Bisescción</vt:lpstr>
      <vt:lpstr>ReglaFalsa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2024-09-10T22:50:45Z</dcterms:created>
  <dcterms:modified xsi:type="dcterms:W3CDTF">2024-09-15T18:52:57Z</dcterms:modified>
</cp:coreProperties>
</file>