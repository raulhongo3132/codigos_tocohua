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ú\Documents\Tocohua\eXCELES\"/>
    </mc:Choice>
  </mc:AlternateContent>
  <xr:revisionPtr revIDLastSave="0" documentId="13_ncr:1_{6227E29E-35EF-4B79-954C-6ADE91383BBC}" xr6:coauthVersionLast="47" xr6:coauthVersionMax="47" xr10:uidLastSave="{00000000-0000-0000-0000-000000000000}"/>
  <bookViews>
    <workbookView xWindow="-110" yWindow="-110" windowWidth="19420" windowHeight="11020" firstSheet="1" activeTab="2" xr2:uid="{7A7C1BA5-28CB-4DC2-B68C-99C77433F9CC}"/>
  </bookViews>
  <sheets>
    <sheet name="Hoja1" sheetId="1" r:id="rId1"/>
    <sheet name="2x2" sheetId="2" r:id="rId2"/>
    <sheet name="3x3" sheetId="3" r:id="rId3"/>
    <sheet name="3x3 (2)" sheetId="4" r:id="rId4"/>
    <sheet name="4x4" sheetId="5" r:id="rId5"/>
    <sheet name="4x4(2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4" l="1"/>
  <c r="L53" i="4"/>
  <c r="L56" i="4" s="1"/>
  <c r="I53" i="4"/>
  <c r="I56" i="4" s="1"/>
  <c r="J53" i="4"/>
  <c r="J56" i="4" s="1"/>
  <c r="K53" i="4"/>
  <c r="K56" i="4" s="1"/>
  <c r="H53" i="4"/>
  <c r="H56" i="4" s="1"/>
  <c r="C52" i="4"/>
  <c r="D52" i="4"/>
  <c r="D58" i="4" s="1"/>
  <c r="E52" i="4"/>
  <c r="E58" i="4" s="1"/>
  <c r="C53" i="4"/>
  <c r="C59" i="4" s="1"/>
  <c r="D53" i="4"/>
  <c r="D59" i="4" s="1"/>
  <c r="E53" i="4"/>
  <c r="E59" i="4" s="1"/>
  <c r="C54" i="4"/>
  <c r="D54" i="4"/>
  <c r="D60" i="4" s="1"/>
  <c r="E54" i="4"/>
  <c r="E60" i="4" s="1"/>
  <c r="E10" i="2"/>
  <c r="V135" i="6"/>
  <c r="R137" i="6"/>
  <c r="S137" i="6"/>
  <c r="T137" i="6"/>
  <c r="M137" i="6"/>
  <c r="N137" i="6"/>
  <c r="O137" i="6"/>
  <c r="N136" i="6"/>
  <c r="O136" i="6"/>
  <c r="M136" i="6"/>
  <c r="H135" i="6"/>
  <c r="I135" i="6"/>
  <c r="J135" i="6"/>
  <c r="H136" i="6"/>
  <c r="I136" i="6"/>
  <c r="J136" i="6"/>
  <c r="H137" i="6"/>
  <c r="I137" i="6"/>
  <c r="J137" i="6"/>
  <c r="G136" i="6"/>
  <c r="G137" i="6"/>
  <c r="G135" i="6"/>
  <c r="L137" i="6"/>
  <c r="Q137" i="6" s="1"/>
  <c r="L136" i="6"/>
  <c r="Q136" i="6" s="1"/>
  <c r="O135" i="6"/>
  <c r="T135" i="6" s="1"/>
  <c r="N135" i="6"/>
  <c r="S135" i="6" s="1"/>
  <c r="M135" i="6"/>
  <c r="R135" i="6" s="1"/>
  <c r="L135" i="6"/>
  <c r="Q135" i="6" s="1"/>
  <c r="J134" i="6"/>
  <c r="O134" i="6" s="1"/>
  <c r="T134" i="6" s="1"/>
  <c r="I134" i="6"/>
  <c r="N134" i="6" s="1"/>
  <c r="S134" i="6" s="1"/>
  <c r="H134" i="6"/>
  <c r="M134" i="6" s="1"/>
  <c r="R134" i="6" s="1"/>
  <c r="G134" i="6"/>
  <c r="L134" i="6" s="1"/>
  <c r="Q134" i="6" s="1"/>
  <c r="B126" i="6"/>
  <c r="B125" i="6"/>
  <c r="B124" i="6"/>
  <c r="B123" i="6"/>
  <c r="B115" i="6"/>
  <c r="B114" i="6"/>
  <c r="B113" i="6"/>
  <c r="B112" i="6"/>
  <c r="B104" i="6"/>
  <c r="B103" i="6"/>
  <c r="B102" i="6"/>
  <c r="B101" i="6"/>
  <c r="B93" i="6"/>
  <c r="B92" i="6"/>
  <c r="B91" i="6"/>
  <c r="B90" i="6"/>
  <c r="N109" i="6"/>
  <c r="O109" i="6"/>
  <c r="N110" i="6"/>
  <c r="O110" i="6"/>
  <c r="M110" i="6"/>
  <c r="M109" i="6"/>
  <c r="R109" i="6" s="1"/>
  <c r="H108" i="6"/>
  <c r="I108" i="6"/>
  <c r="J108" i="6"/>
  <c r="H109" i="6"/>
  <c r="I109" i="6"/>
  <c r="J109" i="6"/>
  <c r="H110" i="6"/>
  <c r="I110" i="6"/>
  <c r="J110" i="6"/>
  <c r="G110" i="6"/>
  <c r="L110" i="6" s="1"/>
  <c r="Q110" i="6" s="1"/>
  <c r="G109" i="6"/>
  <c r="G108" i="6"/>
  <c r="M99" i="6"/>
  <c r="N98" i="6"/>
  <c r="J99" i="6"/>
  <c r="I99" i="6"/>
  <c r="H99" i="6"/>
  <c r="J98" i="6"/>
  <c r="O98" i="6" s="1"/>
  <c r="I98" i="6"/>
  <c r="H98" i="6"/>
  <c r="J97" i="6"/>
  <c r="I97" i="6"/>
  <c r="H97" i="6"/>
  <c r="N99" i="6"/>
  <c r="O99" i="6"/>
  <c r="O97" i="6"/>
  <c r="T97" i="6" s="1"/>
  <c r="N97" i="6"/>
  <c r="S97" i="6" s="1"/>
  <c r="M98" i="6"/>
  <c r="M97" i="6"/>
  <c r="R97" i="6" s="1"/>
  <c r="G99" i="6"/>
  <c r="G98" i="6"/>
  <c r="G97" i="6"/>
  <c r="T88" i="6"/>
  <c r="S88" i="6"/>
  <c r="N88" i="6"/>
  <c r="O88" i="6"/>
  <c r="M88" i="6"/>
  <c r="R88" i="6" s="1"/>
  <c r="N87" i="6"/>
  <c r="O87" i="6"/>
  <c r="T87" i="6" s="1"/>
  <c r="M87" i="6"/>
  <c r="H88" i="6"/>
  <c r="I88" i="6"/>
  <c r="J88" i="6"/>
  <c r="G88" i="6"/>
  <c r="L85" i="6"/>
  <c r="M85" i="6"/>
  <c r="N85" i="6"/>
  <c r="O85" i="6"/>
  <c r="L86" i="6"/>
  <c r="M86" i="6"/>
  <c r="R86" i="6" s="1"/>
  <c r="N86" i="6"/>
  <c r="S86" i="6" s="1"/>
  <c r="O86" i="6"/>
  <c r="T86" i="6" s="1"/>
  <c r="L87" i="6"/>
  <c r="Q87" i="6" s="1"/>
  <c r="R87" i="6"/>
  <c r="S87" i="6"/>
  <c r="L88" i="6"/>
  <c r="Q88" i="6" s="1"/>
  <c r="H87" i="6"/>
  <c r="I87" i="6"/>
  <c r="J87" i="6"/>
  <c r="G87" i="6"/>
  <c r="H86" i="6"/>
  <c r="I86" i="6"/>
  <c r="J86" i="6"/>
  <c r="G86" i="6"/>
  <c r="B132" i="6"/>
  <c r="J121" i="6"/>
  <c r="I121" i="6"/>
  <c r="N121" i="6" s="1"/>
  <c r="H121" i="6"/>
  <c r="M121" i="6" s="1"/>
  <c r="R121" i="6" s="1"/>
  <c r="G121" i="6"/>
  <c r="L121" i="6" s="1"/>
  <c r="Q121" i="6" s="1"/>
  <c r="J120" i="6"/>
  <c r="I120" i="6"/>
  <c r="N120" i="6" s="1"/>
  <c r="S120" i="6" s="1"/>
  <c r="H120" i="6"/>
  <c r="M120" i="6" s="1"/>
  <c r="R120" i="6" s="1"/>
  <c r="G120" i="6"/>
  <c r="L120" i="6" s="1"/>
  <c r="Q120" i="6" s="1"/>
  <c r="N119" i="6"/>
  <c r="S119" i="6" s="1"/>
  <c r="M119" i="6"/>
  <c r="R119" i="6" s="1"/>
  <c r="J119" i="6"/>
  <c r="O119" i="6" s="1"/>
  <c r="T119" i="6" s="1"/>
  <c r="I119" i="6"/>
  <c r="H119" i="6"/>
  <c r="G119" i="6"/>
  <c r="L119" i="6" s="1"/>
  <c r="Q119" i="6" s="1"/>
  <c r="L118" i="6"/>
  <c r="Q118" i="6" s="1"/>
  <c r="J118" i="6"/>
  <c r="O118" i="6" s="1"/>
  <c r="T118" i="6" s="1"/>
  <c r="I118" i="6"/>
  <c r="N118" i="6" s="1"/>
  <c r="S118" i="6" s="1"/>
  <c r="H118" i="6"/>
  <c r="M118" i="6" s="1"/>
  <c r="R118" i="6" s="1"/>
  <c r="G118" i="6"/>
  <c r="R110" i="6"/>
  <c r="L109" i="6"/>
  <c r="Q109" i="6" s="1"/>
  <c r="O108" i="6"/>
  <c r="T108" i="6" s="1"/>
  <c r="N108" i="6"/>
  <c r="S108" i="6" s="1"/>
  <c r="M108" i="6"/>
  <c r="R108" i="6" s="1"/>
  <c r="L108" i="6"/>
  <c r="Q108" i="6" s="1"/>
  <c r="L107" i="6"/>
  <c r="Q107" i="6" s="1"/>
  <c r="J107" i="6"/>
  <c r="O107" i="6" s="1"/>
  <c r="T107" i="6" s="1"/>
  <c r="I107" i="6"/>
  <c r="N107" i="6" s="1"/>
  <c r="S107" i="6" s="1"/>
  <c r="H107" i="6"/>
  <c r="M107" i="6" s="1"/>
  <c r="R107" i="6" s="1"/>
  <c r="G107" i="6"/>
  <c r="L99" i="6"/>
  <c r="Q99" i="6" s="1"/>
  <c r="L98" i="6"/>
  <c r="Q98" i="6" s="1"/>
  <c r="L97" i="6"/>
  <c r="Q97" i="6" s="1"/>
  <c r="L96" i="6"/>
  <c r="Q96" i="6" s="1"/>
  <c r="J96" i="6"/>
  <c r="O96" i="6" s="1"/>
  <c r="T96" i="6" s="1"/>
  <c r="I96" i="6"/>
  <c r="N96" i="6" s="1"/>
  <c r="S96" i="6" s="1"/>
  <c r="H96" i="6"/>
  <c r="M96" i="6" s="1"/>
  <c r="R96" i="6" s="1"/>
  <c r="G96" i="6"/>
  <c r="J85" i="6"/>
  <c r="I85" i="6"/>
  <c r="S85" i="6" s="1"/>
  <c r="H85" i="6"/>
  <c r="R85" i="6" s="1"/>
  <c r="G85" i="6"/>
  <c r="Q85" i="6" s="1"/>
  <c r="V75" i="6"/>
  <c r="T77" i="6"/>
  <c r="S77" i="6"/>
  <c r="R74" i="6"/>
  <c r="S74" i="6"/>
  <c r="T74" i="6"/>
  <c r="R75" i="6"/>
  <c r="S75" i="6"/>
  <c r="T75" i="6"/>
  <c r="R76" i="6"/>
  <c r="S76" i="6"/>
  <c r="T76" i="6"/>
  <c r="R77" i="6"/>
  <c r="Q75" i="6"/>
  <c r="Q76" i="6"/>
  <c r="Q77" i="6"/>
  <c r="Q74" i="6"/>
  <c r="N77" i="6"/>
  <c r="O77" i="6"/>
  <c r="M77" i="6"/>
  <c r="N76" i="6"/>
  <c r="O76" i="6"/>
  <c r="M76" i="6"/>
  <c r="M74" i="6"/>
  <c r="N74" i="6"/>
  <c r="O74" i="6"/>
  <c r="M75" i="6"/>
  <c r="N75" i="6"/>
  <c r="O75" i="6"/>
  <c r="L76" i="6"/>
  <c r="L77" i="6"/>
  <c r="L75" i="6"/>
  <c r="L74" i="6"/>
  <c r="H77" i="6"/>
  <c r="I77" i="6"/>
  <c r="J77" i="6"/>
  <c r="G77" i="6"/>
  <c r="H76" i="6"/>
  <c r="I76" i="6"/>
  <c r="J76" i="6"/>
  <c r="G76" i="6"/>
  <c r="H75" i="6"/>
  <c r="I75" i="6"/>
  <c r="J75" i="6"/>
  <c r="G75" i="6"/>
  <c r="H74" i="6"/>
  <c r="I74" i="6"/>
  <c r="J74" i="6"/>
  <c r="G74" i="6"/>
  <c r="C111" i="5"/>
  <c r="C112" i="5"/>
  <c r="C110" i="5"/>
  <c r="C109" i="5"/>
  <c r="L57" i="3"/>
  <c r="J55" i="3"/>
  <c r="L55" i="3"/>
  <c r="K55" i="3"/>
  <c r="J54" i="3"/>
  <c r="G55" i="3"/>
  <c r="H55" i="3"/>
  <c r="F55" i="3"/>
  <c r="G54" i="3"/>
  <c r="H54" i="3"/>
  <c r="F54" i="3"/>
  <c r="L54" i="3"/>
  <c r="G53" i="3"/>
  <c r="H53" i="3"/>
  <c r="F53" i="3"/>
  <c r="J53" i="3"/>
  <c r="K53" i="3"/>
  <c r="L53" i="3"/>
  <c r="E50" i="3"/>
  <c r="F50" i="3"/>
  <c r="E51" i="3"/>
  <c r="F51" i="3"/>
  <c r="F49" i="3"/>
  <c r="E49" i="3"/>
  <c r="N69" i="6"/>
  <c r="M69" i="6"/>
  <c r="K69" i="6"/>
  <c r="J69" i="6"/>
  <c r="H69" i="6"/>
  <c r="G69" i="6"/>
  <c r="N68" i="6"/>
  <c r="M68" i="6"/>
  <c r="K68" i="6"/>
  <c r="J68" i="6"/>
  <c r="T68" i="6" s="1"/>
  <c r="H68" i="6"/>
  <c r="G68" i="6"/>
  <c r="Q68" i="6" s="1"/>
  <c r="N66" i="6"/>
  <c r="W65" i="6" s="1"/>
  <c r="M66" i="6"/>
  <c r="K66" i="6"/>
  <c r="J66" i="6"/>
  <c r="H66" i="6"/>
  <c r="G66" i="6"/>
  <c r="N65" i="6"/>
  <c r="M65" i="6"/>
  <c r="K65" i="6"/>
  <c r="J65" i="6"/>
  <c r="T65" i="6" s="1"/>
  <c r="H65" i="6"/>
  <c r="G65" i="6"/>
  <c r="Q65" i="6" s="1"/>
  <c r="N63" i="6"/>
  <c r="M63" i="6"/>
  <c r="K63" i="6"/>
  <c r="J63" i="6"/>
  <c r="H63" i="6"/>
  <c r="G63" i="6"/>
  <c r="N62" i="6"/>
  <c r="M62" i="6"/>
  <c r="K62" i="6"/>
  <c r="J62" i="6"/>
  <c r="T62" i="6" s="1"/>
  <c r="H62" i="6"/>
  <c r="G62" i="6"/>
  <c r="Q62" i="6" s="1"/>
  <c r="N59" i="6"/>
  <c r="M59" i="6"/>
  <c r="K59" i="6"/>
  <c r="J59" i="6"/>
  <c r="H59" i="6"/>
  <c r="G59" i="6"/>
  <c r="N58" i="6"/>
  <c r="M58" i="6"/>
  <c r="W58" i="6" s="1"/>
  <c r="K58" i="6"/>
  <c r="J58" i="6"/>
  <c r="T58" i="6" s="1"/>
  <c r="H58" i="6"/>
  <c r="G58" i="6"/>
  <c r="Q58" i="6" s="1"/>
  <c r="N56" i="6"/>
  <c r="W55" i="6" s="1"/>
  <c r="M56" i="6"/>
  <c r="K56" i="6"/>
  <c r="J56" i="6"/>
  <c r="H56" i="6"/>
  <c r="G56" i="6"/>
  <c r="N55" i="6"/>
  <c r="M55" i="6"/>
  <c r="K55" i="6"/>
  <c r="J55" i="6"/>
  <c r="T55" i="6" s="1"/>
  <c r="H55" i="6"/>
  <c r="G55" i="6"/>
  <c r="Q55" i="6" s="1"/>
  <c r="N53" i="6"/>
  <c r="W52" i="6" s="1"/>
  <c r="M53" i="6"/>
  <c r="K53" i="6"/>
  <c r="J53" i="6"/>
  <c r="H53" i="6"/>
  <c r="G53" i="6"/>
  <c r="N52" i="6"/>
  <c r="M52" i="6"/>
  <c r="K52" i="6"/>
  <c r="J52" i="6"/>
  <c r="H52" i="6"/>
  <c r="G52" i="6"/>
  <c r="Q52" i="6" s="1"/>
  <c r="N49" i="6"/>
  <c r="M49" i="6"/>
  <c r="K49" i="6"/>
  <c r="J49" i="6"/>
  <c r="H49" i="6"/>
  <c r="G49" i="6"/>
  <c r="N48" i="6"/>
  <c r="M48" i="6"/>
  <c r="W48" i="6" s="1"/>
  <c r="K48" i="6"/>
  <c r="J48" i="6"/>
  <c r="T48" i="6" s="1"/>
  <c r="H48" i="6"/>
  <c r="G48" i="6"/>
  <c r="N46" i="6"/>
  <c r="M46" i="6"/>
  <c r="K46" i="6"/>
  <c r="J46" i="6"/>
  <c r="H46" i="6"/>
  <c r="G46" i="6"/>
  <c r="N45" i="6"/>
  <c r="M45" i="6"/>
  <c r="W45" i="6" s="1"/>
  <c r="K45" i="6"/>
  <c r="J45" i="6"/>
  <c r="T45" i="6" s="1"/>
  <c r="H45" i="6"/>
  <c r="G45" i="6"/>
  <c r="Q45" i="6" s="1"/>
  <c r="N43" i="6"/>
  <c r="M43" i="6"/>
  <c r="K43" i="6"/>
  <c r="J43" i="6"/>
  <c r="H43" i="6"/>
  <c r="G43" i="6"/>
  <c r="N42" i="6"/>
  <c r="M42" i="6"/>
  <c r="W42" i="6" s="1"/>
  <c r="K42" i="6"/>
  <c r="J42" i="6"/>
  <c r="T42" i="6" s="1"/>
  <c r="H42" i="6"/>
  <c r="G42" i="6"/>
  <c r="Q42" i="6" s="1"/>
  <c r="N39" i="6"/>
  <c r="M39" i="6"/>
  <c r="K39" i="6"/>
  <c r="J39" i="6"/>
  <c r="H39" i="6"/>
  <c r="G39" i="6"/>
  <c r="N38" i="6"/>
  <c r="M38" i="6"/>
  <c r="K38" i="6"/>
  <c r="J38" i="6"/>
  <c r="H38" i="6"/>
  <c r="G38" i="6"/>
  <c r="Q38" i="6" s="1"/>
  <c r="N36" i="6"/>
  <c r="M36" i="6"/>
  <c r="K36" i="6"/>
  <c r="J36" i="6"/>
  <c r="H36" i="6"/>
  <c r="G36" i="6"/>
  <c r="N35" i="6"/>
  <c r="M35" i="6"/>
  <c r="W35" i="6" s="1"/>
  <c r="K35" i="6"/>
  <c r="J35" i="6"/>
  <c r="H35" i="6"/>
  <c r="G35" i="6"/>
  <c r="N33" i="6"/>
  <c r="M33" i="6"/>
  <c r="K33" i="6"/>
  <c r="J33" i="6"/>
  <c r="H33" i="6"/>
  <c r="G33" i="6"/>
  <c r="N32" i="6"/>
  <c r="M32" i="6"/>
  <c r="W32" i="6" s="1"/>
  <c r="K32" i="6"/>
  <c r="J32" i="6"/>
  <c r="T32" i="6" s="1"/>
  <c r="H32" i="6"/>
  <c r="G32" i="6"/>
  <c r="Q32" i="6" s="1"/>
  <c r="Q11" i="6"/>
  <c r="AE22" i="6"/>
  <c r="W7" i="6"/>
  <c r="W6" i="6"/>
  <c r="S8" i="6"/>
  <c r="S7" i="6"/>
  <c r="S6" i="6"/>
  <c r="R8" i="6"/>
  <c r="R7" i="6"/>
  <c r="R6" i="6"/>
  <c r="Q6" i="6"/>
  <c r="Q25" i="6"/>
  <c r="T25" i="6"/>
  <c r="W25" i="6"/>
  <c r="Q28" i="6"/>
  <c r="T28" i="6"/>
  <c r="W28" i="6"/>
  <c r="T22" i="6"/>
  <c r="W22" i="6"/>
  <c r="N29" i="6"/>
  <c r="M29" i="6"/>
  <c r="K29" i="6"/>
  <c r="J29" i="6"/>
  <c r="H29" i="6"/>
  <c r="G29" i="6"/>
  <c r="N28" i="6"/>
  <c r="M28" i="6"/>
  <c r="K28" i="6"/>
  <c r="J28" i="6"/>
  <c r="H28" i="6"/>
  <c r="G28" i="6"/>
  <c r="N26" i="6"/>
  <c r="M26" i="6"/>
  <c r="K26" i="6"/>
  <c r="J26" i="6"/>
  <c r="H26" i="6"/>
  <c r="G26" i="6"/>
  <c r="N25" i="6"/>
  <c r="M25" i="6"/>
  <c r="K25" i="6"/>
  <c r="J25" i="6"/>
  <c r="H25" i="6"/>
  <c r="G25" i="6"/>
  <c r="N23" i="6"/>
  <c r="M23" i="6"/>
  <c r="K23" i="6"/>
  <c r="J23" i="6"/>
  <c r="H23" i="6"/>
  <c r="G23" i="6"/>
  <c r="N22" i="6"/>
  <c r="M22" i="6"/>
  <c r="K22" i="6"/>
  <c r="J22" i="6"/>
  <c r="H22" i="6"/>
  <c r="G22" i="6"/>
  <c r="N10" i="6"/>
  <c r="H7" i="6"/>
  <c r="B14" i="6"/>
  <c r="B13" i="6"/>
  <c r="B12" i="6"/>
  <c r="B11" i="6"/>
  <c r="E9" i="6"/>
  <c r="N13" i="6" s="1"/>
  <c r="D9" i="6"/>
  <c r="K13" i="6" s="1"/>
  <c r="C9" i="6"/>
  <c r="H13" i="6" s="1"/>
  <c r="B9" i="6"/>
  <c r="J13" i="6" s="1"/>
  <c r="E8" i="6"/>
  <c r="D8" i="6"/>
  <c r="K10" i="6" s="1"/>
  <c r="C8" i="6"/>
  <c r="H10" i="6" s="1"/>
  <c r="B8" i="6"/>
  <c r="M10" i="6" s="1"/>
  <c r="E7" i="6"/>
  <c r="N7" i="6" s="1"/>
  <c r="D7" i="6"/>
  <c r="K7" i="6" s="1"/>
  <c r="C7" i="6"/>
  <c r="B7" i="6"/>
  <c r="G7" i="6" s="1"/>
  <c r="E6" i="6"/>
  <c r="N12" i="6" s="1"/>
  <c r="D6" i="6"/>
  <c r="K6" i="6" s="1"/>
  <c r="C6" i="6"/>
  <c r="H6" i="6" s="1"/>
  <c r="B6" i="6"/>
  <c r="M9" i="6" s="1"/>
  <c r="J106" i="5"/>
  <c r="I106" i="5"/>
  <c r="L106" i="5" s="1"/>
  <c r="H106" i="5"/>
  <c r="K106" i="5" s="1"/>
  <c r="J105" i="5"/>
  <c r="I105" i="5"/>
  <c r="L105" i="5" s="1"/>
  <c r="H105" i="5"/>
  <c r="K105" i="5" s="1"/>
  <c r="G105" i="5"/>
  <c r="T104" i="5"/>
  <c r="J104" i="5"/>
  <c r="I104" i="5"/>
  <c r="L104" i="5" s="1"/>
  <c r="H104" i="5"/>
  <c r="N104" i="5" s="1"/>
  <c r="J102" i="5"/>
  <c r="I102" i="5"/>
  <c r="L102" i="5" s="1"/>
  <c r="H102" i="5"/>
  <c r="K102" i="5" s="1"/>
  <c r="J101" i="5"/>
  <c r="I101" i="5"/>
  <c r="L101" i="5" s="1"/>
  <c r="H101" i="5"/>
  <c r="K101" i="5" s="1"/>
  <c r="G101" i="5"/>
  <c r="T100" i="5"/>
  <c r="J100" i="5"/>
  <c r="I100" i="5"/>
  <c r="L100" i="5" s="1"/>
  <c r="H100" i="5"/>
  <c r="J98" i="5"/>
  <c r="I98" i="5"/>
  <c r="L98" i="5" s="1"/>
  <c r="H98" i="5"/>
  <c r="J97" i="5"/>
  <c r="I97" i="5"/>
  <c r="L97" i="5" s="1"/>
  <c r="H97" i="5"/>
  <c r="K97" i="5" s="1"/>
  <c r="G97" i="5"/>
  <c r="T96" i="5"/>
  <c r="J96" i="5"/>
  <c r="I96" i="5"/>
  <c r="L96" i="5" s="1"/>
  <c r="H96" i="5"/>
  <c r="J94" i="5"/>
  <c r="I94" i="5"/>
  <c r="L94" i="5" s="1"/>
  <c r="H94" i="5"/>
  <c r="K94" i="5" s="1"/>
  <c r="J93" i="5"/>
  <c r="I93" i="5"/>
  <c r="L93" i="5" s="1"/>
  <c r="H93" i="5"/>
  <c r="K93" i="5" s="1"/>
  <c r="G93" i="5"/>
  <c r="T92" i="5"/>
  <c r="J92" i="5"/>
  <c r="I92" i="5"/>
  <c r="L92" i="5" s="1"/>
  <c r="H92" i="5"/>
  <c r="K92" i="5" s="1"/>
  <c r="P92" i="5" s="1"/>
  <c r="H45" i="5"/>
  <c r="G63" i="5"/>
  <c r="T62" i="5" s="1"/>
  <c r="H58" i="5"/>
  <c r="H46" i="5"/>
  <c r="K46" i="5" s="1"/>
  <c r="I55" i="5"/>
  <c r="L55" i="5" s="1"/>
  <c r="H47" i="5"/>
  <c r="J47" i="5"/>
  <c r="G50" i="5"/>
  <c r="T49" i="5" s="1"/>
  <c r="I50" i="5"/>
  <c r="L50" i="5" s="1"/>
  <c r="I66" i="5"/>
  <c r="L66" i="5" s="1"/>
  <c r="G76" i="5"/>
  <c r="T75" i="5" s="1"/>
  <c r="G42" i="5"/>
  <c r="T41" i="5" s="1"/>
  <c r="B24" i="5"/>
  <c r="B25" i="5"/>
  <c r="B26" i="5"/>
  <c r="B27" i="5"/>
  <c r="G25" i="5"/>
  <c r="T24" i="5" s="1"/>
  <c r="G37" i="5"/>
  <c r="T36" i="5" s="1"/>
  <c r="B30" i="5"/>
  <c r="B31" i="5"/>
  <c r="B32" i="5"/>
  <c r="B29" i="5"/>
  <c r="D25" i="5"/>
  <c r="I33" i="5" s="1"/>
  <c r="E25" i="5"/>
  <c r="D26" i="5"/>
  <c r="E26" i="5"/>
  <c r="D27" i="5"/>
  <c r="E27" i="5"/>
  <c r="E24" i="5"/>
  <c r="D24" i="5"/>
  <c r="C24" i="5"/>
  <c r="C25" i="5"/>
  <c r="H37" i="5" s="1"/>
  <c r="K37" i="5" s="1"/>
  <c r="J37" i="5"/>
  <c r="C26" i="5"/>
  <c r="I38" i="5"/>
  <c r="L38" i="5" s="1"/>
  <c r="J38" i="5"/>
  <c r="C27" i="5"/>
  <c r="H30" i="5" s="1"/>
  <c r="I26" i="5"/>
  <c r="L26" i="5" s="1"/>
  <c r="J30" i="5"/>
  <c r="J33" i="5"/>
  <c r="H38" i="5"/>
  <c r="K38" i="5" s="1"/>
  <c r="I25" i="5"/>
  <c r="J25" i="5"/>
  <c r="J28" i="5"/>
  <c r="G29" i="5"/>
  <c r="T28" i="5" s="1"/>
  <c r="J53" i="5"/>
  <c r="I53" i="5"/>
  <c r="L53" i="5" s="1"/>
  <c r="J49" i="5"/>
  <c r="I49" i="5"/>
  <c r="L49" i="5" s="1"/>
  <c r="J45" i="5"/>
  <c r="I45" i="5"/>
  <c r="L45" i="5" s="1"/>
  <c r="I36" i="5"/>
  <c r="L36" i="5" s="1"/>
  <c r="J36" i="5"/>
  <c r="I37" i="5"/>
  <c r="L37" i="5" s="1"/>
  <c r="H36" i="5"/>
  <c r="I32" i="5"/>
  <c r="L32" i="5" s="1"/>
  <c r="J32" i="5"/>
  <c r="H33" i="5"/>
  <c r="K33" i="5" s="1"/>
  <c r="H32" i="5"/>
  <c r="K32" i="5" s="1"/>
  <c r="G33" i="5"/>
  <c r="T32" i="5" s="1"/>
  <c r="I28" i="5"/>
  <c r="L28" i="5" s="1"/>
  <c r="H29" i="5"/>
  <c r="K29" i="5" s="1"/>
  <c r="H28" i="5"/>
  <c r="K28" i="5" s="1"/>
  <c r="H25" i="5"/>
  <c r="K25" i="5" s="1"/>
  <c r="I24" i="5"/>
  <c r="L24" i="5" s="1"/>
  <c r="J24" i="5"/>
  <c r="H24" i="5"/>
  <c r="K24" i="5" s="1"/>
  <c r="F27" i="3"/>
  <c r="B53" i="4"/>
  <c r="B59" i="4" s="1"/>
  <c r="B54" i="4"/>
  <c r="B52" i="4"/>
  <c r="D45" i="4"/>
  <c r="F43" i="4" s="1"/>
  <c r="C45" i="4"/>
  <c r="B45" i="4"/>
  <c r="D44" i="4"/>
  <c r="F42" i="4" s="1"/>
  <c r="C44" i="4"/>
  <c r="B44" i="4"/>
  <c r="L42" i="4"/>
  <c r="L41" i="4"/>
  <c r="F41" i="4"/>
  <c r="D39" i="4"/>
  <c r="C39" i="4"/>
  <c r="B39" i="4"/>
  <c r="D38" i="4"/>
  <c r="F36" i="4" s="1"/>
  <c r="C38" i="4"/>
  <c r="B38" i="4"/>
  <c r="L36" i="4"/>
  <c r="L35" i="4"/>
  <c r="F35" i="4"/>
  <c r="D33" i="4"/>
  <c r="C33" i="4"/>
  <c r="B33" i="4"/>
  <c r="D32" i="4"/>
  <c r="F30" i="4" s="1"/>
  <c r="C32" i="4"/>
  <c r="F31" i="4" s="1"/>
  <c r="B32" i="4"/>
  <c r="L30" i="4" s="1"/>
  <c r="L29" i="4"/>
  <c r="F29" i="4"/>
  <c r="D27" i="4"/>
  <c r="C27" i="4"/>
  <c r="B27" i="4"/>
  <c r="L25" i="4" s="1"/>
  <c r="D26" i="4"/>
  <c r="F24" i="4" s="1"/>
  <c r="C26" i="4"/>
  <c r="B26" i="4"/>
  <c r="L24" i="4" s="1"/>
  <c r="L23" i="4"/>
  <c r="F23" i="4"/>
  <c r="D21" i="4"/>
  <c r="C21" i="4"/>
  <c r="F21" i="4" s="1"/>
  <c r="B21" i="4"/>
  <c r="D20" i="4"/>
  <c r="C20" i="4"/>
  <c r="F20" i="4" s="1"/>
  <c r="B20" i="4"/>
  <c r="E20" i="4" s="1"/>
  <c r="D19" i="4"/>
  <c r="C19" i="4"/>
  <c r="F19" i="4" s="1"/>
  <c r="B19" i="4"/>
  <c r="E19" i="4" s="1"/>
  <c r="D17" i="4"/>
  <c r="C17" i="4"/>
  <c r="F17" i="4" s="1"/>
  <c r="B17" i="4"/>
  <c r="E17" i="4" s="1"/>
  <c r="D16" i="4"/>
  <c r="C16" i="4"/>
  <c r="F16" i="4" s="1"/>
  <c r="B16" i="4"/>
  <c r="E16" i="4" s="1"/>
  <c r="D15" i="4"/>
  <c r="C15" i="4"/>
  <c r="F15" i="4" s="1"/>
  <c r="B15" i="4"/>
  <c r="D13" i="4"/>
  <c r="C13" i="4"/>
  <c r="F13" i="4" s="1"/>
  <c r="B13" i="4"/>
  <c r="E13" i="4" s="1"/>
  <c r="D12" i="4"/>
  <c r="C12" i="4"/>
  <c r="F12" i="4" s="1"/>
  <c r="B12" i="4"/>
  <c r="E12" i="4" s="1"/>
  <c r="D11" i="4"/>
  <c r="C11" i="4"/>
  <c r="F11" i="4" s="1"/>
  <c r="B11" i="4"/>
  <c r="D9" i="4"/>
  <c r="C9" i="4"/>
  <c r="F9" i="4" s="1"/>
  <c r="B9" i="4"/>
  <c r="E9" i="4" s="1"/>
  <c r="D8" i="4"/>
  <c r="C8" i="4"/>
  <c r="F8" i="4" s="1"/>
  <c r="B8" i="4"/>
  <c r="E8" i="4" s="1"/>
  <c r="D7" i="4"/>
  <c r="C7" i="4"/>
  <c r="F7" i="4" s="1"/>
  <c r="B7" i="4"/>
  <c r="E7" i="4" s="1"/>
  <c r="C45" i="3"/>
  <c r="C44" i="3"/>
  <c r="D45" i="3"/>
  <c r="D44" i="3"/>
  <c r="L43" i="3"/>
  <c r="F43" i="3"/>
  <c r="L42" i="3"/>
  <c r="F42" i="3"/>
  <c r="L41" i="3"/>
  <c r="F41" i="3"/>
  <c r="L37" i="3"/>
  <c r="F37" i="3"/>
  <c r="L36" i="3"/>
  <c r="F36" i="3"/>
  <c r="L35" i="3"/>
  <c r="L38" i="3" s="1"/>
  <c r="F35" i="3"/>
  <c r="F38" i="3" s="1"/>
  <c r="L31" i="3"/>
  <c r="F31" i="3"/>
  <c r="L30" i="3"/>
  <c r="F30" i="3"/>
  <c r="L29" i="3"/>
  <c r="L32" i="3" s="1"/>
  <c r="F29" i="3"/>
  <c r="F32" i="3" s="1"/>
  <c r="F33" i="3" s="1"/>
  <c r="L26" i="3"/>
  <c r="L23" i="3"/>
  <c r="L24" i="3"/>
  <c r="L25" i="3"/>
  <c r="F25" i="3"/>
  <c r="B45" i="3"/>
  <c r="B44" i="3"/>
  <c r="D39" i="3"/>
  <c r="C39" i="3"/>
  <c r="B39" i="3"/>
  <c r="D38" i="3"/>
  <c r="C38" i="3"/>
  <c r="B38" i="3"/>
  <c r="D33" i="3"/>
  <c r="C33" i="3"/>
  <c r="B33" i="3"/>
  <c r="D32" i="3"/>
  <c r="C32" i="3"/>
  <c r="B32" i="3"/>
  <c r="F26" i="3"/>
  <c r="F24" i="3"/>
  <c r="F23" i="3"/>
  <c r="C26" i="3"/>
  <c r="D26" i="3"/>
  <c r="C27" i="3"/>
  <c r="D27" i="3"/>
  <c r="B27" i="3"/>
  <c r="B26" i="3"/>
  <c r="K55" i="4" l="1"/>
  <c r="K58" i="4"/>
  <c r="K57" i="4"/>
  <c r="J55" i="4"/>
  <c r="J58" i="4"/>
  <c r="J57" i="4"/>
  <c r="I58" i="4"/>
  <c r="I55" i="4"/>
  <c r="L55" i="4"/>
  <c r="L58" i="4"/>
  <c r="L57" i="4"/>
  <c r="I57" i="4"/>
  <c r="H58" i="4"/>
  <c r="H57" i="4"/>
  <c r="H55" i="4"/>
  <c r="C60" i="4"/>
  <c r="E56" i="4"/>
  <c r="L43" i="4"/>
  <c r="D56" i="4"/>
  <c r="C56" i="4"/>
  <c r="B56" i="4"/>
  <c r="C58" i="4"/>
  <c r="B60" i="4"/>
  <c r="L37" i="4"/>
  <c r="L38" i="4" s="1"/>
  <c r="F37" i="4"/>
  <c r="F38" i="4" s="1"/>
  <c r="F44" i="4"/>
  <c r="F25" i="4"/>
  <c r="F26" i="4" s="1"/>
  <c r="L44" i="4"/>
  <c r="L31" i="4"/>
  <c r="L32" i="4" s="1"/>
  <c r="S136" i="6"/>
  <c r="R136" i="6"/>
  <c r="T136" i="6"/>
  <c r="S110" i="6"/>
  <c r="T109" i="6"/>
  <c r="T110" i="6"/>
  <c r="S99" i="6"/>
  <c r="T99" i="6"/>
  <c r="R99" i="6"/>
  <c r="T98" i="6"/>
  <c r="S109" i="6"/>
  <c r="V108" i="6" s="1"/>
  <c r="B131" i="6" s="1"/>
  <c r="S98" i="6"/>
  <c r="R98" i="6"/>
  <c r="T85" i="6"/>
  <c r="Q86" i="6"/>
  <c r="O120" i="6"/>
  <c r="T120" i="6" s="1"/>
  <c r="O121" i="6"/>
  <c r="S121" i="6"/>
  <c r="T121" i="6"/>
  <c r="V119" i="6" s="1"/>
  <c r="V97" i="6"/>
  <c r="B130" i="6" s="1"/>
  <c r="V86" i="6"/>
  <c r="B129" i="6" s="1"/>
  <c r="K54" i="3"/>
  <c r="N49" i="3"/>
  <c r="K49" i="3"/>
  <c r="W62" i="6"/>
  <c r="W68" i="6"/>
  <c r="T52" i="6"/>
  <c r="Q48" i="6"/>
  <c r="T38" i="6"/>
  <c r="Q35" i="6"/>
  <c r="T35" i="6"/>
  <c r="W38" i="6"/>
  <c r="AE32" i="6" s="1"/>
  <c r="AE62" i="6"/>
  <c r="AE52" i="6"/>
  <c r="AE42" i="6"/>
  <c r="N9" i="6"/>
  <c r="H9" i="6"/>
  <c r="G12" i="6"/>
  <c r="J12" i="6"/>
  <c r="K12" i="6"/>
  <c r="Q22" i="6"/>
  <c r="G13" i="6"/>
  <c r="J6" i="6"/>
  <c r="J7" i="6"/>
  <c r="M6" i="6"/>
  <c r="N6" i="6"/>
  <c r="M7" i="6"/>
  <c r="H12" i="6"/>
  <c r="Q8" i="6" s="1"/>
  <c r="G9" i="6"/>
  <c r="G10" i="6"/>
  <c r="Q7" i="6" s="1"/>
  <c r="J9" i="6"/>
  <c r="M13" i="6"/>
  <c r="G6" i="6"/>
  <c r="K9" i="6"/>
  <c r="M12" i="6"/>
  <c r="J10" i="6"/>
  <c r="N100" i="5"/>
  <c r="N92" i="5"/>
  <c r="R92" i="5" s="1"/>
  <c r="V92" i="5" s="1"/>
  <c r="K96" i="5"/>
  <c r="P96" i="5" s="1"/>
  <c r="K98" i="5"/>
  <c r="N96" i="5" s="1"/>
  <c r="R96" i="5" s="1"/>
  <c r="V96" i="5" s="1"/>
  <c r="K100" i="5"/>
  <c r="P100" i="5"/>
  <c r="K104" i="5"/>
  <c r="P104" i="5" s="1"/>
  <c r="R104" i="5" s="1"/>
  <c r="V104" i="5" s="1"/>
  <c r="I64" i="5"/>
  <c r="L64" i="5" s="1"/>
  <c r="I68" i="5"/>
  <c r="L68" i="5" s="1"/>
  <c r="J66" i="5"/>
  <c r="J70" i="5"/>
  <c r="J62" i="5"/>
  <c r="G88" i="5"/>
  <c r="T87" i="5" s="1"/>
  <c r="G71" i="5"/>
  <c r="T70" i="5" s="1"/>
  <c r="I70" i="5"/>
  <c r="L70" i="5" s="1"/>
  <c r="I80" i="5"/>
  <c r="L80" i="5" s="1"/>
  <c r="I51" i="5"/>
  <c r="L51" i="5" s="1"/>
  <c r="H64" i="5"/>
  <c r="K64" i="5" s="1"/>
  <c r="J51" i="5"/>
  <c r="J68" i="5"/>
  <c r="G54" i="5"/>
  <c r="T53" i="5" s="1"/>
  <c r="J42" i="5"/>
  <c r="I87" i="5"/>
  <c r="L87" i="5" s="1"/>
  <c r="I62" i="5"/>
  <c r="L62" i="5" s="1"/>
  <c r="J67" i="5"/>
  <c r="J71" i="5"/>
  <c r="J58" i="5"/>
  <c r="J54" i="5"/>
  <c r="G46" i="5"/>
  <c r="T45" i="5" s="1"/>
  <c r="H55" i="5"/>
  <c r="K55" i="5" s="1"/>
  <c r="I77" i="5"/>
  <c r="L77" i="5" s="1"/>
  <c r="H54" i="5"/>
  <c r="K54" i="5" s="1"/>
  <c r="H59" i="5"/>
  <c r="K59" i="5" s="1"/>
  <c r="H42" i="5"/>
  <c r="K42" i="5" s="1"/>
  <c r="J41" i="5"/>
  <c r="J83" i="5"/>
  <c r="I54" i="5"/>
  <c r="L54" i="5" s="1"/>
  <c r="I60" i="5"/>
  <c r="L60" i="5" s="1"/>
  <c r="G59" i="5"/>
  <c r="T58" i="5" s="1"/>
  <c r="H49" i="5"/>
  <c r="K49" i="5" s="1"/>
  <c r="H53" i="5"/>
  <c r="K53" i="5" s="1"/>
  <c r="H70" i="5"/>
  <c r="K70" i="5" s="1"/>
  <c r="H66" i="5"/>
  <c r="H62" i="5"/>
  <c r="K62" i="5" s="1"/>
  <c r="K58" i="5"/>
  <c r="J80" i="5"/>
  <c r="J76" i="5"/>
  <c r="J89" i="5"/>
  <c r="J88" i="5"/>
  <c r="G80" i="5"/>
  <c r="T79" i="5" s="1"/>
  <c r="J72" i="5"/>
  <c r="H67" i="5"/>
  <c r="K67" i="5" s="1"/>
  <c r="J63" i="5"/>
  <c r="H71" i="5"/>
  <c r="K71" i="5" s="1"/>
  <c r="J59" i="5"/>
  <c r="J46" i="5"/>
  <c r="I42" i="5"/>
  <c r="L42" i="5" s="1"/>
  <c r="H43" i="5"/>
  <c r="K43" i="5" s="1"/>
  <c r="J43" i="5"/>
  <c r="I46" i="5"/>
  <c r="L46" i="5" s="1"/>
  <c r="J55" i="5"/>
  <c r="I47" i="5"/>
  <c r="L47" i="5" s="1"/>
  <c r="H51" i="5"/>
  <c r="K51" i="5" s="1"/>
  <c r="I43" i="5"/>
  <c r="L43" i="5" s="1"/>
  <c r="H50" i="5"/>
  <c r="K50" i="5" s="1"/>
  <c r="J50" i="5"/>
  <c r="H41" i="5"/>
  <c r="K41" i="5" s="1"/>
  <c r="I41" i="5"/>
  <c r="L41" i="5" s="1"/>
  <c r="I30" i="5"/>
  <c r="L30" i="5" s="1"/>
  <c r="H34" i="5"/>
  <c r="K34" i="5" s="1"/>
  <c r="J34" i="5"/>
  <c r="I34" i="5"/>
  <c r="L34" i="5" s="1"/>
  <c r="J26" i="5"/>
  <c r="H26" i="5"/>
  <c r="K26" i="5" s="1"/>
  <c r="J29" i="5"/>
  <c r="I29" i="5"/>
  <c r="L29" i="5" s="1"/>
  <c r="P24" i="5"/>
  <c r="N36" i="5"/>
  <c r="P32" i="5"/>
  <c r="N32" i="5"/>
  <c r="R32" i="5" s="1"/>
  <c r="V32" i="5" s="1"/>
  <c r="K36" i="5"/>
  <c r="P36" i="5" s="1"/>
  <c r="R36" i="5" s="1"/>
  <c r="V36" i="5" s="1"/>
  <c r="L25" i="5"/>
  <c r="N24" i="5"/>
  <c r="R24" i="5" s="1"/>
  <c r="V24" i="5" s="1"/>
  <c r="L33" i="5"/>
  <c r="K30" i="5"/>
  <c r="K45" i="5"/>
  <c r="K47" i="5"/>
  <c r="L26" i="4"/>
  <c r="K15" i="4"/>
  <c r="F32" i="4"/>
  <c r="N7" i="4"/>
  <c r="K11" i="4"/>
  <c r="N19" i="4"/>
  <c r="E15" i="4"/>
  <c r="N15" i="4" s="1"/>
  <c r="E21" i="4"/>
  <c r="K19" i="4" s="1"/>
  <c r="E11" i="4"/>
  <c r="N11" i="4" s="1"/>
  <c r="K7" i="4"/>
  <c r="F44" i="3"/>
  <c r="L44" i="3"/>
  <c r="F45" i="3" s="1"/>
  <c r="F39" i="3"/>
  <c r="F27" i="4" l="1"/>
  <c r="F45" i="4"/>
  <c r="F39" i="4"/>
  <c r="F33" i="4"/>
  <c r="I50" i="3"/>
  <c r="R100" i="5"/>
  <c r="V100" i="5" s="1"/>
  <c r="V107" i="5" s="1"/>
  <c r="I85" i="5"/>
  <c r="L85" i="5" s="1"/>
  <c r="H60" i="5"/>
  <c r="K60" i="5" s="1"/>
  <c r="I79" i="5"/>
  <c r="L79" i="5" s="1"/>
  <c r="I83" i="5"/>
  <c r="L83" i="5" s="1"/>
  <c r="P53" i="5"/>
  <c r="N53" i="5"/>
  <c r="R53" i="5" s="1"/>
  <c r="V53" i="5" s="1"/>
  <c r="I76" i="5"/>
  <c r="L76" i="5" s="1"/>
  <c r="I89" i="5"/>
  <c r="L89" i="5" s="1"/>
  <c r="J60" i="5"/>
  <c r="H72" i="5"/>
  <c r="K72" i="5" s="1"/>
  <c r="H68" i="5"/>
  <c r="K68" i="5" s="1"/>
  <c r="I59" i="5"/>
  <c r="L59" i="5" s="1"/>
  <c r="I63" i="5"/>
  <c r="P62" i="5" s="1"/>
  <c r="I72" i="5"/>
  <c r="L72" i="5" s="1"/>
  <c r="J64" i="5"/>
  <c r="G84" i="5"/>
  <c r="T83" i="5" s="1"/>
  <c r="G67" i="5"/>
  <c r="T66" i="5" s="1"/>
  <c r="H63" i="5"/>
  <c r="K63" i="5" s="1"/>
  <c r="J79" i="5"/>
  <c r="J87" i="5"/>
  <c r="I81" i="5"/>
  <c r="L81" i="5" s="1"/>
  <c r="J84" i="5"/>
  <c r="J75" i="5"/>
  <c r="H89" i="5"/>
  <c r="J81" i="5"/>
  <c r="I67" i="5"/>
  <c r="L67" i="5" s="1"/>
  <c r="I58" i="5"/>
  <c r="L58" i="5" s="1"/>
  <c r="I71" i="5"/>
  <c r="L71" i="5" s="1"/>
  <c r="P58" i="5"/>
  <c r="K66" i="5"/>
  <c r="P41" i="5"/>
  <c r="H83" i="5"/>
  <c r="K83" i="5" s="1"/>
  <c r="H87" i="5"/>
  <c r="K87" i="5" s="1"/>
  <c r="H79" i="5"/>
  <c r="K79" i="5" s="1"/>
  <c r="H75" i="5"/>
  <c r="H84" i="5"/>
  <c r="K84" i="5" s="1"/>
  <c r="H88" i="5"/>
  <c r="K88" i="5" s="1"/>
  <c r="N49" i="5"/>
  <c r="P45" i="5"/>
  <c r="N41" i="5"/>
  <c r="P49" i="5"/>
  <c r="N45" i="5"/>
  <c r="P28" i="5"/>
  <c r="N28" i="5"/>
  <c r="R28" i="5" s="1"/>
  <c r="V28" i="5" s="1"/>
  <c r="V39" i="5" s="1"/>
  <c r="I16" i="4"/>
  <c r="I8" i="4"/>
  <c r="I20" i="4"/>
  <c r="Q16" i="4"/>
  <c r="I12" i="4"/>
  <c r="Q12" i="4" s="1"/>
  <c r="E16" i="3"/>
  <c r="B20" i="3"/>
  <c r="E20" i="3" s="1"/>
  <c r="C20" i="3"/>
  <c r="F20" i="3" s="1"/>
  <c r="D20" i="3"/>
  <c r="B21" i="3"/>
  <c r="E21" i="3" s="1"/>
  <c r="C21" i="3"/>
  <c r="F21" i="3" s="1"/>
  <c r="D21" i="3"/>
  <c r="D19" i="3"/>
  <c r="C19" i="3"/>
  <c r="F19" i="3" s="1"/>
  <c r="B19" i="3"/>
  <c r="E19" i="3" s="1"/>
  <c r="B16" i="3"/>
  <c r="C16" i="3"/>
  <c r="F16" i="3" s="1"/>
  <c r="D16" i="3"/>
  <c r="B17" i="3"/>
  <c r="E17" i="3" s="1"/>
  <c r="C17" i="3"/>
  <c r="F17" i="3" s="1"/>
  <c r="D17" i="3"/>
  <c r="D15" i="3"/>
  <c r="C15" i="3"/>
  <c r="F15" i="3" s="1"/>
  <c r="B15" i="3"/>
  <c r="E15" i="3" s="1"/>
  <c r="B12" i="3"/>
  <c r="E12" i="3" s="1"/>
  <c r="C12" i="3"/>
  <c r="F12" i="3" s="1"/>
  <c r="D12" i="3"/>
  <c r="B13" i="3"/>
  <c r="E13" i="3" s="1"/>
  <c r="C13" i="3"/>
  <c r="F13" i="3" s="1"/>
  <c r="D13" i="3"/>
  <c r="D11" i="3"/>
  <c r="C11" i="3"/>
  <c r="F11" i="3" s="1"/>
  <c r="B11" i="3"/>
  <c r="E11" i="3" s="1"/>
  <c r="B8" i="3"/>
  <c r="E8" i="3" s="1"/>
  <c r="C8" i="3"/>
  <c r="F8" i="3" s="1"/>
  <c r="D8" i="3"/>
  <c r="B9" i="3"/>
  <c r="E9" i="3" s="1"/>
  <c r="C9" i="3"/>
  <c r="F9" i="3" s="1"/>
  <c r="D9" i="3"/>
  <c r="D7" i="3"/>
  <c r="C7" i="3"/>
  <c r="F7" i="3" s="1"/>
  <c r="B7" i="3"/>
  <c r="C6" i="2"/>
  <c r="C7" i="2"/>
  <c r="B6" i="2"/>
  <c r="J7" i="2"/>
  <c r="K7" i="2"/>
  <c r="K6" i="2"/>
  <c r="J6" i="2"/>
  <c r="F7" i="2"/>
  <c r="G7" i="2"/>
  <c r="G6" i="2"/>
  <c r="F6" i="2"/>
  <c r="B7" i="2"/>
  <c r="Q20" i="4" l="1"/>
  <c r="B10" i="2"/>
  <c r="H10" i="2"/>
  <c r="W8" i="6"/>
  <c r="R41" i="5"/>
  <c r="V41" i="5" s="1"/>
  <c r="N70" i="5"/>
  <c r="H76" i="5"/>
  <c r="K76" i="5" s="1"/>
  <c r="H80" i="5"/>
  <c r="K80" i="5" s="1"/>
  <c r="R45" i="5"/>
  <c r="V45" i="5" s="1"/>
  <c r="R49" i="5"/>
  <c r="V49" i="5" s="1"/>
  <c r="N66" i="5"/>
  <c r="P70" i="5"/>
  <c r="N62" i="5"/>
  <c r="R62" i="5" s="1"/>
  <c r="V62" i="5" s="1"/>
  <c r="J77" i="5"/>
  <c r="J85" i="5"/>
  <c r="H81" i="5"/>
  <c r="H85" i="5"/>
  <c r="K85" i="5" s="1"/>
  <c r="H77" i="5"/>
  <c r="K77" i="5" s="1"/>
  <c r="L63" i="5"/>
  <c r="R70" i="5"/>
  <c r="V70" i="5" s="1"/>
  <c r="I84" i="5"/>
  <c r="L84" i="5" s="1"/>
  <c r="I75" i="5"/>
  <c r="L75" i="5" s="1"/>
  <c r="I88" i="5"/>
  <c r="L88" i="5" s="1"/>
  <c r="N58" i="5"/>
  <c r="R58" i="5" s="1"/>
  <c r="V58" i="5" s="1"/>
  <c r="P66" i="5"/>
  <c r="K75" i="5"/>
  <c r="K89" i="5"/>
  <c r="V56" i="5"/>
  <c r="K19" i="3"/>
  <c r="N15" i="3"/>
  <c r="K7" i="3"/>
  <c r="K11" i="3"/>
  <c r="N11" i="3"/>
  <c r="N19" i="3"/>
  <c r="K15" i="3"/>
  <c r="E7" i="3"/>
  <c r="N7" i="3" s="1"/>
  <c r="N83" i="5" l="1"/>
  <c r="R66" i="5"/>
  <c r="V66" i="5" s="1"/>
  <c r="V73" i="5" s="1"/>
  <c r="N87" i="5"/>
  <c r="K81" i="5"/>
  <c r="N79" i="5" s="1"/>
  <c r="P79" i="5"/>
  <c r="P87" i="5"/>
  <c r="P75" i="5"/>
  <c r="N75" i="5"/>
  <c r="P83" i="5"/>
  <c r="R83" i="5" s="1"/>
  <c r="V83" i="5" s="1"/>
  <c r="I8" i="3"/>
  <c r="I20" i="3"/>
  <c r="I16" i="3"/>
  <c r="I12" i="3"/>
  <c r="Q12" i="3" s="1"/>
  <c r="B13" i="2"/>
  <c r="B14" i="2"/>
  <c r="Q16" i="3" l="1"/>
  <c r="R75" i="5"/>
  <c r="V75" i="5" s="1"/>
  <c r="R79" i="5"/>
  <c r="V79" i="5" s="1"/>
  <c r="R87" i="5"/>
  <c r="V87" i="5" s="1"/>
  <c r="V90" i="5" s="1"/>
  <c r="Q20" i="3"/>
</calcChain>
</file>

<file path=xl/sharedStrings.xml><?xml version="1.0" encoding="utf-8"?>
<sst xmlns="http://schemas.openxmlformats.org/spreadsheetml/2006/main" count="593" uniqueCount="98">
  <si>
    <t>Métodos iterativos</t>
  </si>
  <si>
    <t>Metodo de Jacobi</t>
  </si>
  <si>
    <t>Método de Gauss-Seidel</t>
  </si>
  <si>
    <t>Metodo para no lineal de punto fijo</t>
  </si>
  <si>
    <t>Métodopara n lineal de de Newton-Rapshon</t>
  </si>
  <si>
    <t>Sistema de 2*2</t>
  </si>
  <si>
    <t>x11</t>
  </si>
  <si>
    <t>x12</t>
  </si>
  <si>
    <t>=</t>
  </si>
  <si>
    <t>x21</t>
  </si>
  <si>
    <t>x22</t>
  </si>
  <si>
    <t>x2</t>
  </si>
  <si>
    <t>b2</t>
  </si>
  <si>
    <t>b1</t>
  </si>
  <si>
    <t>A=</t>
  </si>
  <si>
    <t>det(A)</t>
  </si>
  <si>
    <t>AX1</t>
  </si>
  <si>
    <t>det(AX1)</t>
  </si>
  <si>
    <t>AX2</t>
  </si>
  <si>
    <t>det(AX2)</t>
  </si>
  <si>
    <t>x1=</t>
  </si>
  <si>
    <t>Solución del sistema</t>
  </si>
  <si>
    <t>x1</t>
  </si>
  <si>
    <t>Sistema de 3x3 con determinante</t>
  </si>
  <si>
    <t>a11</t>
  </si>
  <si>
    <t>a12</t>
  </si>
  <si>
    <t>a13</t>
  </si>
  <si>
    <t>b3</t>
  </si>
  <si>
    <t>x13</t>
  </si>
  <si>
    <t>x23</t>
  </si>
  <si>
    <t>x33</t>
  </si>
  <si>
    <t>x11+</t>
  </si>
  <si>
    <t>x21+</t>
  </si>
  <si>
    <t>x31+</t>
  </si>
  <si>
    <t>x12+</t>
  </si>
  <si>
    <t>x22+</t>
  </si>
  <si>
    <t>x32+</t>
  </si>
  <si>
    <t>A</t>
  </si>
  <si>
    <t>AX3</t>
  </si>
  <si>
    <t>D. Principal</t>
  </si>
  <si>
    <t>D. Secundaria</t>
  </si>
  <si>
    <t>x2=</t>
  </si>
  <si>
    <t>x3=</t>
  </si>
  <si>
    <t>a21</t>
  </si>
  <si>
    <t>a31</t>
  </si>
  <si>
    <t>a22</t>
  </si>
  <si>
    <t>a32</t>
  </si>
  <si>
    <t>a23</t>
  </si>
  <si>
    <t>a33</t>
  </si>
  <si>
    <t>a14</t>
  </si>
  <si>
    <t>a24</t>
  </si>
  <si>
    <t>a34</t>
  </si>
  <si>
    <t>a41</t>
  </si>
  <si>
    <t>a42</t>
  </si>
  <si>
    <t>a43</t>
  </si>
  <si>
    <t>a44</t>
  </si>
  <si>
    <t>b4</t>
  </si>
  <si>
    <t xml:space="preserve">A= </t>
  </si>
  <si>
    <t>B=</t>
  </si>
  <si>
    <t>X=</t>
  </si>
  <si>
    <t>x3</t>
  </si>
  <si>
    <t>x4</t>
  </si>
  <si>
    <t>x5</t>
  </si>
  <si>
    <t>x6</t>
  </si>
  <si>
    <t>x7</t>
  </si>
  <si>
    <t>AX</t>
  </si>
  <si>
    <t>B</t>
  </si>
  <si>
    <t>X1</t>
  </si>
  <si>
    <t>detAX1/detA</t>
  </si>
  <si>
    <t>X2</t>
  </si>
  <si>
    <t>X3</t>
  </si>
  <si>
    <t>…</t>
  </si>
  <si>
    <t>Xn</t>
  </si>
  <si>
    <t>detAXn/detA</t>
  </si>
  <si>
    <t>detAX3/detA</t>
  </si>
  <si>
    <t>detAX2/detA</t>
  </si>
  <si>
    <t>DP</t>
  </si>
  <si>
    <t>DS</t>
  </si>
  <si>
    <t>-</t>
  </si>
  <si>
    <t>*</t>
  </si>
  <si>
    <t>______________</t>
  </si>
  <si>
    <t>+</t>
  </si>
  <si>
    <t>X1A=</t>
  </si>
  <si>
    <t>X2A=</t>
  </si>
  <si>
    <t>X3A=</t>
  </si>
  <si>
    <t>X4A=</t>
  </si>
  <si>
    <t>(a11*a22-a21*a12)</t>
  </si>
  <si>
    <t>(a11*a23-a21*a13)</t>
  </si>
  <si>
    <t>(a11*a32-a31*a12)</t>
  </si>
  <si>
    <t>(a11*a33-a31*a13)</t>
  </si>
  <si>
    <t>(a11*a42-a41*a12)</t>
  </si>
  <si>
    <t>(a11*a43-a41*a13)</t>
  </si>
  <si>
    <t>DetA</t>
  </si>
  <si>
    <t>DetA1</t>
  </si>
  <si>
    <t>DetA2</t>
  </si>
  <si>
    <t>DetA3</t>
  </si>
  <si>
    <t>DetA4</t>
  </si>
  <si>
    <t>x4=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</si>
</sst>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0" xfId="0" quotePrefix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88900</xdr:colOff>
      <xdr:row>0</xdr:row>
      <xdr:rowOff>165101</xdr:rowOff>
    </xdr:from>
    <xdr:to>
      <xdr:col>12</xdr:col>
      <xdr:colOff>57150</xdr:colOff>
      <xdr:row>4</xdr:row>
      <xdr:rowOff>157894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38BA79-9F77-F840-E2A5-D48271BFD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9250" y="165101"/>
          <a:ext cx="1866900" cy="7293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88900</xdr:colOff>
      <xdr:row>0</xdr:row>
      <xdr:rowOff>165101</xdr:rowOff>
    </xdr:from>
    <xdr:to>
      <xdr:col>12</xdr:col>
      <xdr:colOff>133350</xdr:colOff>
      <xdr:row>4</xdr:row>
      <xdr:rowOff>157894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DBD281-341D-4F0C-A34B-65BCCBD96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0" y="165101"/>
          <a:ext cx="1866900" cy="7293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10</xdr:row>
      <xdr:rowOff>19051</xdr:rowOff>
    </xdr:from>
    <xdr:to>
      <xdr:col>9</xdr:col>
      <xdr:colOff>85990</xdr:colOff>
      <xdr:row>17</xdr:row>
      <xdr:rowOff>31751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F44761-98F7-A7C4-01A4-01998D07F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700" y="1860551"/>
          <a:ext cx="2397390" cy="1301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28CF-B68F-48FE-9838-3B1D0765B3CE}">
  <dimension ref="A1:B5"/>
  <sheetViews>
    <sheetView workbookViewId="0">
      <selection activeCell="B6" sqref="B6"/>
    </sheetView>
  </sheetViews>
  <sheetFormatPr baseColWidth="10" defaultRowHeight="14.5" x14ac:dyDescent="0.35"/>
  <sheetData>
    <row r="1" spans="1:2" x14ac:dyDescent="0.35">
      <c r="A1" t="s">
        <v>0</v>
      </c>
    </row>
    <row r="2" spans="1:2" x14ac:dyDescent="0.35">
      <c r="B2" t="s">
        <v>1</v>
      </c>
    </row>
    <row r="3" spans="1:2" x14ac:dyDescent="0.35">
      <c r="B3" t="s">
        <v>2</v>
      </c>
    </row>
    <row r="4" spans="1:2" x14ac:dyDescent="0.35">
      <c r="B4" t="s">
        <v>3</v>
      </c>
    </row>
    <row r="5" spans="1:2" x14ac:dyDescent="0.35"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211C-086C-4771-999F-FAA38CAFA924}">
  <dimension ref="A1:K14"/>
  <sheetViews>
    <sheetView topLeftCell="A2" zoomScale="146" workbookViewId="0">
      <selection activeCell="A5" sqref="A5"/>
    </sheetView>
  </sheetViews>
  <sheetFormatPr baseColWidth="10" defaultRowHeight="14.5" x14ac:dyDescent="0.35"/>
  <cols>
    <col min="1" max="4" width="7.7265625" customWidth="1"/>
    <col min="5" max="5" width="8.54296875" customWidth="1"/>
    <col min="6" max="7" width="7.7265625" customWidth="1"/>
    <col min="8" max="8" width="8.08984375" customWidth="1"/>
    <col min="9" max="9" width="8" customWidth="1"/>
    <col min="10" max="11" width="5.6328125" customWidth="1"/>
  </cols>
  <sheetData>
    <row r="1" spans="1:11" x14ac:dyDescent="0.35">
      <c r="A1" t="s">
        <v>5</v>
      </c>
    </row>
    <row r="3" spans="1:11" x14ac:dyDescent="0.35">
      <c r="A3">
        <v>0.25</v>
      </c>
      <c r="B3" s="1" t="s">
        <v>6</v>
      </c>
      <c r="C3">
        <v>-2.75</v>
      </c>
      <c r="D3" s="1" t="s">
        <v>7</v>
      </c>
      <c r="E3" s="1" t="s">
        <v>8</v>
      </c>
      <c r="F3">
        <v>3.75</v>
      </c>
      <c r="G3" s="1" t="s">
        <v>13</v>
      </c>
    </row>
    <row r="4" spans="1:11" x14ac:dyDescent="0.35">
      <c r="A4">
        <v>-4.3499999999999996</v>
      </c>
      <c r="B4" s="1" t="s">
        <v>9</v>
      </c>
      <c r="C4">
        <v>6.12</v>
      </c>
      <c r="D4" s="1" t="s">
        <v>10</v>
      </c>
      <c r="E4" s="1" t="s">
        <v>8</v>
      </c>
      <c r="F4">
        <v>-23.52</v>
      </c>
      <c r="G4" s="1" t="s">
        <v>12</v>
      </c>
    </row>
    <row r="6" spans="1:11" x14ac:dyDescent="0.35">
      <c r="B6">
        <f>A3</f>
        <v>0.25</v>
      </c>
      <c r="C6">
        <f>C3</f>
        <v>-2.75</v>
      </c>
      <c r="F6">
        <f>F3</f>
        <v>3.75</v>
      </c>
      <c r="G6">
        <f>C3</f>
        <v>-2.75</v>
      </c>
      <c r="J6">
        <f>A3</f>
        <v>0.25</v>
      </c>
      <c r="K6">
        <f>F3</f>
        <v>3.75</v>
      </c>
    </row>
    <row r="7" spans="1:11" x14ac:dyDescent="0.35">
      <c r="A7" t="s">
        <v>14</v>
      </c>
      <c r="B7">
        <f>A4</f>
        <v>-4.3499999999999996</v>
      </c>
      <c r="C7">
        <f>C4</f>
        <v>6.12</v>
      </c>
      <c r="E7" t="s">
        <v>16</v>
      </c>
      <c r="F7">
        <f>F4</f>
        <v>-23.52</v>
      </c>
      <c r="G7">
        <f>C4</f>
        <v>6.12</v>
      </c>
      <c r="I7" t="s">
        <v>18</v>
      </c>
      <c r="J7">
        <f>A4</f>
        <v>-4.3499999999999996</v>
      </c>
      <c r="K7">
        <f>F4</f>
        <v>-23.52</v>
      </c>
    </row>
    <row r="10" spans="1:11" x14ac:dyDescent="0.35">
      <c r="A10" t="s">
        <v>15</v>
      </c>
      <c r="B10">
        <f>B6*C7-C6*B7</f>
        <v>-10.432499999999999</v>
      </c>
      <c r="D10" t="s">
        <v>17</v>
      </c>
      <c r="E10">
        <f>F6*G7-G6*F7</f>
        <v>-41.72999999999999</v>
      </c>
      <c r="G10" t="s">
        <v>19</v>
      </c>
      <c r="H10">
        <f>J6*K7-K6*J7</f>
        <v>10.432500000000001</v>
      </c>
    </row>
    <row r="12" spans="1:11" x14ac:dyDescent="0.35">
      <c r="A12" t="s">
        <v>21</v>
      </c>
    </row>
    <row r="13" spans="1:11" x14ac:dyDescent="0.35">
      <c r="A13" t="s">
        <v>22</v>
      </c>
      <c r="B13">
        <f>E10/B10</f>
        <v>3.9999999999999991</v>
      </c>
    </row>
    <row r="14" spans="1:11" x14ac:dyDescent="0.35">
      <c r="A14" t="s">
        <v>11</v>
      </c>
      <c r="B14">
        <f>H10/B10</f>
        <v>-1.0000000000000002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5218-C1D7-4B89-998F-C2EC3830112E}">
  <dimension ref="A1:Q57"/>
  <sheetViews>
    <sheetView tabSelected="1" workbookViewId="0">
      <selection activeCell="E4" sqref="E4"/>
    </sheetView>
  </sheetViews>
  <sheetFormatPr baseColWidth="10" defaultRowHeight="14.5" x14ac:dyDescent="0.35"/>
  <cols>
    <col min="1" max="6" width="7.90625" customWidth="1"/>
    <col min="7" max="7" width="2.7265625" customWidth="1"/>
    <col min="8" max="9" width="7.90625" customWidth="1"/>
    <col min="10" max="10" width="5.36328125" customWidth="1"/>
    <col min="13" max="13" width="3.7265625" customWidth="1"/>
    <col min="15" max="15" width="4.54296875" customWidth="1"/>
    <col min="16" max="16" width="5" customWidth="1"/>
    <col min="20" max="20" width="10.90625" customWidth="1"/>
  </cols>
  <sheetData>
    <row r="1" spans="1:17" x14ac:dyDescent="0.35">
      <c r="A1" t="s">
        <v>23</v>
      </c>
    </row>
    <row r="2" spans="1:17" x14ac:dyDescent="0.35">
      <c r="A2">
        <v>16</v>
      </c>
      <c r="B2" t="s">
        <v>31</v>
      </c>
      <c r="C2" s="9">
        <v>4</v>
      </c>
      <c r="D2" t="s">
        <v>34</v>
      </c>
      <c r="E2">
        <v>1</v>
      </c>
      <c r="F2" t="s">
        <v>28</v>
      </c>
      <c r="G2" t="s">
        <v>8</v>
      </c>
      <c r="H2">
        <v>7</v>
      </c>
      <c r="I2" t="s">
        <v>13</v>
      </c>
    </row>
    <row r="3" spans="1:17" x14ac:dyDescent="0.35">
      <c r="A3" s="1">
        <v>1</v>
      </c>
      <c r="B3" s="1" t="s">
        <v>32</v>
      </c>
      <c r="C3" s="1">
        <v>1</v>
      </c>
      <c r="D3" s="1" t="s">
        <v>35</v>
      </c>
      <c r="E3" s="1">
        <v>1</v>
      </c>
      <c r="F3" s="1" t="s">
        <v>29</v>
      </c>
      <c r="G3" s="1" t="s">
        <v>8</v>
      </c>
      <c r="H3" s="8">
        <v>-8</v>
      </c>
      <c r="I3" t="s">
        <v>13</v>
      </c>
    </row>
    <row r="4" spans="1:17" x14ac:dyDescent="0.35">
      <c r="A4">
        <v>4</v>
      </c>
      <c r="B4" t="s">
        <v>33</v>
      </c>
      <c r="C4">
        <v>-2</v>
      </c>
      <c r="D4" t="s">
        <v>36</v>
      </c>
      <c r="E4">
        <v>1</v>
      </c>
      <c r="F4" t="s">
        <v>30</v>
      </c>
      <c r="G4" t="s">
        <v>8</v>
      </c>
      <c r="H4">
        <v>1</v>
      </c>
      <c r="I4" t="s">
        <v>27</v>
      </c>
    </row>
    <row r="7" spans="1:17" x14ac:dyDescent="0.35">
      <c r="B7">
        <f>A2</f>
        <v>16</v>
      </c>
      <c r="C7">
        <f>C2</f>
        <v>4</v>
      </c>
      <c r="D7">
        <f>E2</f>
        <v>1</v>
      </c>
      <c r="E7">
        <f>B7</f>
        <v>16</v>
      </c>
      <c r="F7">
        <f>C7</f>
        <v>4</v>
      </c>
      <c r="I7" t="s">
        <v>39</v>
      </c>
      <c r="K7">
        <f>B7*C8*D9+C7*D8*E9+D7*E8*F9</f>
        <v>30</v>
      </c>
      <c r="L7" t="s">
        <v>40</v>
      </c>
      <c r="N7">
        <f>B9*C8*D7+C9*D8*E7+D9*E8*F7</f>
        <v>-24</v>
      </c>
    </row>
    <row r="8" spans="1:17" x14ac:dyDescent="0.35">
      <c r="A8" t="s">
        <v>37</v>
      </c>
      <c r="B8">
        <f>A3</f>
        <v>1</v>
      </c>
      <c r="C8">
        <f>C3</f>
        <v>1</v>
      </c>
      <c r="D8">
        <f>E3</f>
        <v>1</v>
      </c>
      <c r="E8">
        <f t="shared" ref="E8:E21" si="0">B8</f>
        <v>1</v>
      </c>
      <c r="F8">
        <f t="shared" ref="F8:F21" si="1">C8</f>
        <v>1</v>
      </c>
      <c r="H8" t="s">
        <v>15</v>
      </c>
      <c r="I8">
        <f>K7-N7</f>
        <v>54</v>
      </c>
    </row>
    <row r="9" spans="1:17" x14ac:dyDescent="0.35">
      <c r="B9">
        <f>A4</f>
        <v>4</v>
      </c>
      <c r="C9">
        <f>C4</f>
        <v>-2</v>
      </c>
      <c r="D9">
        <f>E4</f>
        <v>1</v>
      </c>
      <c r="E9">
        <f t="shared" si="0"/>
        <v>4</v>
      </c>
      <c r="F9">
        <f t="shared" si="1"/>
        <v>-2</v>
      </c>
    </row>
    <row r="11" spans="1:17" x14ac:dyDescent="0.35">
      <c r="B11">
        <f>H2</f>
        <v>7</v>
      </c>
      <c r="C11">
        <f>C2</f>
        <v>4</v>
      </c>
      <c r="D11">
        <f>E2</f>
        <v>1</v>
      </c>
      <c r="E11">
        <f t="shared" si="0"/>
        <v>7</v>
      </c>
      <c r="F11">
        <f t="shared" si="1"/>
        <v>4</v>
      </c>
      <c r="I11" t="s">
        <v>39</v>
      </c>
      <c r="K11">
        <f>B11*C12*D13+C11*D12*E13+D11*E12*F13</f>
        <v>27</v>
      </c>
      <c r="L11" t="s">
        <v>40</v>
      </c>
      <c r="N11">
        <f>B13*C12*D11+C13*D12*E11+D13*E12*F11</f>
        <v>-45</v>
      </c>
    </row>
    <row r="12" spans="1:17" x14ac:dyDescent="0.35">
      <c r="A12" t="s">
        <v>16</v>
      </c>
      <c r="B12">
        <f>H3</f>
        <v>-8</v>
      </c>
      <c r="C12">
        <f>C3</f>
        <v>1</v>
      </c>
      <c r="D12">
        <f>E3</f>
        <v>1</v>
      </c>
      <c r="E12">
        <f t="shared" si="0"/>
        <v>-8</v>
      </c>
      <c r="F12">
        <f t="shared" si="1"/>
        <v>1</v>
      </c>
      <c r="H12" t="s">
        <v>15</v>
      </c>
      <c r="I12">
        <f>K11-N11</f>
        <v>72</v>
      </c>
      <c r="P12" t="s">
        <v>20</v>
      </c>
      <c r="Q12">
        <f>I12/$I$8</f>
        <v>1.3333333333333333</v>
      </c>
    </row>
    <row r="13" spans="1:17" x14ac:dyDescent="0.35">
      <c r="B13">
        <f>H4</f>
        <v>1</v>
      </c>
      <c r="C13">
        <f>C4</f>
        <v>-2</v>
      </c>
      <c r="D13">
        <f>E4</f>
        <v>1</v>
      </c>
      <c r="E13">
        <f t="shared" si="0"/>
        <v>1</v>
      </c>
      <c r="F13">
        <f t="shared" si="1"/>
        <v>-2</v>
      </c>
    </row>
    <row r="15" spans="1:17" x14ac:dyDescent="0.35">
      <c r="B15">
        <f>A2</f>
        <v>16</v>
      </c>
      <c r="C15">
        <f>H2</f>
        <v>7</v>
      </c>
      <c r="D15">
        <f>E2</f>
        <v>1</v>
      </c>
      <c r="E15">
        <f t="shared" si="0"/>
        <v>16</v>
      </c>
      <c r="F15">
        <f t="shared" si="1"/>
        <v>7</v>
      </c>
      <c r="I15" t="s">
        <v>39</v>
      </c>
      <c r="K15">
        <f>B15*C16*D17+C15*D16*E17+D15*E16*F17</f>
        <v>-99</v>
      </c>
      <c r="L15" t="s">
        <v>40</v>
      </c>
      <c r="N15">
        <f>B17*C16*D15+C17*D16*E15+D17*E16*F15</f>
        <v>-9</v>
      </c>
    </row>
    <row r="16" spans="1:17" x14ac:dyDescent="0.35">
      <c r="A16" t="s">
        <v>18</v>
      </c>
      <c r="B16">
        <f>A3</f>
        <v>1</v>
      </c>
      <c r="C16">
        <f>H3</f>
        <v>-8</v>
      </c>
      <c r="D16">
        <f>E3</f>
        <v>1</v>
      </c>
      <c r="E16">
        <f t="shared" si="0"/>
        <v>1</v>
      </c>
      <c r="F16">
        <f t="shared" si="1"/>
        <v>-8</v>
      </c>
      <c r="H16" t="s">
        <v>15</v>
      </c>
      <c r="I16">
        <f>K15-N15</f>
        <v>-90</v>
      </c>
      <c r="P16" t="s">
        <v>41</v>
      </c>
      <c r="Q16">
        <f t="shared" ref="Q16" si="2">I16/$I$8</f>
        <v>-1.6666666666666667</v>
      </c>
    </row>
    <row r="17" spans="1:17" x14ac:dyDescent="0.35">
      <c r="B17">
        <f>A4</f>
        <v>4</v>
      </c>
      <c r="C17">
        <f>H4</f>
        <v>1</v>
      </c>
      <c r="D17">
        <f>E4</f>
        <v>1</v>
      </c>
      <c r="E17">
        <f t="shared" si="0"/>
        <v>4</v>
      </c>
      <c r="F17">
        <f t="shared" si="1"/>
        <v>1</v>
      </c>
    </row>
    <row r="19" spans="1:17" x14ac:dyDescent="0.35">
      <c r="B19">
        <f>A2</f>
        <v>16</v>
      </c>
      <c r="C19">
        <f>C2</f>
        <v>4</v>
      </c>
      <c r="D19">
        <f>H2</f>
        <v>7</v>
      </c>
      <c r="E19">
        <f t="shared" si="0"/>
        <v>16</v>
      </c>
      <c r="F19">
        <f t="shared" si="1"/>
        <v>4</v>
      </c>
      <c r="I19" t="s">
        <v>39</v>
      </c>
      <c r="K19">
        <f>B19*C20*D21+C19*D20*E21+D19*E20*F21</f>
        <v>-126</v>
      </c>
      <c r="L19" t="s">
        <v>40</v>
      </c>
      <c r="N19">
        <f>B21*C20*D19+C21*D20*E19+D21*E20*F19</f>
        <v>288</v>
      </c>
    </row>
    <row r="20" spans="1:17" x14ac:dyDescent="0.35">
      <c r="A20" t="s">
        <v>38</v>
      </c>
      <c r="B20">
        <f>A3</f>
        <v>1</v>
      </c>
      <c r="C20">
        <f>C3</f>
        <v>1</v>
      </c>
      <c r="D20">
        <f>H3</f>
        <v>-8</v>
      </c>
      <c r="E20">
        <f t="shared" si="0"/>
        <v>1</v>
      </c>
      <c r="F20">
        <f t="shared" si="1"/>
        <v>1</v>
      </c>
      <c r="H20" t="s">
        <v>15</v>
      </c>
      <c r="I20">
        <f>K19-N19</f>
        <v>-414</v>
      </c>
      <c r="P20" t="s">
        <v>42</v>
      </c>
      <c r="Q20">
        <f t="shared" ref="Q20" si="3">I20/$I$8</f>
        <v>-7.666666666666667</v>
      </c>
    </row>
    <row r="21" spans="1:17" x14ac:dyDescent="0.35">
      <c r="B21">
        <f>A4</f>
        <v>4</v>
      </c>
      <c r="C21">
        <f>C4</f>
        <v>-2</v>
      </c>
      <c r="D21">
        <f>H4</f>
        <v>1</v>
      </c>
      <c r="E21">
        <f t="shared" si="0"/>
        <v>4</v>
      </c>
      <c r="F21">
        <f t="shared" si="1"/>
        <v>-2</v>
      </c>
    </row>
    <row r="23" spans="1:17" x14ac:dyDescent="0.35">
      <c r="B23" s="2" t="s">
        <v>24</v>
      </c>
      <c r="C23" s="2" t="s">
        <v>25</v>
      </c>
      <c r="D23" s="2" t="s">
        <v>26</v>
      </c>
      <c r="F23" t="str">
        <f>B23&amp;"*"&amp;C24&amp;"*"&amp;D25</f>
        <v>a11*a22*a33</v>
      </c>
      <c r="L23" t="str">
        <f>B25&amp;"*"&amp;C24&amp;"*"&amp;D23</f>
        <v>a31*a22*a13</v>
      </c>
    </row>
    <row r="24" spans="1:17" x14ac:dyDescent="0.35">
      <c r="B24" s="2" t="s">
        <v>43</v>
      </c>
      <c r="C24" s="2" t="s">
        <v>45</v>
      </c>
      <c r="D24" s="2" t="s">
        <v>47</v>
      </c>
      <c r="F24" t="str">
        <f t="shared" ref="F24" si="4">B24&amp;"*"&amp;C25&amp;"*"&amp;D26</f>
        <v>a21*a32*a13</v>
      </c>
      <c r="L24" t="str">
        <f>B26&amp;"*"&amp;C25&amp;"*"&amp;D24</f>
        <v>a11*a32*a23</v>
      </c>
    </row>
    <row r="25" spans="1:17" x14ac:dyDescent="0.35">
      <c r="B25" s="2" t="s">
        <v>44</v>
      </c>
      <c r="C25" s="2" t="s">
        <v>46</v>
      </c>
      <c r="D25" s="2" t="s">
        <v>48</v>
      </c>
      <c r="F25" t="str">
        <f>B25&amp;"*"&amp;C26&amp;"*"&amp;D27</f>
        <v>a31*a12*a23</v>
      </c>
      <c r="L25" t="str">
        <f>B27&amp;"*"&amp;C26&amp;"*"&amp;D25</f>
        <v>a21*a12*a33</v>
      </c>
    </row>
    <row r="26" spans="1:17" x14ac:dyDescent="0.35">
      <c r="B26" s="2" t="str">
        <f>B23</f>
        <v>a11</v>
      </c>
      <c r="C26" s="2" t="str">
        <f t="shared" ref="C26:D26" si="5">C23</f>
        <v>a12</v>
      </c>
      <c r="D26" s="2" t="str">
        <f t="shared" si="5"/>
        <v>a13</v>
      </c>
      <c r="F26" t="str">
        <f>F23&amp;"+"&amp;F24&amp;"+"&amp;F25</f>
        <v>a11*a22*a33+a21*a32*a13+a31*a12*a23</v>
      </c>
      <c r="L26" t="str">
        <f>L23&amp;"+"&amp;L24&amp;"+"&amp;L25</f>
        <v>a31*a22*a13+a11*a32*a23+a21*a12*a33</v>
      </c>
    </row>
    <row r="27" spans="1:17" x14ac:dyDescent="0.35">
      <c r="B27" s="2" t="str">
        <f>B24</f>
        <v>a21</v>
      </c>
      <c r="C27" s="2" t="str">
        <f t="shared" ref="C27:D27" si="6">C24</f>
        <v>a22</v>
      </c>
      <c r="D27" s="2" t="str">
        <f t="shared" si="6"/>
        <v>a23</v>
      </c>
      <c r="F27" t="str">
        <f>"("&amp;F26&amp;")-("&amp;L26&amp;")"</f>
        <v>(a11*a22*a33+a21*a32*a13+a31*a12*a23)-(a31*a22*a13+a11*a32*a23+a21*a12*a33)</v>
      </c>
    </row>
    <row r="29" spans="1:17" x14ac:dyDescent="0.35">
      <c r="B29" s="2" t="s">
        <v>13</v>
      </c>
      <c r="C29" s="2" t="s">
        <v>25</v>
      </c>
      <c r="D29" s="2" t="s">
        <v>26</v>
      </c>
      <c r="F29" t="str">
        <f>B29&amp;"*"&amp;C30&amp;"*"&amp;D31</f>
        <v>b1*a22*a33</v>
      </c>
      <c r="L29" t="str">
        <f>B31&amp;"*"&amp;C30&amp;"*"&amp;D29</f>
        <v>b3*a22*a13</v>
      </c>
    </row>
    <row r="30" spans="1:17" x14ac:dyDescent="0.35">
      <c r="B30" s="2" t="s">
        <v>12</v>
      </c>
      <c r="C30" s="2" t="s">
        <v>45</v>
      </c>
      <c r="D30" s="2" t="s">
        <v>47</v>
      </c>
      <c r="F30" t="str">
        <f t="shared" ref="F30" si="7">B30&amp;"*"&amp;C31&amp;"*"&amp;D32</f>
        <v>b2*a32*a13</v>
      </c>
      <c r="L30" t="str">
        <f>B32&amp;"*"&amp;C31&amp;"*"&amp;D30</f>
        <v>b1*a32*a23</v>
      </c>
    </row>
    <row r="31" spans="1:17" x14ac:dyDescent="0.35">
      <c r="B31" s="2" t="s">
        <v>27</v>
      </c>
      <c r="C31" s="2" t="s">
        <v>46</v>
      </c>
      <c r="D31" s="2" t="s">
        <v>48</v>
      </c>
      <c r="F31" t="str">
        <f>B31&amp;"*"&amp;C32&amp;"*"&amp;D33</f>
        <v>b3*a12*a23</v>
      </c>
      <c r="L31" t="str">
        <f>B33&amp;"*"&amp;C32&amp;"*"&amp;D31</f>
        <v>b2*a12*a33</v>
      </c>
    </row>
    <row r="32" spans="1:17" x14ac:dyDescent="0.35">
      <c r="B32" s="2" t="str">
        <f>B29</f>
        <v>b1</v>
      </c>
      <c r="C32" s="2" t="str">
        <f t="shared" ref="C32:D32" si="8">C29</f>
        <v>a12</v>
      </c>
      <c r="D32" s="2" t="str">
        <f t="shared" si="8"/>
        <v>a13</v>
      </c>
      <c r="F32" t="str">
        <f>F29&amp;"+"&amp;F30&amp;"+"&amp;F31</f>
        <v>b1*a22*a33+b2*a32*a13+b3*a12*a23</v>
      </c>
      <c r="L32" t="str">
        <f>L29&amp;"+"&amp;L30&amp;"+"&amp;L31</f>
        <v>b3*a22*a13+b1*a32*a23+b2*a12*a33</v>
      </c>
    </row>
    <row r="33" spans="2:12" x14ac:dyDescent="0.35">
      <c r="B33" s="2" t="str">
        <f>B30</f>
        <v>b2</v>
      </c>
      <c r="C33" s="2" t="str">
        <f t="shared" ref="C33:D33" si="9">C30</f>
        <v>a22</v>
      </c>
      <c r="D33" s="2" t="str">
        <f t="shared" si="9"/>
        <v>a23</v>
      </c>
      <c r="F33" t="str">
        <f>"("&amp;F32&amp;")-("&amp;L32&amp;")"</f>
        <v>(b1*a22*a33+b2*a32*a13+b3*a12*a23)-(b3*a22*a13+b1*a32*a23+b2*a12*a33)</v>
      </c>
    </row>
    <row r="35" spans="2:12" x14ac:dyDescent="0.35">
      <c r="B35" s="2" t="s">
        <v>24</v>
      </c>
      <c r="C35" s="2" t="s">
        <v>13</v>
      </c>
      <c r="D35" s="2" t="s">
        <v>26</v>
      </c>
      <c r="F35" t="str">
        <f>B35&amp;"*"&amp;C36&amp;"*"&amp;D37</f>
        <v>a11*b2*a33</v>
      </c>
      <c r="L35" t="str">
        <f>B37&amp;"*"&amp;C36&amp;"*"&amp;D35</f>
        <v>a31*b2*a13</v>
      </c>
    </row>
    <row r="36" spans="2:12" x14ac:dyDescent="0.35">
      <c r="B36" s="2" t="s">
        <v>43</v>
      </c>
      <c r="C36" s="2" t="s">
        <v>12</v>
      </c>
      <c r="D36" s="2" t="s">
        <v>47</v>
      </c>
      <c r="F36" t="str">
        <f t="shared" ref="F36" si="10">B36&amp;"*"&amp;C37&amp;"*"&amp;D38</f>
        <v>a21*b3*a13</v>
      </c>
      <c r="L36" t="str">
        <f>B38&amp;"*"&amp;C37&amp;"*"&amp;D36</f>
        <v>a11*b3*a23</v>
      </c>
    </row>
    <row r="37" spans="2:12" x14ac:dyDescent="0.35">
      <c r="B37" s="2" t="s">
        <v>44</v>
      </c>
      <c r="C37" s="2" t="s">
        <v>27</v>
      </c>
      <c r="D37" s="2" t="s">
        <v>48</v>
      </c>
      <c r="F37" t="str">
        <f>B37&amp;"*"&amp;C38&amp;"*"&amp;D39</f>
        <v>a31*b1*a23</v>
      </c>
      <c r="L37" t="str">
        <f>B39&amp;"*"&amp;C38&amp;"*"&amp;D37</f>
        <v>a21*b1*a33</v>
      </c>
    </row>
    <row r="38" spans="2:12" x14ac:dyDescent="0.35">
      <c r="B38" s="2" t="str">
        <f>B35</f>
        <v>a11</v>
      </c>
      <c r="C38" s="2" t="str">
        <f t="shared" ref="C38:D38" si="11">C35</f>
        <v>b1</v>
      </c>
      <c r="D38" s="2" t="str">
        <f t="shared" si="11"/>
        <v>a13</v>
      </c>
      <c r="F38" t="str">
        <f>F35&amp;"+"&amp;F36&amp;"+"&amp;F37</f>
        <v>a11*b2*a33+a21*b3*a13+a31*b1*a23</v>
      </c>
      <c r="L38" t="str">
        <f>L35&amp;"+"&amp;L36&amp;"+"&amp;L37</f>
        <v>a31*b2*a13+a11*b3*a23+a21*b1*a33</v>
      </c>
    </row>
    <row r="39" spans="2:12" x14ac:dyDescent="0.35">
      <c r="B39" s="2" t="str">
        <f>B36</f>
        <v>a21</v>
      </c>
      <c r="C39" s="2" t="str">
        <f t="shared" ref="C39:D39" si="12">C36</f>
        <v>b2</v>
      </c>
      <c r="D39" s="2" t="str">
        <f t="shared" si="12"/>
        <v>a23</v>
      </c>
      <c r="F39" t="str">
        <f>"("&amp;F38&amp;")-("&amp;L38&amp;")"</f>
        <v>(a11*b2*a33+a21*b3*a13+a31*b1*a23)-(a31*b2*a13+a11*b3*a23+a21*b1*a33)</v>
      </c>
    </row>
    <row r="41" spans="2:12" x14ac:dyDescent="0.35">
      <c r="B41" s="2" t="s">
        <v>24</v>
      </c>
      <c r="C41" s="2" t="s">
        <v>25</v>
      </c>
      <c r="D41" s="2" t="s">
        <v>13</v>
      </c>
      <c r="F41" t="str">
        <f>B41&amp;"*"&amp;C42&amp;"*"&amp;D43</f>
        <v>a11*a22*b3</v>
      </c>
      <c r="L41" t="str">
        <f>B43&amp;"*"&amp;C42&amp;"*"&amp;D41</f>
        <v>a31*a22*b1</v>
      </c>
    </row>
    <row r="42" spans="2:12" x14ac:dyDescent="0.35">
      <c r="B42" s="2" t="s">
        <v>43</v>
      </c>
      <c r="C42" s="2" t="s">
        <v>45</v>
      </c>
      <c r="D42" s="2" t="s">
        <v>12</v>
      </c>
      <c r="F42" t="str">
        <f t="shared" ref="F42" si="13">B42&amp;"*"&amp;C43&amp;"*"&amp;D44</f>
        <v>a21*a32*b1</v>
      </c>
      <c r="L42" t="str">
        <f>B44&amp;"*"&amp;C43&amp;"*"&amp;D42</f>
        <v>a11*a32*b2</v>
      </c>
    </row>
    <row r="43" spans="2:12" x14ac:dyDescent="0.35">
      <c r="B43" s="2" t="s">
        <v>44</v>
      </c>
      <c r="C43" s="2" t="s">
        <v>46</v>
      </c>
      <c r="D43" s="2" t="s">
        <v>27</v>
      </c>
      <c r="F43" t="str">
        <f>B43&amp;"*"&amp;C44&amp;"*"&amp;D45</f>
        <v>a31*a12*b2</v>
      </c>
      <c r="L43" t="str">
        <f>B45&amp;"*"&amp;C44&amp;"*"&amp;D43</f>
        <v>a21*a12*b3</v>
      </c>
    </row>
    <row r="44" spans="2:12" x14ac:dyDescent="0.35">
      <c r="B44" s="2" t="str">
        <f>B41</f>
        <v>a11</v>
      </c>
      <c r="C44" s="2" t="str">
        <f t="shared" ref="C44" si="14">C41</f>
        <v>a12</v>
      </c>
      <c r="D44" s="2" t="str">
        <f t="shared" ref="D44" si="15">D41</f>
        <v>b1</v>
      </c>
      <c r="F44" t="str">
        <f>F41&amp;"+"&amp;F42&amp;"+"&amp;F43</f>
        <v>a11*a22*b3+a21*a32*b1+a31*a12*b2</v>
      </c>
      <c r="L44" t="str">
        <f>L41&amp;"+"&amp;L42&amp;"+"&amp;L43</f>
        <v>a31*a22*b1+a11*a32*b2+a21*a12*b3</v>
      </c>
    </row>
    <row r="45" spans="2:12" x14ac:dyDescent="0.35">
      <c r="B45" s="2" t="str">
        <f>B42</f>
        <v>a21</v>
      </c>
      <c r="C45" s="2" t="str">
        <f t="shared" ref="C45" si="16">C42</f>
        <v>a22</v>
      </c>
      <c r="D45" s="2" t="str">
        <f t="shared" ref="D45" si="17">D42</f>
        <v>b2</v>
      </c>
      <c r="F45" t="str">
        <f>"("&amp;F44&amp;")-("&amp;L44&amp;")"</f>
        <v>(a11*a22*b3+a21*a32*b1+a31*a12*b2)-(a31*a22*b1+a11*a32*b2+a21*a12*b3)</v>
      </c>
    </row>
    <row r="49" spans="2:14" x14ac:dyDescent="0.35">
      <c r="B49">
        <v>2</v>
      </c>
      <c r="C49">
        <v>4</v>
      </c>
      <c r="D49">
        <v>12</v>
      </c>
      <c r="E49">
        <f>B49</f>
        <v>2</v>
      </c>
      <c r="F49">
        <f>C49</f>
        <v>4</v>
      </c>
      <c r="I49" t="s">
        <v>39</v>
      </c>
      <c r="K49">
        <f>B49*C50*D51+C49*D50*E51+D49*E50*F51</f>
        <v>564</v>
      </c>
      <c r="L49" t="s">
        <v>40</v>
      </c>
      <c r="N49">
        <f>B51*C50*D49+C51*D50*E49+D51*E50*F49</f>
        <v>262</v>
      </c>
    </row>
    <row r="50" spans="2:14" x14ac:dyDescent="0.35">
      <c r="B50">
        <v>-5</v>
      </c>
      <c r="C50">
        <v>11</v>
      </c>
      <c r="D50">
        <v>1</v>
      </c>
      <c r="E50">
        <f t="shared" ref="E50:E51" si="18">B50</f>
        <v>-5</v>
      </c>
      <c r="F50">
        <f t="shared" ref="F50:F51" si="19">C50</f>
        <v>11</v>
      </c>
      <c r="H50" t="s">
        <v>15</v>
      </c>
      <c r="I50">
        <f>K49-N49</f>
        <v>302</v>
      </c>
    </row>
    <row r="51" spans="2:14" x14ac:dyDescent="0.35">
      <c r="B51">
        <v>3</v>
      </c>
      <c r="C51">
        <v>-7</v>
      </c>
      <c r="D51">
        <v>6</v>
      </c>
      <c r="E51">
        <f t="shared" si="18"/>
        <v>3</v>
      </c>
      <c r="F51">
        <f t="shared" si="19"/>
        <v>-7</v>
      </c>
    </row>
    <row r="53" spans="2:14" x14ac:dyDescent="0.35">
      <c r="B53">
        <v>2</v>
      </c>
      <c r="C53">
        <v>4</v>
      </c>
      <c r="D53">
        <v>12</v>
      </c>
      <c r="F53">
        <f>B53</f>
        <v>2</v>
      </c>
      <c r="G53">
        <f t="shared" ref="G53:H53" si="20">C53</f>
        <v>4</v>
      </c>
      <c r="H53">
        <f t="shared" si="20"/>
        <v>12</v>
      </c>
      <c r="J53">
        <f>F53</f>
        <v>2</v>
      </c>
      <c r="K53">
        <f t="shared" ref="K53:L54" si="21">G53</f>
        <v>4</v>
      </c>
      <c r="L53">
        <f t="shared" si="21"/>
        <v>12</v>
      </c>
    </row>
    <row r="54" spans="2:14" x14ac:dyDescent="0.35">
      <c r="B54">
        <v>-5</v>
      </c>
      <c r="C54">
        <v>11</v>
      </c>
      <c r="D54">
        <v>1</v>
      </c>
      <c r="F54">
        <f>B54/B53+(-$B$54/$B$53)</f>
        <v>0</v>
      </c>
      <c r="G54">
        <f t="shared" ref="G54:H54" si="22">C54/C53+(-$B$54/$B$53)</f>
        <v>5.25</v>
      </c>
      <c r="H54">
        <f t="shared" si="22"/>
        <v>2.5833333333333335</v>
      </c>
      <c r="J54">
        <f>F54</f>
        <v>0</v>
      </c>
      <c r="K54">
        <f t="shared" si="21"/>
        <v>5.25</v>
      </c>
      <c r="L54">
        <f t="shared" si="21"/>
        <v>2.5833333333333335</v>
      </c>
    </row>
    <row r="55" spans="2:14" x14ac:dyDescent="0.35">
      <c r="B55">
        <v>3</v>
      </c>
      <c r="C55">
        <v>-7</v>
      </c>
      <c r="D55">
        <v>6</v>
      </c>
      <c r="F55">
        <f>B55/B53+(-$B$55/$B$53)</f>
        <v>0</v>
      </c>
      <c r="G55">
        <f t="shared" ref="G55:H55" si="23">C55/C53+(-$B$55/$B$53)</f>
        <v>-3.25</v>
      </c>
      <c r="H55">
        <f t="shared" si="23"/>
        <v>-1</v>
      </c>
      <c r="J55" t="e">
        <f>F55/F54+(-$G$55/$G$54)</f>
        <v>#DIV/0!</v>
      </c>
      <c r="K55">
        <f>G55/G54+(-$G$55/$G$54)</f>
        <v>0</v>
      </c>
      <c r="L55">
        <f>H55/H54+(-$G$55/$G$54)</f>
        <v>0.23195084485407069</v>
      </c>
    </row>
    <row r="57" spans="2:14" x14ac:dyDescent="0.35">
      <c r="L57">
        <f>J53*K54*L55</f>
        <v>2.4354838709677424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DF14-2B7B-4AF0-8F0D-D3E34DAB423B}">
  <dimension ref="A1:Q60"/>
  <sheetViews>
    <sheetView workbookViewId="0">
      <selection activeCell="B48" sqref="B48:E50"/>
    </sheetView>
  </sheetViews>
  <sheetFormatPr baseColWidth="10" defaultRowHeight="14.5" x14ac:dyDescent="0.35"/>
  <cols>
    <col min="1" max="2" width="7.90625" customWidth="1"/>
    <col min="3" max="3" width="9" customWidth="1"/>
    <col min="4" max="6" width="7.90625" customWidth="1"/>
    <col min="7" max="7" width="2.7265625" customWidth="1"/>
    <col min="8" max="9" width="7.90625" customWidth="1"/>
    <col min="10" max="10" width="4.26953125" customWidth="1"/>
    <col min="13" max="13" width="3.7265625" customWidth="1"/>
    <col min="15" max="15" width="4.54296875" customWidth="1"/>
    <col min="16" max="16" width="5" customWidth="1"/>
  </cols>
  <sheetData>
    <row r="1" spans="1:17" x14ac:dyDescent="0.35">
      <c r="A1" t="s">
        <v>23</v>
      </c>
    </row>
    <row r="2" spans="1:17" x14ac:dyDescent="0.35">
      <c r="A2">
        <v>13.33</v>
      </c>
      <c r="B2" t="s">
        <v>31</v>
      </c>
      <c r="C2">
        <v>8.68</v>
      </c>
      <c r="D2" t="s">
        <v>34</v>
      </c>
      <c r="E2">
        <v>15.81</v>
      </c>
      <c r="F2" t="s">
        <v>28</v>
      </c>
      <c r="G2" t="s">
        <v>8</v>
      </c>
      <c r="H2">
        <v>124</v>
      </c>
      <c r="I2" t="s">
        <v>13</v>
      </c>
    </row>
    <row r="3" spans="1:17" x14ac:dyDescent="0.35">
      <c r="A3" s="1">
        <v>4.3</v>
      </c>
      <c r="B3" s="1" t="s">
        <v>32</v>
      </c>
      <c r="C3" s="1">
        <v>2.8</v>
      </c>
      <c r="D3" s="1" t="s">
        <v>35</v>
      </c>
      <c r="E3" s="1">
        <v>5.0999999999999996</v>
      </c>
      <c r="F3" s="1" t="s">
        <v>29</v>
      </c>
      <c r="G3" s="1" t="s">
        <v>8</v>
      </c>
      <c r="H3" s="1">
        <v>40</v>
      </c>
      <c r="I3" t="s">
        <v>13</v>
      </c>
    </row>
    <row r="4" spans="1:17" x14ac:dyDescent="0.35">
      <c r="A4">
        <v>-8.6</v>
      </c>
      <c r="B4" t="s">
        <v>33</v>
      </c>
      <c r="C4">
        <v>-5.6</v>
      </c>
      <c r="D4" t="s">
        <v>36</v>
      </c>
      <c r="E4">
        <v>-10.199999999999999</v>
      </c>
      <c r="F4" t="s">
        <v>30</v>
      </c>
      <c r="G4" t="s">
        <v>8</v>
      </c>
      <c r="H4">
        <v>-80</v>
      </c>
      <c r="I4" t="s">
        <v>27</v>
      </c>
    </row>
    <row r="7" spans="1:17" x14ac:dyDescent="0.35">
      <c r="B7">
        <f>A2</f>
        <v>13.33</v>
      </c>
      <c r="C7">
        <f>C2</f>
        <v>8.68</v>
      </c>
      <c r="D7">
        <f>E2</f>
        <v>15.81</v>
      </c>
      <c r="E7">
        <f>B7</f>
        <v>13.33</v>
      </c>
      <c r="F7">
        <f>C7</f>
        <v>8.68</v>
      </c>
      <c r="I7" t="s">
        <v>39</v>
      </c>
      <c r="K7">
        <f>B7*C8*D9+C7*D8*E9+D7*E8*F9</f>
        <v>-1142.1143999999999</v>
      </c>
      <c r="L7" t="s">
        <v>40</v>
      </c>
      <c r="N7">
        <f>B9*C8*D7+C9*D8*E7+D9*E8*F7</f>
        <v>-1142.1143999999999</v>
      </c>
    </row>
    <row r="8" spans="1:17" x14ac:dyDescent="0.35">
      <c r="A8" t="s">
        <v>37</v>
      </c>
      <c r="B8">
        <f>A3</f>
        <v>4.3</v>
      </c>
      <c r="C8">
        <f>C3</f>
        <v>2.8</v>
      </c>
      <c r="D8">
        <f>E3</f>
        <v>5.0999999999999996</v>
      </c>
      <c r="E8">
        <f t="shared" ref="E8:F21" si="0">B8</f>
        <v>4.3</v>
      </c>
      <c r="F8">
        <f t="shared" si="0"/>
        <v>2.8</v>
      </c>
      <c r="H8" t="s">
        <v>15</v>
      </c>
      <c r="I8">
        <f>K7-N7</f>
        <v>0</v>
      </c>
    </row>
    <row r="9" spans="1:17" x14ac:dyDescent="0.35">
      <c r="B9">
        <f>A4</f>
        <v>-8.6</v>
      </c>
      <c r="C9">
        <f>C4</f>
        <v>-5.6</v>
      </c>
      <c r="D9">
        <f>E4</f>
        <v>-10.199999999999999</v>
      </c>
      <c r="E9">
        <f t="shared" si="0"/>
        <v>-8.6</v>
      </c>
      <c r="F9">
        <f t="shared" si="0"/>
        <v>-5.6</v>
      </c>
    </row>
    <row r="11" spans="1:17" x14ac:dyDescent="0.35">
      <c r="B11">
        <f>H2</f>
        <v>124</v>
      </c>
      <c r="C11">
        <f>C2</f>
        <v>8.68</v>
      </c>
      <c r="D11">
        <f>E2</f>
        <v>15.81</v>
      </c>
      <c r="E11">
        <f t="shared" si="0"/>
        <v>124</v>
      </c>
      <c r="F11">
        <f t="shared" si="0"/>
        <v>8.68</v>
      </c>
      <c r="I11" t="s">
        <v>39</v>
      </c>
      <c r="K11">
        <f>B11*C12*D13+C11*D12*E13+D11*E12*F13</f>
        <v>-10624.32</v>
      </c>
      <c r="L11" t="s">
        <v>40</v>
      </c>
      <c r="N11">
        <f>B13*C12*D11+C13*D12*E11+D13*E12*F11</f>
        <v>-10624.32</v>
      </c>
    </row>
    <row r="12" spans="1:17" x14ac:dyDescent="0.35">
      <c r="A12" t="s">
        <v>16</v>
      </c>
      <c r="B12">
        <f>H3</f>
        <v>40</v>
      </c>
      <c r="C12">
        <f>C3</f>
        <v>2.8</v>
      </c>
      <c r="D12">
        <f>E3</f>
        <v>5.0999999999999996</v>
      </c>
      <c r="E12">
        <f t="shared" si="0"/>
        <v>40</v>
      </c>
      <c r="F12">
        <f t="shared" si="0"/>
        <v>2.8</v>
      </c>
      <c r="H12" t="s">
        <v>15</v>
      </c>
      <c r="I12">
        <f>K11-N11</f>
        <v>0</v>
      </c>
      <c r="P12" t="s">
        <v>20</v>
      </c>
      <c r="Q12" t="e">
        <f>I12/$I$8</f>
        <v>#DIV/0!</v>
      </c>
    </row>
    <row r="13" spans="1:17" x14ac:dyDescent="0.35">
      <c r="B13">
        <f>H4</f>
        <v>-80</v>
      </c>
      <c r="C13">
        <f>C4</f>
        <v>-5.6</v>
      </c>
      <c r="D13">
        <f>E4</f>
        <v>-10.199999999999999</v>
      </c>
      <c r="E13">
        <f t="shared" si="0"/>
        <v>-80</v>
      </c>
      <c r="F13">
        <f t="shared" si="0"/>
        <v>-5.6</v>
      </c>
    </row>
    <row r="15" spans="1:17" x14ac:dyDescent="0.35">
      <c r="B15">
        <f>A2</f>
        <v>13.33</v>
      </c>
      <c r="C15">
        <f>H2</f>
        <v>124</v>
      </c>
      <c r="D15">
        <f>E2</f>
        <v>15.81</v>
      </c>
      <c r="E15">
        <f t="shared" si="0"/>
        <v>13.33</v>
      </c>
      <c r="F15">
        <f t="shared" si="0"/>
        <v>124</v>
      </c>
      <c r="I15" t="s">
        <v>39</v>
      </c>
      <c r="K15">
        <f>B15*C16*D17+C15*D16*E17+D15*E16*F17</f>
        <v>-16315.919999999998</v>
      </c>
      <c r="L15" t="s">
        <v>40</v>
      </c>
      <c r="N15">
        <f>B17*C16*D15+C17*D16*E15+D17*E16*F15</f>
        <v>-16315.92</v>
      </c>
    </row>
    <row r="16" spans="1:17" x14ac:dyDescent="0.35">
      <c r="A16" t="s">
        <v>18</v>
      </c>
      <c r="B16">
        <f>A3</f>
        <v>4.3</v>
      </c>
      <c r="C16">
        <f>H3</f>
        <v>40</v>
      </c>
      <c r="D16">
        <f>E3</f>
        <v>5.0999999999999996</v>
      </c>
      <c r="E16">
        <f t="shared" si="0"/>
        <v>4.3</v>
      </c>
      <c r="F16">
        <f t="shared" si="0"/>
        <v>40</v>
      </c>
      <c r="H16" t="s">
        <v>15</v>
      </c>
      <c r="I16">
        <f>K15-N15</f>
        <v>0</v>
      </c>
      <c r="P16" t="s">
        <v>41</v>
      </c>
      <c r="Q16" t="e">
        <f t="shared" ref="Q16" si="1">I16/$I$8</f>
        <v>#DIV/0!</v>
      </c>
    </row>
    <row r="17" spans="1:17" x14ac:dyDescent="0.35">
      <c r="B17">
        <f>A4</f>
        <v>-8.6</v>
      </c>
      <c r="C17">
        <f>H4</f>
        <v>-80</v>
      </c>
      <c r="D17">
        <f>E4</f>
        <v>-10.199999999999999</v>
      </c>
      <c r="E17">
        <f t="shared" si="0"/>
        <v>-8.6</v>
      </c>
      <c r="F17">
        <f t="shared" si="0"/>
        <v>-80</v>
      </c>
    </row>
    <row r="19" spans="1:17" x14ac:dyDescent="0.35">
      <c r="B19">
        <f>A2</f>
        <v>13.33</v>
      </c>
      <c r="C19">
        <f>C2</f>
        <v>8.68</v>
      </c>
      <c r="D19">
        <f>H2</f>
        <v>124</v>
      </c>
      <c r="E19">
        <f t="shared" si="0"/>
        <v>13.33</v>
      </c>
      <c r="F19">
        <f t="shared" si="0"/>
        <v>8.68</v>
      </c>
      <c r="I19" t="s">
        <v>39</v>
      </c>
      <c r="K19">
        <f>B19*C20*D21+C19*D20*E21+D19*E20*F21</f>
        <v>-8957.76</v>
      </c>
      <c r="L19" t="s">
        <v>40</v>
      </c>
      <c r="N19">
        <f>B21*C20*D19+C21*D20*E19+D21*E20*F19</f>
        <v>-8957.76</v>
      </c>
    </row>
    <row r="20" spans="1:17" x14ac:dyDescent="0.35">
      <c r="A20" t="s">
        <v>38</v>
      </c>
      <c r="B20">
        <f>A3</f>
        <v>4.3</v>
      </c>
      <c r="C20">
        <f>C3</f>
        <v>2.8</v>
      </c>
      <c r="D20">
        <f>H3</f>
        <v>40</v>
      </c>
      <c r="E20">
        <f t="shared" si="0"/>
        <v>4.3</v>
      </c>
      <c r="F20">
        <f t="shared" si="0"/>
        <v>2.8</v>
      </c>
      <c r="H20" t="s">
        <v>15</v>
      </c>
      <c r="I20">
        <f>K19-N19</f>
        <v>0</v>
      </c>
      <c r="P20" t="s">
        <v>42</v>
      </c>
      <c r="Q20" t="e">
        <f t="shared" ref="Q20" si="2">I20/$I$8</f>
        <v>#DIV/0!</v>
      </c>
    </row>
    <row r="21" spans="1:17" x14ac:dyDescent="0.35">
      <c r="B21">
        <f>A4</f>
        <v>-8.6</v>
      </c>
      <c r="C21">
        <f>C4</f>
        <v>-5.6</v>
      </c>
      <c r="D21">
        <f>H4</f>
        <v>-80</v>
      </c>
      <c r="E21">
        <f t="shared" si="0"/>
        <v>-8.6</v>
      </c>
      <c r="F21">
        <f t="shared" si="0"/>
        <v>-5.6</v>
      </c>
    </row>
    <row r="23" spans="1:17" x14ac:dyDescent="0.35">
      <c r="B23" s="2" t="s">
        <v>24</v>
      </c>
      <c r="C23" s="2" t="s">
        <v>25</v>
      </c>
      <c r="D23" s="2" t="s">
        <v>26</v>
      </c>
      <c r="F23" t="str">
        <f>B23&amp;"*"&amp;C24&amp;"*"&amp;D25</f>
        <v>a11*a22*a33</v>
      </c>
      <c r="L23" t="str">
        <f>B25&amp;"*"&amp;C24&amp;"*"&amp;D23</f>
        <v>a31*a22*a13</v>
      </c>
    </row>
    <row r="24" spans="1:17" x14ac:dyDescent="0.35">
      <c r="B24" s="2" t="s">
        <v>43</v>
      </c>
      <c r="C24" s="2" t="s">
        <v>45</v>
      </c>
      <c r="D24" s="2" t="s">
        <v>47</v>
      </c>
      <c r="F24" t="str">
        <f t="shared" ref="F24" si="3">B24&amp;"*"&amp;C25&amp;"*"&amp;D26</f>
        <v>a21*a32*a13</v>
      </c>
      <c r="L24" t="str">
        <f>B26&amp;"*"&amp;C25&amp;"*"&amp;D24</f>
        <v>a11*a32*a23</v>
      </c>
    </row>
    <row r="25" spans="1:17" x14ac:dyDescent="0.35">
      <c r="B25" s="2" t="s">
        <v>44</v>
      </c>
      <c r="C25" s="2" t="s">
        <v>46</v>
      </c>
      <c r="D25" s="2" t="s">
        <v>48</v>
      </c>
      <c r="F25" t="str">
        <f>B25&amp;"*"&amp;C26&amp;"*"&amp;D27</f>
        <v>a31*a12*a23</v>
      </c>
      <c r="L25" t="str">
        <f>B27&amp;"*"&amp;C26&amp;"*"&amp;D25</f>
        <v>a21*a12*a33</v>
      </c>
    </row>
    <row r="26" spans="1:17" x14ac:dyDescent="0.35">
      <c r="B26" s="2" t="str">
        <f>B23</f>
        <v>a11</v>
      </c>
      <c r="C26" s="2" t="str">
        <f t="shared" ref="C26:D27" si="4">C23</f>
        <v>a12</v>
      </c>
      <c r="D26" s="2" t="str">
        <f t="shared" si="4"/>
        <v>a13</v>
      </c>
      <c r="F26" t="str">
        <f>F23&amp;"+"&amp;F24&amp;"+"&amp;F25</f>
        <v>a11*a22*a33+a21*a32*a13+a31*a12*a23</v>
      </c>
      <c r="L26" t="str">
        <f>L23&amp;"+"&amp;L24&amp;"+"&amp;L25</f>
        <v>a31*a22*a13+a11*a32*a23+a21*a12*a33</v>
      </c>
    </row>
    <row r="27" spans="1:17" x14ac:dyDescent="0.35">
      <c r="B27" s="2" t="str">
        <f>B24</f>
        <v>a21</v>
      </c>
      <c r="C27" s="2" t="str">
        <f t="shared" si="4"/>
        <v>a22</v>
      </c>
      <c r="D27" s="2" t="str">
        <f t="shared" si="4"/>
        <v>a23</v>
      </c>
      <c r="F27" t="str">
        <f>"("&amp;F26&amp;")-("&amp;L26&amp;")"</f>
        <v>(a11*a22*a33+a21*a32*a13+a31*a12*a23)-(a31*a22*a13+a11*a32*a23+a21*a12*a33)</v>
      </c>
    </row>
    <row r="29" spans="1:17" x14ac:dyDescent="0.35">
      <c r="B29" s="2" t="s">
        <v>13</v>
      </c>
      <c r="C29" s="2" t="s">
        <v>25</v>
      </c>
      <c r="D29" s="2" t="s">
        <v>26</v>
      </c>
      <c r="F29" t="str">
        <f>B29&amp;"*"&amp;C30&amp;"*"&amp;D31</f>
        <v>b1*a22*a33</v>
      </c>
      <c r="L29" t="str">
        <f>B31&amp;"*"&amp;C30&amp;"*"&amp;D29</f>
        <v>b3*a22*a13</v>
      </c>
    </row>
    <row r="30" spans="1:17" x14ac:dyDescent="0.35">
      <c r="B30" s="2" t="s">
        <v>12</v>
      </c>
      <c r="C30" s="2" t="s">
        <v>45</v>
      </c>
      <c r="D30" s="2" t="s">
        <v>47</v>
      </c>
      <c r="F30" t="str">
        <f t="shared" ref="F30" si="5">B30&amp;"*"&amp;C31&amp;"*"&amp;D32</f>
        <v>b2*a32*a13</v>
      </c>
      <c r="L30" t="str">
        <f>B32&amp;"*"&amp;C31&amp;"*"&amp;D30</f>
        <v>b1*a32*a23</v>
      </c>
    </row>
    <row r="31" spans="1:17" x14ac:dyDescent="0.35">
      <c r="B31" s="2" t="s">
        <v>27</v>
      </c>
      <c r="C31" s="2" t="s">
        <v>46</v>
      </c>
      <c r="D31" s="2" t="s">
        <v>48</v>
      </c>
      <c r="F31" t="str">
        <f>B31&amp;"*"&amp;C32&amp;"*"&amp;D33</f>
        <v>b3*a12*a23</v>
      </c>
      <c r="L31" t="str">
        <f>B33&amp;"*"&amp;C32&amp;"*"&amp;D31</f>
        <v>b2*a12*a33</v>
      </c>
    </row>
    <row r="32" spans="1:17" x14ac:dyDescent="0.35">
      <c r="B32" s="2" t="str">
        <f>B29</f>
        <v>b1</v>
      </c>
      <c r="C32" s="2" t="str">
        <f t="shared" ref="C32:D33" si="6">C29</f>
        <v>a12</v>
      </c>
      <c r="D32" s="2" t="str">
        <f t="shared" si="6"/>
        <v>a13</v>
      </c>
      <c r="F32" t="str">
        <f>F29&amp;"+"&amp;F30&amp;"+"&amp;F31</f>
        <v>b1*a22*a33+b2*a32*a13+b3*a12*a23</v>
      </c>
      <c r="L32" t="str">
        <f>L29&amp;"+"&amp;L30&amp;"+"&amp;L31</f>
        <v>b3*a22*a13+b1*a32*a23+b2*a12*a33</v>
      </c>
    </row>
    <row r="33" spans="2:12" x14ac:dyDescent="0.35">
      <c r="B33" s="2" t="str">
        <f>B30</f>
        <v>b2</v>
      </c>
      <c r="C33" s="2" t="str">
        <f t="shared" si="6"/>
        <v>a22</v>
      </c>
      <c r="D33" s="2" t="str">
        <f t="shared" si="6"/>
        <v>a23</v>
      </c>
      <c r="F33" t="str">
        <f>"("&amp;F32&amp;")-("&amp;L32&amp;")"</f>
        <v>(b1*a22*a33+b2*a32*a13+b3*a12*a23)-(b3*a22*a13+b1*a32*a23+b2*a12*a33)</v>
      </c>
    </row>
    <row r="35" spans="2:12" x14ac:dyDescent="0.35">
      <c r="B35" s="2" t="s">
        <v>24</v>
      </c>
      <c r="C35" s="2" t="s">
        <v>13</v>
      </c>
      <c r="D35" s="2" t="s">
        <v>26</v>
      </c>
      <c r="F35" t="str">
        <f>B35&amp;"*"&amp;C36&amp;"*"&amp;D37</f>
        <v>a11*b2*a33</v>
      </c>
      <c r="L35" t="str">
        <f>B37&amp;"*"&amp;C36&amp;"*"&amp;D35</f>
        <v>a31*b2*a13</v>
      </c>
    </row>
    <row r="36" spans="2:12" x14ac:dyDescent="0.35">
      <c r="B36" s="2" t="s">
        <v>43</v>
      </c>
      <c r="C36" s="2" t="s">
        <v>12</v>
      </c>
      <c r="D36" s="2" t="s">
        <v>47</v>
      </c>
      <c r="F36" t="str">
        <f t="shared" ref="F36" si="7">B36&amp;"*"&amp;C37&amp;"*"&amp;D38</f>
        <v>a21*b3*a13</v>
      </c>
      <c r="L36" t="str">
        <f>B38&amp;"*"&amp;C37&amp;"*"&amp;D36</f>
        <v>a11*b3*a23</v>
      </c>
    </row>
    <row r="37" spans="2:12" x14ac:dyDescent="0.35">
      <c r="B37" s="2" t="s">
        <v>44</v>
      </c>
      <c r="C37" s="2" t="s">
        <v>27</v>
      </c>
      <c r="D37" s="2" t="s">
        <v>48</v>
      </c>
      <c r="F37" t="str">
        <f>B37&amp;"*"&amp;C38&amp;"*"&amp;D39</f>
        <v>a31*b1*a23</v>
      </c>
      <c r="L37" t="str">
        <f>B39&amp;"*"&amp;C38&amp;"*"&amp;D37</f>
        <v>a21*b1*a33</v>
      </c>
    </row>
    <row r="38" spans="2:12" x14ac:dyDescent="0.35">
      <c r="B38" s="2" t="str">
        <f>B35</f>
        <v>a11</v>
      </c>
      <c r="C38" s="2" t="str">
        <f t="shared" ref="C38:D39" si="8">C35</f>
        <v>b1</v>
      </c>
      <c r="D38" s="2" t="str">
        <f t="shared" si="8"/>
        <v>a13</v>
      </c>
      <c r="F38" t="str">
        <f>F35&amp;"+"&amp;F36&amp;"+"&amp;F37</f>
        <v>a11*b2*a33+a21*b3*a13+a31*b1*a23</v>
      </c>
      <c r="L38" t="str">
        <f>L35&amp;"+"&amp;L36&amp;"+"&amp;L37</f>
        <v>a31*b2*a13+a11*b3*a23+a21*b1*a33</v>
      </c>
    </row>
    <row r="39" spans="2:12" x14ac:dyDescent="0.35">
      <c r="B39" s="2" t="str">
        <f>B36</f>
        <v>a21</v>
      </c>
      <c r="C39" s="2" t="str">
        <f t="shared" si="8"/>
        <v>b2</v>
      </c>
      <c r="D39" s="2" t="str">
        <f t="shared" si="8"/>
        <v>a23</v>
      </c>
      <c r="F39" t="str">
        <f>"("&amp;F38&amp;")-("&amp;L38&amp;")"</f>
        <v>(a11*b2*a33+a21*b3*a13+a31*b1*a23)-(a31*b2*a13+a11*b3*a23+a21*b1*a33)</v>
      </c>
    </row>
    <row r="41" spans="2:12" x14ac:dyDescent="0.35">
      <c r="B41" s="2" t="s">
        <v>24</v>
      </c>
      <c r="C41" s="2" t="s">
        <v>25</v>
      </c>
      <c r="D41" s="2" t="s">
        <v>13</v>
      </c>
      <c r="F41" t="str">
        <f>B41&amp;"*"&amp;C42&amp;"*"&amp;D43</f>
        <v>a11*a22*b3</v>
      </c>
      <c r="L41" t="str">
        <f>B43&amp;"*"&amp;C42&amp;"*"&amp;D41</f>
        <v>a31*a22*b1</v>
      </c>
    </row>
    <row r="42" spans="2:12" x14ac:dyDescent="0.35">
      <c r="B42" s="2" t="s">
        <v>43</v>
      </c>
      <c r="C42" s="2" t="s">
        <v>45</v>
      </c>
      <c r="D42" s="2" t="s">
        <v>12</v>
      </c>
      <c r="F42" t="str">
        <f t="shared" ref="F42" si="9">B42&amp;"*"&amp;C43&amp;"*"&amp;D44</f>
        <v>a21*a32*b1</v>
      </c>
      <c r="L42" t="str">
        <f>B44&amp;"*"&amp;C43&amp;"*"&amp;D42</f>
        <v>a11*a32*b2</v>
      </c>
    </row>
    <row r="43" spans="2:12" x14ac:dyDescent="0.35">
      <c r="B43" s="2" t="s">
        <v>44</v>
      </c>
      <c r="C43" s="2" t="s">
        <v>46</v>
      </c>
      <c r="D43" s="2" t="s">
        <v>27</v>
      </c>
      <c r="F43" t="str">
        <f>B43&amp;"*"&amp;C44&amp;"*"&amp;D45</f>
        <v>a31*a12*b2</v>
      </c>
      <c r="L43" t="str">
        <f>B45&amp;"*"&amp;C44&amp;"*"&amp;D43</f>
        <v>a21*a12*b3</v>
      </c>
    </row>
    <row r="44" spans="2:12" x14ac:dyDescent="0.35">
      <c r="B44" s="2" t="str">
        <f>B41</f>
        <v>a11</v>
      </c>
      <c r="C44" s="2" t="str">
        <f t="shared" ref="C44:D45" si="10">C41</f>
        <v>a12</v>
      </c>
      <c r="D44" s="2" t="str">
        <f t="shared" si="10"/>
        <v>b1</v>
      </c>
      <c r="F44" t="str">
        <f>F41&amp;"+"&amp;F42&amp;"+"&amp;F43</f>
        <v>a11*a22*b3+a21*a32*b1+a31*a12*b2</v>
      </c>
      <c r="L44" t="str">
        <f>L41&amp;"+"&amp;L42&amp;"+"&amp;L43</f>
        <v>a31*a22*b1+a11*a32*b2+a21*a12*b3</v>
      </c>
    </row>
    <row r="45" spans="2:12" x14ac:dyDescent="0.35">
      <c r="B45" s="2" t="str">
        <f>B42</f>
        <v>a21</v>
      </c>
      <c r="C45" s="2" t="str">
        <f t="shared" si="10"/>
        <v>a22</v>
      </c>
      <c r="D45" s="2" t="str">
        <f t="shared" si="10"/>
        <v>b2</v>
      </c>
      <c r="F45" t="str">
        <f>"("&amp;F44&amp;")-("&amp;L44&amp;")"</f>
        <v>(a11*a22*b3+a21*a32*b1+a31*a12*b2)-(a31*a22*b1+a11*a32*b2+a21*a12*b3)</v>
      </c>
    </row>
    <row r="48" spans="2:12" x14ac:dyDescent="0.35">
      <c r="B48">
        <v>13.33</v>
      </c>
      <c r="C48">
        <v>8.68</v>
      </c>
      <c r="D48">
        <v>15.81</v>
      </c>
      <c r="E48">
        <v>124</v>
      </c>
      <c r="H48">
        <v>2</v>
      </c>
      <c r="I48">
        <v>3</v>
      </c>
      <c r="J48">
        <v>4</v>
      </c>
      <c r="K48">
        <v>5</v>
      </c>
      <c r="L48">
        <v>7</v>
      </c>
    </row>
    <row r="49" spans="2:12" x14ac:dyDescent="0.35">
      <c r="B49" s="1">
        <v>4.3</v>
      </c>
      <c r="C49" s="1">
        <v>2.8</v>
      </c>
      <c r="D49" s="1">
        <v>5.0999999999999996</v>
      </c>
      <c r="E49" s="1">
        <v>40</v>
      </c>
      <c r="F49" s="1"/>
      <c r="G49" s="1"/>
      <c r="H49" s="1">
        <v>4</v>
      </c>
      <c r="I49" s="1">
        <v>6</v>
      </c>
      <c r="J49" s="1">
        <v>8</v>
      </c>
      <c r="K49" s="1">
        <v>10</v>
      </c>
      <c r="L49" s="1">
        <v>14</v>
      </c>
    </row>
    <row r="50" spans="2:12" x14ac:dyDescent="0.35">
      <c r="B50">
        <v>-8.6</v>
      </c>
      <c r="C50">
        <v>-5.6</v>
      </c>
      <c r="D50">
        <v>10.199999999999999</v>
      </c>
      <c r="E50">
        <v>-80</v>
      </c>
      <c r="H50">
        <v>2</v>
      </c>
      <c r="I50">
        <v>3</v>
      </c>
      <c r="J50">
        <v>4</v>
      </c>
      <c r="K50">
        <v>5</v>
      </c>
      <c r="L50">
        <v>7</v>
      </c>
    </row>
    <row r="51" spans="2:12" x14ac:dyDescent="0.35">
      <c r="B51" s="3"/>
      <c r="C51" s="3"/>
      <c r="D51" s="3"/>
      <c r="E51" s="3">
        <v>1</v>
      </c>
      <c r="F51" s="3"/>
      <c r="H51">
        <v>8</v>
      </c>
      <c r="I51">
        <v>12</v>
      </c>
      <c r="J51">
        <v>16</v>
      </c>
      <c r="K51">
        <v>20</v>
      </c>
      <c r="L51">
        <v>28</v>
      </c>
    </row>
    <row r="52" spans="2:12" x14ac:dyDescent="0.35">
      <c r="B52">
        <f>ABS(B48)</f>
        <v>13.33</v>
      </c>
      <c r="C52">
        <f>ABS(C48)</f>
        <v>8.68</v>
      </c>
      <c r="D52">
        <f>ABS(D48)</f>
        <v>15.81</v>
      </c>
      <c r="E52">
        <f>ABS(E48)</f>
        <v>124</v>
      </c>
      <c r="F52" s="3"/>
    </row>
    <row r="53" spans="2:12" x14ac:dyDescent="0.35">
      <c r="B53">
        <f t="shared" ref="B53:E53" si="11">ABS(B49)</f>
        <v>4.3</v>
      </c>
      <c r="C53">
        <f t="shared" si="11"/>
        <v>2.8</v>
      </c>
      <c r="D53">
        <f t="shared" si="11"/>
        <v>5.0999999999999996</v>
      </c>
      <c r="E53">
        <f t="shared" si="11"/>
        <v>40</v>
      </c>
      <c r="F53" s="3"/>
      <c r="H53">
        <f>MIN(H48:H51)</f>
        <v>2</v>
      </c>
      <c r="I53">
        <f t="shared" ref="I53:K53" si="12">MIN(I48:I51)</f>
        <v>3</v>
      </c>
      <c r="J53">
        <f t="shared" si="12"/>
        <v>4</v>
      </c>
      <c r="K53">
        <f t="shared" si="12"/>
        <v>5</v>
      </c>
      <c r="L53">
        <f>MIN(L48:L51)</f>
        <v>7</v>
      </c>
    </row>
    <row r="54" spans="2:12" x14ac:dyDescent="0.35">
      <c r="B54">
        <f t="shared" ref="B54:E54" si="13">ABS(B50)</f>
        <v>8.6</v>
      </c>
      <c r="C54">
        <f t="shared" si="13"/>
        <v>5.6</v>
      </c>
      <c r="D54">
        <f t="shared" si="13"/>
        <v>10.199999999999999</v>
      </c>
      <c r="E54">
        <f t="shared" si="13"/>
        <v>80</v>
      </c>
      <c r="F54" s="3"/>
    </row>
    <row r="55" spans="2:12" x14ac:dyDescent="0.35">
      <c r="B55" s="3"/>
      <c r="C55" s="3"/>
      <c r="D55" s="3"/>
      <c r="E55" s="3"/>
      <c r="F55" s="3"/>
      <c r="H55">
        <f>H48/$H$53</f>
        <v>1</v>
      </c>
      <c r="I55">
        <f>I48/$I$53</f>
        <v>1</v>
      </c>
      <c r="J55">
        <f>J48/$J$53</f>
        <v>1</v>
      </c>
      <c r="K55">
        <f>K48/$K$53</f>
        <v>1</v>
      </c>
      <c r="L55">
        <f>L48/$L$53</f>
        <v>1</v>
      </c>
    </row>
    <row r="56" spans="2:12" x14ac:dyDescent="0.35">
      <c r="B56">
        <f>B53</f>
        <v>4.3</v>
      </c>
      <c r="C56">
        <f>C53</f>
        <v>2.8</v>
      </c>
      <c r="D56">
        <f>D53</f>
        <v>5.0999999999999996</v>
      </c>
      <c r="E56">
        <f>E53</f>
        <v>40</v>
      </c>
      <c r="H56">
        <f t="shared" ref="H56:H58" si="14">H49/$H$53</f>
        <v>2</v>
      </c>
      <c r="I56">
        <f t="shared" ref="I56:I58" si="15">I49/$I$53</f>
        <v>2</v>
      </c>
      <c r="J56">
        <f t="shared" ref="J56:J58" si="16">J49/$J$53</f>
        <v>2</v>
      </c>
      <c r="K56">
        <f t="shared" ref="K56:K58" si="17">K49/$K$53</f>
        <v>2</v>
      </c>
      <c r="L56">
        <f t="shared" ref="L56:L58" si="18">L49/$L$53</f>
        <v>2</v>
      </c>
    </row>
    <row r="57" spans="2:12" x14ac:dyDescent="0.35">
      <c r="H57">
        <f t="shared" si="14"/>
        <v>1</v>
      </c>
      <c r="I57">
        <f t="shared" si="15"/>
        <v>1</v>
      </c>
      <c r="J57">
        <f t="shared" si="16"/>
        <v>1</v>
      </c>
      <c r="K57">
        <f t="shared" si="17"/>
        <v>1</v>
      </c>
      <c r="L57">
        <f t="shared" si="18"/>
        <v>1</v>
      </c>
    </row>
    <row r="58" spans="2:12" x14ac:dyDescent="0.35">
      <c r="B58">
        <f>B52/$B$53</f>
        <v>3.1</v>
      </c>
      <c r="C58">
        <f>C52/$C$53</f>
        <v>3.1</v>
      </c>
      <c r="D58">
        <f>D52/$D$53</f>
        <v>3.1000000000000005</v>
      </c>
      <c r="E58">
        <f>E52/$E$53</f>
        <v>3.1</v>
      </c>
      <c r="H58">
        <f t="shared" si="14"/>
        <v>4</v>
      </c>
      <c r="I58">
        <f t="shared" si="15"/>
        <v>4</v>
      </c>
      <c r="J58">
        <f t="shared" si="16"/>
        <v>4</v>
      </c>
      <c r="K58">
        <f t="shared" si="17"/>
        <v>4</v>
      </c>
      <c r="L58">
        <f t="shared" si="18"/>
        <v>4</v>
      </c>
    </row>
    <row r="59" spans="2:12" x14ac:dyDescent="0.35">
      <c r="B59">
        <f t="shared" ref="B59:B60" si="19">B53/$B$53</f>
        <v>1</v>
      </c>
      <c r="C59">
        <f t="shared" ref="C59:C60" si="20">C53/$C$53</f>
        <v>1</v>
      </c>
      <c r="D59">
        <f t="shared" ref="D59:D60" si="21">D53/$D$53</f>
        <v>1</v>
      </c>
      <c r="E59">
        <f t="shared" ref="E59:E60" si="22">E53/$E$53</f>
        <v>1</v>
      </c>
    </row>
    <row r="60" spans="2:12" x14ac:dyDescent="0.35">
      <c r="B60">
        <f t="shared" si="19"/>
        <v>2</v>
      </c>
      <c r="C60">
        <f t="shared" si="20"/>
        <v>2</v>
      </c>
      <c r="D60">
        <f t="shared" si="21"/>
        <v>2</v>
      </c>
      <c r="E60">
        <f t="shared" si="22"/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F558-462D-46EE-ABD1-FAAC9EC40356}">
  <dimension ref="A1:V112"/>
  <sheetViews>
    <sheetView workbookViewId="0">
      <selection activeCell="C112" sqref="C112"/>
    </sheetView>
  </sheetViews>
  <sheetFormatPr baseColWidth="10" defaultRowHeight="14.5" x14ac:dyDescent="0.35"/>
  <cols>
    <col min="1" max="13" width="6.7265625" style="2" customWidth="1"/>
    <col min="14" max="14" width="10.90625" style="2"/>
    <col min="15" max="15" width="3.90625" style="2" customWidth="1"/>
    <col min="16" max="16" width="10.90625" style="2"/>
    <col min="17" max="17" width="2.54296875" style="2" customWidth="1"/>
    <col min="18" max="18" width="10.90625" style="2"/>
    <col min="19" max="19" width="3.08984375" style="2" customWidth="1"/>
    <col min="20" max="20" width="10.90625" style="2"/>
    <col min="21" max="21" width="2.7265625" style="2" customWidth="1"/>
    <col min="22" max="16384" width="10.90625" style="2"/>
  </cols>
  <sheetData>
    <row r="1" spans="1:10" x14ac:dyDescent="0.35">
      <c r="A1" s="2" t="s">
        <v>24</v>
      </c>
      <c r="B1" s="2" t="s">
        <v>22</v>
      </c>
      <c r="C1" s="2" t="s">
        <v>25</v>
      </c>
      <c r="D1" s="2" t="s">
        <v>11</v>
      </c>
      <c r="E1" s="2" t="s">
        <v>26</v>
      </c>
      <c r="F1" s="2" t="s">
        <v>60</v>
      </c>
      <c r="G1" s="2" t="s">
        <v>49</v>
      </c>
      <c r="H1" s="2" t="s">
        <v>61</v>
      </c>
      <c r="I1" s="2" t="s">
        <v>8</v>
      </c>
      <c r="J1" s="2" t="s">
        <v>13</v>
      </c>
    </row>
    <row r="2" spans="1:10" x14ac:dyDescent="0.35">
      <c r="A2" s="2" t="s">
        <v>43</v>
      </c>
      <c r="B2" s="2" t="s">
        <v>11</v>
      </c>
      <c r="C2" s="2" t="s">
        <v>45</v>
      </c>
      <c r="D2" s="2" t="s">
        <v>60</v>
      </c>
      <c r="E2" s="2" t="s">
        <v>47</v>
      </c>
      <c r="F2" s="2" t="s">
        <v>61</v>
      </c>
      <c r="G2" s="2" t="s">
        <v>50</v>
      </c>
      <c r="H2" s="2" t="s">
        <v>62</v>
      </c>
      <c r="I2" s="2" t="s">
        <v>8</v>
      </c>
      <c r="J2" s="2" t="s">
        <v>12</v>
      </c>
    </row>
    <row r="3" spans="1:10" x14ac:dyDescent="0.35">
      <c r="A3" s="2" t="s">
        <v>44</v>
      </c>
      <c r="B3" s="2" t="s">
        <v>60</v>
      </c>
      <c r="C3" s="2" t="s">
        <v>46</v>
      </c>
      <c r="D3" s="2" t="s">
        <v>61</v>
      </c>
      <c r="E3" s="2" t="s">
        <v>48</v>
      </c>
      <c r="F3" s="2" t="s">
        <v>62</v>
      </c>
      <c r="G3" s="2" t="s">
        <v>51</v>
      </c>
      <c r="H3" s="2" t="s">
        <v>63</v>
      </c>
      <c r="I3" s="2" t="s">
        <v>8</v>
      </c>
      <c r="J3" s="2" t="s">
        <v>27</v>
      </c>
    </row>
    <row r="4" spans="1:10" x14ac:dyDescent="0.35">
      <c r="A4" s="2" t="s">
        <v>52</v>
      </c>
      <c r="B4" s="2" t="s">
        <v>61</v>
      </c>
      <c r="C4" s="2" t="s">
        <v>53</v>
      </c>
      <c r="D4" s="2" t="s">
        <v>62</v>
      </c>
      <c r="E4" s="2" t="s">
        <v>54</v>
      </c>
      <c r="F4" s="2" t="s">
        <v>63</v>
      </c>
      <c r="G4" s="2" t="s">
        <v>55</v>
      </c>
      <c r="H4" s="2" t="s">
        <v>64</v>
      </c>
      <c r="I4" s="2" t="s">
        <v>8</v>
      </c>
      <c r="J4" s="2" t="s">
        <v>56</v>
      </c>
    </row>
    <row r="6" spans="1:10" x14ac:dyDescent="0.35">
      <c r="B6" s="2" t="s">
        <v>24</v>
      </c>
      <c r="C6" s="2" t="s">
        <v>25</v>
      </c>
      <c r="D6" s="2" t="s">
        <v>26</v>
      </c>
      <c r="E6" s="2" t="s">
        <v>49</v>
      </c>
      <c r="G6" s="2" t="s">
        <v>13</v>
      </c>
      <c r="I6" s="2" t="s">
        <v>22</v>
      </c>
    </row>
    <row r="7" spans="1:10" x14ac:dyDescent="0.35">
      <c r="A7" s="2" t="s">
        <v>57</v>
      </c>
      <c r="B7" s="2" t="s">
        <v>43</v>
      </c>
      <c r="C7" s="2" t="s">
        <v>45</v>
      </c>
      <c r="D7" s="2" t="s">
        <v>47</v>
      </c>
      <c r="E7" s="2" t="s">
        <v>50</v>
      </c>
      <c r="F7" s="2" t="s">
        <v>58</v>
      </c>
      <c r="G7" s="2" t="s">
        <v>12</v>
      </c>
      <c r="H7" s="2" t="s">
        <v>59</v>
      </c>
      <c r="I7" s="2" t="s">
        <v>11</v>
      </c>
    </row>
    <row r="8" spans="1:10" x14ac:dyDescent="0.35">
      <c r="B8" s="2" t="s">
        <v>44</v>
      </c>
      <c r="C8" s="2" t="s">
        <v>46</v>
      </c>
      <c r="D8" s="2" t="s">
        <v>48</v>
      </c>
      <c r="E8" s="2" t="s">
        <v>51</v>
      </c>
      <c r="G8" s="2" t="s">
        <v>27</v>
      </c>
      <c r="I8" s="2" t="s">
        <v>60</v>
      </c>
    </row>
    <row r="9" spans="1:10" x14ac:dyDescent="0.35">
      <c r="B9" s="2" t="s">
        <v>52</v>
      </c>
      <c r="C9" s="2" t="s">
        <v>53</v>
      </c>
      <c r="D9" s="2" t="s">
        <v>54</v>
      </c>
      <c r="E9" s="2" t="s">
        <v>55</v>
      </c>
      <c r="G9" s="2" t="s">
        <v>56</v>
      </c>
      <c r="I9" s="2" t="s">
        <v>61</v>
      </c>
    </row>
    <row r="11" spans="1:10" x14ac:dyDescent="0.35">
      <c r="A11" s="2" t="s">
        <v>65</v>
      </c>
      <c r="B11" s="2" t="s">
        <v>8</v>
      </c>
      <c r="C11" s="2" t="s">
        <v>66</v>
      </c>
    </row>
    <row r="13" spans="1:10" x14ac:dyDescent="0.35">
      <c r="A13" s="2" t="s">
        <v>67</v>
      </c>
      <c r="B13" s="2" t="s">
        <v>8</v>
      </c>
      <c r="C13" t="s">
        <v>68</v>
      </c>
    </row>
    <row r="14" spans="1:10" x14ac:dyDescent="0.35">
      <c r="A14" s="2" t="s">
        <v>69</v>
      </c>
      <c r="B14" s="2" t="s">
        <v>8</v>
      </c>
      <c r="C14" t="s">
        <v>75</v>
      </c>
    </row>
    <row r="15" spans="1:10" x14ac:dyDescent="0.35">
      <c r="A15" s="2" t="s">
        <v>70</v>
      </c>
      <c r="B15" s="2" t="s">
        <v>8</v>
      </c>
      <c r="C15" t="s">
        <v>74</v>
      </c>
    </row>
    <row r="16" spans="1:10" x14ac:dyDescent="0.35">
      <c r="B16" s="2" t="s">
        <v>71</v>
      </c>
      <c r="C16"/>
    </row>
    <row r="17" spans="1:22" x14ac:dyDescent="0.35">
      <c r="A17" s="2" t="s">
        <v>72</v>
      </c>
      <c r="B17" s="2" t="s">
        <v>8</v>
      </c>
      <c r="C17" t="s">
        <v>73</v>
      </c>
    </row>
    <row r="19" spans="1:22" x14ac:dyDescent="0.35">
      <c r="A19" s="2">
        <v>3.8</v>
      </c>
      <c r="B19" s="2" t="s">
        <v>22</v>
      </c>
      <c r="C19" s="2">
        <v>3.2</v>
      </c>
      <c r="D19" s="2" t="s">
        <v>11</v>
      </c>
      <c r="E19" s="2">
        <v>0</v>
      </c>
      <c r="F19" s="2" t="s">
        <v>60</v>
      </c>
      <c r="G19" s="2">
        <v>7.2</v>
      </c>
      <c r="H19" s="2" t="s">
        <v>61</v>
      </c>
      <c r="I19" s="2" t="s">
        <v>8</v>
      </c>
      <c r="J19" s="2">
        <v>55.6</v>
      </c>
    </row>
    <row r="20" spans="1:22" x14ac:dyDescent="0.35">
      <c r="A20" s="2">
        <v>0</v>
      </c>
      <c r="B20" s="2" t="s">
        <v>11</v>
      </c>
      <c r="C20" s="2">
        <v>2.8</v>
      </c>
      <c r="D20" s="2" t="s">
        <v>60</v>
      </c>
      <c r="E20" s="2">
        <v>4.4000000000000004</v>
      </c>
      <c r="F20" s="2" t="s">
        <v>61</v>
      </c>
      <c r="G20" s="2">
        <v>1.5</v>
      </c>
      <c r="H20" s="2" t="s">
        <v>62</v>
      </c>
      <c r="I20" s="2" t="s">
        <v>8</v>
      </c>
      <c r="J20" s="2">
        <v>16.8</v>
      </c>
    </row>
    <row r="21" spans="1:22" x14ac:dyDescent="0.35">
      <c r="A21" s="2">
        <v>3.2</v>
      </c>
      <c r="B21" s="2" t="s">
        <v>60</v>
      </c>
      <c r="C21" s="2">
        <v>5.7</v>
      </c>
      <c r="D21" s="2" t="s">
        <v>61</v>
      </c>
      <c r="E21" s="2">
        <v>-1.3</v>
      </c>
      <c r="F21" s="2" t="s">
        <v>62</v>
      </c>
      <c r="G21" s="2">
        <v>-1.1000000000000001</v>
      </c>
      <c r="H21" s="2" t="s">
        <v>63</v>
      </c>
      <c r="I21" s="2" t="s">
        <v>8</v>
      </c>
      <c r="J21" s="2">
        <v>-23.4</v>
      </c>
    </row>
    <row r="22" spans="1:22" x14ac:dyDescent="0.35">
      <c r="A22" s="2">
        <v>7.5</v>
      </c>
      <c r="B22" s="2" t="s">
        <v>61</v>
      </c>
      <c r="C22" s="2">
        <v>0</v>
      </c>
      <c r="D22" s="2" t="s">
        <v>62</v>
      </c>
      <c r="E22" s="2">
        <v>-2.9</v>
      </c>
      <c r="F22" s="2" t="s">
        <v>63</v>
      </c>
      <c r="G22" s="2">
        <v>3.2</v>
      </c>
      <c r="H22" s="2" t="s">
        <v>64</v>
      </c>
      <c r="I22" s="2" t="s">
        <v>8</v>
      </c>
      <c r="J22" s="2">
        <v>31.9</v>
      </c>
    </row>
    <row r="23" spans="1:22" x14ac:dyDescent="0.35">
      <c r="N23" s="2" t="s">
        <v>76</v>
      </c>
      <c r="P23" s="2" t="s">
        <v>77</v>
      </c>
    </row>
    <row r="24" spans="1:22" x14ac:dyDescent="0.35">
      <c r="B24" s="2">
        <f>A19</f>
        <v>3.8</v>
      </c>
      <c r="C24" s="2">
        <f>C19</f>
        <v>3.2</v>
      </c>
      <c r="D24" s="2">
        <f>E19</f>
        <v>0</v>
      </c>
      <c r="E24" s="2">
        <f>G19</f>
        <v>7.2</v>
      </c>
      <c r="H24" s="2">
        <f>C25</f>
        <v>2.8</v>
      </c>
      <c r="I24" s="2">
        <f t="shared" ref="I24:J24" si="0">D25</f>
        <v>4.4000000000000004</v>
      </c>
      <c r="J24" s="2">
        <f t="shared" si="0"/>
        <v>1.5</v>
      </c>
      <c r="K24" s="2">
        <f>H24</f>
        <v>2.8</v>
      </c>
      <c r="L24" s="2">
        <f>I24</f>
        <v>4.4000000000000004</v>
      </c>
      <c r="N24" s="2">
        <f>H24*I25*J26+I24*J25*K26+J24*K25*L26</f>
        <v>-36.442999999999998</v>
      </c>
      <c r="O24" s="2" t="s">
        <v>78</v>
      </c>
      <c r="P24" s="2">
        <f>H26*I25*J24+I26*J25*K24+J26*K25*L24</f>
        <v>89.188000000000017</v>
      </c>
      <c r="Q24" s="2" t="s">
        <v>8</v>
      </c>
      <c r="R24" s="2">
        <f>N24-P24</f>
        <v>-125.63100000000001</v>
      </c>
      <c r="S24" s="2" t="s">
        <v>79</v>
      </c>
      <c r="T24" s="2">
        <f>G25</f>
        <v>3.8</v>
      </c>
      <c r="U24" s="2" t="s">
        <v>8</v>
      </c>
      <c r="V24" s="2">
        <f>R24*T24</f>
        <v>-477.39780000000002</v>
      </c>
    </row>
    <row r="25" spans="1:22" x14ac:dyDescent="0.35">
      <c r="B25" s="2">
        <f t="shared" ref="B25:B27" si="1">A20</f>
        <v>0</v>
      </c>
      <c r="C25" s="2">
        <f t="shared" ref="C25:C27" si="2">C20</f>
        <v>2.8</v>
      </c>
      <c r="D25" s="2">
        <f t="shared" ref="D25:D27" si="3">E20</f>
        <v>4.4000000000000004</v>
      </c>
      <c r="E25" s="2">
        <f t="shared" ref="E25:E27" si="4">G20</f>
        <v>1.5</v>
      </c>
      <c r="G25" s="2">
        <f>B24</f>
        <v>3.8</v>
      </c>
      <c r="H25" s="2">
        <f t="shared" ref="H25:H26" si="5">C26</f>
        <v>5.7</v>
      </c>
      <c r="I25" s="2">
        <f t="shared" ref="I25:I26" si="6">D26</f>
        <v>-1.3</v>
      </c>
      <c r="J25" s="2">
        <f t="shared" ref="J25:J26" si="7">E26</f>
        <v>-1.1000000000000001</v>
      </c>
      <c r="K25" s="2">
        <f t="shared" ref="K25:K38" si="8">H25</f>
        <v>5.7</v>
      </c>
      <c r="L25" s="2">
        <f t="shared" ref="L25:L38" si="9">I25</f>
        <v>-1.3</v>
      </c>
    </row>
    <row r="26" spans="1:22" x14ac:dyDescent="0.35">
      <c r="A26" s="2" t="s">
        <v>14</v>
      </c>
      <c r="B26" s="2">
        <f t="shared" si="1"/>
        <v>3.2</v>
      </c>
      <c r="C26" s="2">
        <f t="shared" si="2"/>
        <v>5.7</v>
      </c>
      <c r="D26" s="2">
        <f t="shared" si="3"/>
        <v>-1.3</v>
      </c>
      <c r="E26" s="2">
        <f t="shared" si="4"/>
        <v>-1.1000000000000001</v>
      </c>
      <c r="H26" s="2">
        <f t="shared" si="5"/>
        <v>0</v>
      </c>
      <c r="I26" s="2">
        <f t="shared" si="6"/>
        <v>-2.9</v>
      </c>
      <c r="J26" s="2">
        <f t="shared" si="7"/>
        <v>3.2</v>
      </c>
      <c r="K26" s="2">
        <f t="shared" si="8"/>
        <v>0</v>
      </c>
      <c r="L26" s="2">
        <f t="shared" si="9"/>
        <v>-2.9</v>
      </c>
    </row>
    <row r="27" spans="1:22" x14ac:dyDescent="0.35">
      <c r="B27" s="2">
        <f t="shared" si="1"/>
        <v>7.5</v>
      </c>
      <c r="C27" s="2">
        <f t="shared" si="2"/>
        <v>0</v>
      </c>
      <c r="D27" s="2">
        <f t="shared" si="3"/>
        <v>-2.9</v>
      </c>
      <c r="E27" s="2">
        <f t="shared" si="4"/>
        <v>3.2</v>
      </c>
    </row>
    <row r="28" spans="1:22" x14ac:dyDescent="0.35">
      <c r="H28" s="2">
        <f>C24</f>
        <v>3.2</v>
      </c>
      <c r="I28" s="2">
        <f t="shared" ref="I28:J28" si="10">D24</f>
        <v>0</v>
      </c>
      <c r="J28" s="2">
        <f t="shared" si="10"/>
        <v>7.2</v>
      </c>
      <c r="K28" s="2">
        <f t="shared" si="8"/>
        <v>3.2</v>
      </c>
      <c r="L28" s="2">
        <f t="shared" si="9"/>
        <v>0</v>
      </c>
      <c r="N28" s="2">
        <f>H28*I29*J30+I28*J29*K30+J28*K29*L30</f>
        <v>-132.328</v>
      </c>
      <c r="O28" s="2" t="s">
        <v>78</v>
      </c>
      <c r="P28" s="2">
        <f t="shared" ref="P28" si="11">H30*I29*J28+I30*J29*K28+J30*K29*L28</f>
        <v>10.208</v>
      </c>
      <c r="Q28" s="2" t="s">
        <v>8</v>
      </c>
      <c r="R28" s="2">
        <f>N28-P28</f>
        <v>-142.536</v>
      </c>
      <c r="S28" s="2" t="s">
        <v>79</v>
      </c>
      <c r="T28" s="2">
        <f t="shared" ref="T28" si="12">G29</f>
        <v>0</v>
      </c>
      <c r="U28" s="2" t="s">
        <v>8</v>
      </c>
      <c r="V28" s="2">
        <f t="shared" ref="V28" si="13">R28*T28</f>
        <v>0</v>
      </c>
    </row>
    <row r="29" spans="1:22" x14ac:dyDescent="0.35">
      <c r="B29" s="2">
        <f>J19</f>
        <v>55.6</v>
      </c>
      <c r="G29" s="2">
        <f>B25*-1</f>
        <v>0</v>
      </c>
      <c r="H29" s="2">
        <f>C26</f>
        <v>5.7</v>
      </c>
      <c r="I29" s="2">
        <f t="shared" ref="I29:J29" si="14">D26</f>
        <v>-1.3</v>
      </c>
      <c r="J29" s="2">
        <f t="shared" si="14"/>
        <v>-1.1000000000000001</v>
      </c>
      <c r="K29" s="2">
        <f t="shared" si="8"/>
        <v>5.7</v>
      </c>
      <c r="L29" s="2">
        <f t="shared" si="9"/>
        <v>-1.3</v>
      </c>
    </row>
    <row r="30" spans="1:22" x14ac:dyDescent="0.35">
      <c r="B30" s="2">
        <f t="shared" ref="B30:B32" si="15">J20</f>
        <v>16.8</v>
      </c>
      <c r="H30" s="2">
        <f>C27</f>
        <v>0</v>
      </c>
      <c r="I30" s="2">
        <f t="shared" ref="I30:J30" si="16">D27</f>
        <v>-2.9</v>
      </c>
      <c r="J30" s="2">
        <f t="shared" si="16"/>
        <v>3.2</v>
      </c>
      <c r="K30" s="2">
        <f t="shared" si="8"/>
        <v>0</v>
      </c>
      <c r="L30" s="2">
        <f t="shared" si="9"/>
        <v>-2.9</v>
      </c>
    </row>
    <row r="31" spans="1:22" x14ac:dyDescent="0.35">
      <c r="A31" s="2" t="s">
        <v>58</v>
      </c>
      <c r="B31" s="2">
        <f t="shared" si="15"/>
        <v>-23.4</v>
      </c>
    </row>
    <row r="32" spans="1:22" x14ac:dyDescent="0.35">
      <c r="B32" s="2">
        <f t="shared" si="15"/>
        <v>31.9</v>
      </c>
      <c r="H32" s="2">
        <f>C24</f>
        <v>3.2</v>
      </c>
      <c r="I32" s="2">
        <f t="shared" ref="I32:J32" si="17">D24</f>
        <v>0</v>
      </c>
      <c r="J32" s="2">
        <f t="shared" si="17"/>
        <v>7.2</v>
      </c>
      <c r="K32" s="2">
        <f t="shared" si="8"/>
        <v>3.2</v>
      </c>
      <c r="L32" s="2">
        <f t="shared" si="9"/>
        <v>0</v>
      </c>
      <c r="N32" s="2">
        <f>H32*I33*J34+I32*J33*K34+J32*K33*L34</f>
        <v>-13.407999999999987</v>
      </c>
      <c r="O32" s="2" t="s">
        <v>78</v>
      </c>
      <c r="P32" s="2">
        <f t="shared" ref="P32" si="18">H34*I33*J32+I34*J33*K32+J34*K33*L32</f>
        <v>-13.92</v>
      </c>
      <c r="Q32" s="2" t="s">
        <v>8</v>
      </c>
      <c r="R32" s="2">
        <f>N32-P32</f>
        <v>0.51200000000001289</v>
      </c>
      <c r="S32" s="2" t="s">
        <v>79</v>
      </c>
      <c r="T32" s="2">
        <f t="shared" ref="T32" si="19">G33</f>
        <v>3.2</v>
      </c>
      <c r="U32" s="2" t="s">
        <v>8</v>
      </c>
      <c r="V32" s="2">
        <f t="shared" ref="V32" si="20">R32*T32</f>
        <v>1.6384000000000414</v>
      </c>
    </row>
    <row r="33" spans="1:22" x14ac:dyDescent="0.35">
      <c r="G33" s="2">
        <f>B26</f>
        <v>3.2</v>
      </c>
      <c r="H33" s="2">
        <f>C25</f>
        <v>2.8</v>
      </c>
      <c r="I33" s="2">
        <f t="shared" ref="I33:J33" si="21">D25</f>
        <v>4.4000000000000004</v>
      </c>
      <c r="J33" s="2">
        <f t="shared" si="21"/>
        <v>1.5</v>
      </c>
      <c r="K33" s="2">
        <f t="shared" si="8"/>
        <v>2.8</v>
      </c>
      <c r="L33" s="2">
        <f t="shared" si="9"/>
        <v>4.4000000000000004</v>
      </c>
    </row>
    <row r="34" spans="1:22" x14ac:dyDescent="0.35">
      <c r="H34" s="2">
        <f>C27</f>
        <v>0</v>
      </c>
      <c r="I34" s="2">
        <f t="shared" ref="I34:J34" si="22">D27</f>
        <v>-2.9</v>
      </c>
      <c r="J34" s="2">
        <f t="shared" si="22"/>
        <v>3.2</v>
      </c>
      <c r="K34" s="2">
        <f t="shared" si="8"/>
        <v>0</v>
      </c>
      <c r="L34" s="2">
        <f t="shared" si="9"/>
        <v>-2.9</v>
      </c>
    </row>
    <row r="36" spans="1:22" x14ac:dyDescent="0.35">
      <c r="H36" s="2">
        <f>C24</f>
        <v>3.2</v>
      </c>
      <c r="I36" s="2">
        <f t="shared" ref="I36:J38" si="23">D24</f>
        <v>0</v>
      </c>
      <c r="J36" s="2">
        <f t="shared" si="23"/>
        <v>7.2</v>
      </c>
      <c r="K36" s="2">
        <f t="shared" si="8"/>
        <v>3.2</v>
      </c>
      <c r="L36" s="2">
        <f t="shared" si="9"/>
        <v>0</v>
      </c>
      <c r="N36" s="2">
        <f>H36*I37*J38+I36*J37*K38+J36*K37*L38</f>
        <v>-41.696000000000005</v>
      </c>
      <c r="O36" s="2" t="s">
        <v>78</v>
      </c>
      <c r="P36" s="2">
        <f t="shared" ref="P36" si="24">H38*I37*J36+I38*J37*K36+J38*K37*L36</f>
        <v>174.33600000000001</v>
      </c>
      <c r="Q36" s="2" t="s">
        <v>8</v>
      </c>
      <c r="R36" s="2">
        <f>N36-P36</f>
        <v>-216.03200000000001</v>
      </c>
      <c r="S36" s="2" t="s">
        <v>79</v>
      </c>
      <c r="T36" s="2">
        <f t="shared" ref="T36" si="25">G37</f>
        <v>-7.5</v>
      </c>
      <c r="U36" s="2" t="s">
        <v>8</v>
      </c>
      <c r="V36" s="2">
        <f t="shared" ref="V36" si="26">R36*T36</f>
        <v>1620.24</v>
      </c>
    </row>
    <row r="37" spans="1:22" x14ac:dyDescent="0.35">
      <c r="G37" s="2">
        <f>B27*-1</f>
        <v>-7.5</v>
      </c>
      <c r="H37" s="2">
        <f t="shared" ref="H37:H38" si="27">C25</f>
        <v>2.8</v>
      </c>
      <c r="I37" s="2">
        <f t="shared" si="23"/>
        <v>4.4000000000000004</v>
      </c>
      <c r="J37" s="2">
        <f t="shared" si="23"/>
        <v>1.5</v>
      </c>
      <c r="K37" s="2">
        <f t="shared" si="8"/>
        <v>2.8</v>
      </c>
      <c r="L37" s="2">
        <f t="shared" si="9"/>
        <v>4.4000000000000004</v>
      </c>
    </row>
    <row r="38" spans="1:22" x14ac:dyDescent="0.35">
      <c r="H38" s="2">
        <f t="shared" si="27"/>
        <v>5.7</v>
      </c>
      <c r="I38" s="2">
        <f t="shared" si="23"/>
        <v>-1.3</v>
      </c>
      <c r="J38" s="2">
        <f t="shared" si="23"/>
        <v>-1.1000000000000001</v>
      </c>
      <c r="K38" s="2">
        <f t="shared" si="8"/>
        <v>5.7</v>
      </c>
      <c r="L38" s="2">
        <f t="shared" si="9"/>
        <v>-1.3</v>
      </c>
      <c r="U38" s="2" t="s">
        <v>81</v>
      </c>
      <c r="V38" s="2" t="s">
        <v>80</v>
      </c>
    </row>
    <row r="39" spans="1:22" x14ac:dyDescent="0.35">
      <c r="V39" s="2">
        <f>V24+V28+V32+V36</f>
        <v>1144.4806000000001</v>
      </c>
    </row>
    <row r="41" spans="1:22" x14ac:dyDescent="0.35">
      <c r="B41" s="2">
        <v>55.6</v>
      </c>
      <c r="C41" s="2">
        <v>3.2</v>
      </c>
      <c r="D41" s="2">
        <v>0</v>
      </c>
      <c r="E41" s="2">
        <v>7.2</v>
      </c>
      <c r="H41" s="2">
        <f>C42</f>
        <v>2.8</v>
      </c>
      <c r="I41" s="2">
        <f t="shared" ref="I41:I43" si="28">D42</f>
        <v>4.4000000000000004</v>
      </c>
      <c r="J41" s="2">
        <f t="shared" ref="J41:J43" si="29">E42</f>
        <v>1.5</v>
      </c>
      <c r="K41" s="2">
        <f>H41</f>
        <v>2.8</v>
      </c>
      <c r="L41" s="2">
        <f>I41</f>
        <v>4.4000000000000004</v>
      </c>
      <c r="N41" s="2">
        <f>H41*I42*J43+I41*J42*K43+J41*K42*L43</f>
        <v>-36.442999999999998</v>
      </c>
      <c r="O41" s="2" t="s">
        <v>78</v>
      </c>
      <c r="P41" s="2">
        <f>H43*I42*J41+I43*J42*K41+J43*K42*L41</f>
        <v>89.188000000000017</v>
      </c>
      <c r="Q41" s="2" t="s">
        <v>8</v>
      </c>
      <c r="R41" s="2">
        <f>N41-P41</f>
        <v>-125.63100000000001</v>
      </c>
      <c r="S41" s="2" t="s">
        <v>79</v>
      </c>
      <c r="T41" s="2">
        <f>G42</f>
        <v>55.6</v>
      </c>
      <c r="U41" s="2" t="s">
        <v>8</v>
      </c>
      <c r="V41" s="2">
        <f>R41*T41</f>
        <v>-6985.0836000000008</v>
      </c>
    </row>
    <row r="42" spans="1:22" x14ac:dyDescent="0.35">
      <c r="B42" s="2">
        <v>16.8</v>
      </c>
      <c r="C42" s="2">
        <v>2.8</v>
      </c>
      <c r="D42" s="2">
        <v>4.4000000000000004</v>
      </c>
      <c r="E42" s="2">
        <v>1.5</v>
      </c>
      <c r="G42" s="2">
        <f>B41</f>
        <v>55.6</v>
      </c>
      <c r="H42" s="2">
        <f t="shared" ref="H42:H43" si="30">C43</f>
        <v>5.7</v>
      </c>
      <c r="I42" s="2">
        <f t="shared" si="28"/>
        <v>-1.3</v>
      </c>
      <c r="J42" s="2">
        <f t="shared" si="29"/>
        <v>-1.1000000000000001</v>
      </c>
      <c r="K42" s="2">
        <f t="shared" ref="K42:K43" si="31">H42</f>
        <v>5.7</v>
      </c>
      <c r="L42" s="2">
        <f t="shared" ref="L42:L43" si="32">I42</f>
        <v>-1.3</v>
      </c>
    </row>
    <row r="43" spans="1:22" x14ac:dyDescent="0.35">
      <c r="A43" s="2" t="s">
        <v>82</v>
      </c>
      <c r="B43" s="2">
        <v>-23.4</v>
      </c>
      <c r="C43" s="2">
        <v>5.7</v>
      </c>
      <c r="D43" s="2">
        <v>-1.3</v>
      </c>
      <c r="E43" s="2">
        <v>-1.1000000000000001</v>
      </c>
      <c r="H43" s="2">
        <f t="shared" si="30"/>
        <v>0</v>
      </c>
      <c r="I43" s="2">
        <f t="shared" si="28"/>
        <v>-2.9</v>
      </c>
      <c r="J43" s="2">
        <f t="shared" si="29"/>
        <v>3.2</v>
      </c>
      <c r="K43" s="2">
        <f t="shared" si="31"/>
        <v>0</v>
      </c>
      <c r="L43" s="2">
        <f t="shared" si="32"/>
        <v>-2.9</v>
      </c>
    </row>
    <row r="44" spans="1:22" x14ac:dyDescent="0.35">
      <c r="B44" s="2">
        <v>31.9</v>
      </c>
      <c r="C44" s="2">
        <v>0</v>
      </c>
      <c r="D44" s="2">
        <v>-2.9</v>
      </c>
      <c r="E44" s="2">
        <v>3.2</v>
      </c>
    </row>
    <row r="45" spans="1:22" x14ac:dyDescent="0.35">
      <c r="H45" s="2">
        <f>C41</f>
        <v>3.2</v>
      </c>
      <c r="I45" s="2">
        <f t="shared" ref="I45" si="33">D41</f>
        <v>0</v>
      </c>
      <c r="J45" s="2">
        <f t="shared" ref="J45" si="34">E41</f>
        <v>7.2</v>
      </c>
      <c r="K45" s="2">
        <f t="shared" ref="K45:K47" si="35">H45</f>
        <v>3.2</v>
      </c>
      <c r="L45" s="2">
        <f t="shared" ref="L45:L47" si="36">I45</f>
        <v>0</v>
      </c>
      <c r="N45" s="2">
        <f>H45*I46*J47+I45*J46*K47+J45*K46*L47</f>
        <v>-132.328</v>
      </c>
      <c r="O45" s="2" t="s">
        <v>78</v>
      </c>
      <c r="P45" s="2">
        <f t="shared" ref="P45" si="37">H47*I46*J45+I47*J46*K45+J47*K46*L45</f>
        <v>10.208</v>
      </c>
      <c r="Q45" s="2" t="s">
        <v>8</v>
      </c>
      <c r="R45" s="2">
        <f>N45-P45</f>
        <v>-142.536</v>
      </c>
      <c r="S45" s="2" t="s">
        <v>79</v>
      </c>
      <c r="T45" s="2">
        <f t="shared" ref="T45" si="38">G46</f>
        <v>-16.8</v>
      </c>
      <c r="U45" s="2" t="s">
        <v>8</v>
      </c>
      <c r="V45" s="2">
        <f t="shared" ref="V45" si="39">R45*T45</f>
        <v>2394.6048000000001</v>
      </c>
    </row>
    <row r="46" spans="1:22" x14ac:dyDescent="0.35">
      <c r="B46" s="2">
        <v>55.6</v>
      </c>
      <c r="G46" s="2">
        <f>B42*-1</f>
        <v>-16.8</v>
      </c>
      <c r="H46" s="2">
        <f>C43</f>
        <v>5.7</v>
      </c>
      <c r="I46" s="2">
        <f t="shared" ref="I46:I47" si="40">D43</f>
        <v>-1.3</v>
      </c>
      <c r="J46" s="2">
        <f t="shared" ref="J46:J47" si="41">E43</f>
        <v>-1.1000000000000001</v>
      </c>
      <c r="K46" s="2">
        <f t="shared" si="35"/>
        <v>5.7</v>
      </c>
      <c r="L46" s="2">
        <f t="shared" si="36"/>
        <v>-1.3</v>
      </c>
    </row>
    <row r="47" spans="1:22" x14ac:dyDescent="0.35">
      <c r="B47" s="2">
        <v>16.8</v>
      </c>
      <c r="H47" s="2">
        <f>C44</f>
        <v>0</v>
      </c>
      <c r="I47" s="2">
        <f t="shared" si="40"/>
        <v>-2.9</v>
      </c>
      <c r="J47" s="2">
        <f t="shared" si="41"/>
        <v>3.2</v>
      </c>
      <c r="K47" s="2">
        <f t="shared" si="35"/>
        <v>0</v>
      </c>
      <c r="L47" s="2">
        <f t="shared" si="36"/>
        <v>-2.9</v>
      </c>
    </row>
    <row r="48" spans="1:22" x14ac:dyDescent="0.35">
      <c r="A48" s="2" t="s">
        <v>58</v>
      </c>
      <c r="B48" s="2">
        <v>-23.4</v>
      </c>
    </row>
    <row r="49" spans="1:22" x14ac:dyDescent="0.35">
      <c r="B49" s="2">
        <v>31.9</v>
      </c>
      <c r="H49" s="2">
        <f>C41</f>
        <v>3.2</v>
      </c>
      <c r="I49" s="2">
        <f t="shared" ref="I49:I50" si="42">D41</f>
        <v>0</v>
      </c>
      <c r="J49" s="2">
        <f t="shared" ref="J49:J50" si="43">E41</f>
        <v>7.2</v>
      </c>
      <c r="K49" s="2">
        <f t="shared" ref="K49:K51" si="44">H49</f>
        <v>3.2</v>
      </c>
      <c r="L49" s="2">
        <f t="shared" ref="L49:L51" si="45">I49</f>
        <v>0</v>
      </c>
      <c r="N49" s="2">
        <f>H49*I50*J51+I49*J50*K51+J49*K50*L51</f>
        <v>-13.407999999999987</v>
      </c>
      <c r="O49" s="2" t="s">
        <v>78</v>
      </c>
      <c r="P49" s="2">
        <f t="shared" ref="P49" si="46">H51*I50*J49+I51*J50*K49+J51*K50*L49</f>
        <v>-13.92</v>
      </c>
      <c r="Q49" s="2" t="s">
        <v>8</v>
      </c>
      <c r="R49" s="2">
        <f>N49-P49</f>
        <v>0.51200000000001289</v>
      </c>
      <c r="S49" s="2" t="s">
        <v>79</v>
      </c>
      <c r="T49" s="2">
        <f t="shared" ref="T49" si="47">G50</f>
        <v>-23.4</v>
      </c>
      <c r="U49" s="2" t="s">
        <v>8</v>
      </c>
      <c r="V49" s="2">
        <f t="shared" ref="V49" si="48">R49*T49</f>
        <v>-11.980800000000301</v>
      </c>
    </row>
    <row r="50" spans="1:22" x14ac:dyDescent="0.35">
      <c r="G50" s="2">
        <f>B43</f>
        <v>-23.4</v>
      </c>
      <c r="H50" s="2">
        <f>C42</f>
        <v>2.8</v>
      </c>
      <c r="I50" s="2">
        <f t="shared" si="42"/>
        <v>4.4000000000000004</v>
      </c>
      <c r="J50" s="2">
        <f t="shared" si="43"/>
        <v>1.5</v>
      </c>
      <c r="K50" s="2">
        <f t="shared" si="44"/>
        <v>2.8</v>
      </c>
      <c r="L50" s="2">
        <f t="shared" si="45"/>
        <v>4.4000000000000004</v>
      </c>
    </row>
    <row r="51" spans="1:22" x14ac:dyDescent="0.35">
      <c r="H51" s="2">
        <f>C44</f>
        <v>0</v>
      </c>
      <c r="I51" s="2">
        <f t="shared" ref="I51" si="49">D44</f>
        <v>-2.9</v>
      </c>
      <c r="J51" s="2">
        <f t="shared" ref="J51" si="50">E44</f>
        <v>3.2</v>
      </c>
      <c r="K51" s="2">
        <f t="shared" si="44"/>
        <v>0</v>
      </c>
      <c r="L51" s="2">
        <f t="shared" si="45"/>
        <v>-2.9</v>
      </c>
    </row>
    <row r="53" spans="1:22" x14ac:dyDescent="0.35">
      <c r="H53" s="2">
        <f>C41</f>
        <v>3.2</v>
      </c>
      <c r="I53" s="2">
        <f t="shared" ref="I53:I55" si="51">D41</f>
        <v>0</v>
      </c>
      <c r="J53" s="2">
        <f t="shared" ref="J53:J55" si="52">E41</f>
        <v>7.2</v>
      </c>
      <c r="K53" s="2">
        <f t="shared" ref="K53:K55" si="53">H53</f>
        <v>3.2</v>
      </c>
      <c r="L53" s="2">
        <f t="shared" ref="L53:L55" si="54">I53</f>
        <v>0</v>
      </c>
      <c r="N53" s="2">
        <f>H53*I54*J55+I53*J54*K55+J53*K54*L55</f>
        <v>-41.696000000000005</v>
      </c>
      <c r="O53" s="2" t="s">
        <v>78</v>
      </c>
      <c r="P53" s="2">
        <f t="shared" ref="P53" si="55">H55*I54*J53+I55*J54*K53+J55*K54*L53</f>
        <v>174.33600000000001</v>
      </c>
      <c r="Q53" s="2" t="s">
        <v>8</v>
      </c>
      <c r="R53" s="2">
        <f>N53-P53</f>
        <v>-216.03200000000001</v>
      </c>
      <c r="S53" s="2" t="s">
        <v>79</v>
      </c>
      <c r="T53" s="2">
        <f t="shared" ref="T53" si="56">G54</f>
        <v>-31.9</v>
      </c>
      <c r="U53" s="2" t="s">
        <v>8</v>
      </c>
      <c r="V53" s="2">
        <f t="shared" ref="V53" si="57">R53*T53</f>
        <v>6891.4207999999999</v>
      </c>
    </row>
    <row r="54" spans="1:22" x14ac:dyDescent="0.35">
      <c r="G54" s="2">
        <f>B44*-1</f>
        <v>-31.9</v>
      </c>
      <c r="H54" s="2">
        <f t="shared" ref="H54:H55" si="58">C42</f>
        <v>2.8</v>
      </c>
      <c r="I54" s="2">
        <f t="shared" si="51"/>
        <v>4.4000000000000004</v>
      </c>
      <c r="J54" s="2">
        <f t="shared" si="52"/>
        <v>1.5</v>
      </c>
      <c r="K54" s="2">
        <f t="shared" si="53"/>
        <v>2.8</v>
      </c>
      <c r="L54" s="2">
        <f t="shared" si="54"/>
        <v>4.4000000000000004</v>
      </c>
    </row>
    <row r="55" spans="1:22" x14ac:dyDescent="0.35">
      <c r="H55" s="2">
        <f t="shared" si="58"/>
        <v>5.7</v>
      </c>
      <c r="I55" s="2">
        <f t="shared" si="51"/>
        <v>-1.3</v>
      </c>
      <c r="J55" s="2">
        <f t="shared" si="52"/>
        <v>-1.1000000000000001</v>
      </c>
      <c r="K55" s="2">
        <f t="shared" si="53"/>
        <v>5.7</v>
      </c>
      <c r="L55" s="2">
        <f t="shared" si="54"/>
        <v>-1.3</v>
      </c>
      <c r="U55" s="2" t="s">
        <v>81</v>
      </c>
      <c r="V55" s="2" t="s">
        <v>80</v>
      </c>
    </row>
    <row r="56" spans="1:22" x14ac:dyDescent="0.35">
      <c r="V56" s="2">
        <f>V41+V45+V49+V53</f>
        <v>2288.9611999999988</v>
      </c>
    </row>
    <row r="58" spans="1:22" x14ac:dyDescent="0.35">
      <c r="B58" s="2">
        <v>3.8</v>
      </c>
      <c r="C58" s="2">
        <v>55.6</v>
      </c>
      <c r="D58" s="2">
        <v>0</v>
      </c>
      <c r="E58" s="2">
        <v>7.2</v>
      </c>
      <c r="H58" s="2">
        <f t="shared" ref="H58:H60" si="59">C59</f>
        <v>16.8</v>
      </c>
      <c r="I58" s="2">
        <f t="shared" ref="I58:I60" si="60">D59</f>
        <v>4.4000000000000004</v>
      </c>
      <c r="J58" s="2">
        <f t="shared" ref="J58:J60" si="61">E59</f>
        <v>1.5</v>
      </c>
      <c r="K58" s="2">
        <f t="shared" ref="K58:K60" si="62">H58</f>
        <v>16.8</v>
      </c>
      <c r="L58" s="2">
        <f t="shared" ref="L58:L60" si="63">I58</f>
        <v>4.4000000000000004</v>
      </c>
      <c r="N58" s="2">
        <f t="shared" ref="N58" si="64">H58*I59*J60+I58*J59*K60+J58*K59*L60</f>
        <v>-122.49400000000007</v>
      </c>
      <c r="O58" s="2" t="s">
        <v>78</v>
      </c>
      <c r="P58" s="2">
        <f t="shared" ref="P58" si="65">H60*I59*J58+I60*J59*K58+J60*K59*L58</f>
        <v>-338.08499999999998</v>
      </c>
      <c r="Q58" s="2" t="s">
        <v>8</v>
      </c>
      <c r="R58" s="2">
        <f t="shared" ref="R58" si="66">N58-P58</f>
        <v>215.59099999999989</v>
      </c>
      <c r="S58" s="2" t="s">
        <v>79</v>
      </c>
      <c r="T58" s="2">
        <f t="shared" ref="T58" si="67">G59</f>
        <v>3.8</v>
      </c>
      <c r="U58" s="2" t="s">
        <v>8</v>
      </c>
      <c r="V58" s="2">
        <f t="shared" ref="V58" si="68">R58*T58</f>
        <v>819.24579999999958</v>
      </c>
    </row>
    <row r="59" spans="1:22" x14ac:dyDescent="0.35">
      <c r="B59" s="2">
        <v>0</v>
      </c>
      <c r="C59" s="2">
        <v>16.8</v>
      </c>
      <c r="D59" s="2">
        <v>4.4000000000000004</v>
      </c>
      <c r="E59" s="2">
        <v>1.5</v>
      </c>
      <c r="G59" s="2">
        <f t="shared" ref="G59" si="69">B58</f>
        <v>3.8</v>
      </c>
      <c r="H59" s="2">
        <f t="shared" si="59"/>
        <v>-23.4</v>
      </c>
      <c r="I59" s="2">
        <f t="shared" si="60"/>
        <v>-1.3</v>
      </c>
      <c r="J59" s="2">
        <f t="shared" si="61"/>
        <v>-1.1000000000000001</v>
      </c>
      <c r="K59" s="2">
        <f t="shared" si="62"/>
        <v>-23.4</v>
      </c>
      <c r="L59" s="2">
        <f t="shared" si="63"/>
        <v>-1.3</v>
      </c>
    </row>
    <row r="60" spans="1:22" x14ac:dyDescent="0.35">
      <c r="A60" s="2" t="s">
        <v>83</v>
      </c>
      <c r="B60" s="2">
        <v>3.2</v>
      </c>
      <c r="C60" s="2">
        <v>-23.4</v>
      </c>
      <c r="D60" s="2">
        <v>-1.3</v>
      </c>
      <c r="E60" s="2">
        <v>-1.1000000000000001</v>
      </c>
      <c r="H60" s="2">
        <f t="shared" si="59"/>
        <v>31.9</v>
      </c>
      <c r="I60" s="2">
        <f t="shared" si="60"/>
        <v>-2.9</v>
      </c>
      <c r="J60" s="2">
        <f t="shared" si="61"/>
        <v>3.2</v>
      </c>
      <c r="K60" s="2">
        <f t="shared" si="62"/>
        <v>31.9</v>
      </c>
      <c r="L60" s="2">
        <f t="shared" si="63"/>
        <v>-2.9</v>
      </c>
    </row>
    <row r="61" spans="1:22" x14ac:dyDescent="0.35">
      <c r="B61" s="2">
        <v>7.5</v>
      </c>
      <c r="C61" s="2">
        <v>31.9</v>
      </c>
      <c r="D61" s="2">
        <v>-2.9</v>
      </c>
      <c r="E61" s="2">
        <v>3.2</v>
      </c>
    </row>
    <row r="62" spans="1:22" x14ac:dyDescent="0.35">
      <c r="H62" s="2">
        <f t="shared" ref="H62" si="70">C58</f>
        <v>55.6</v>
      </c>
      <c r="I62" s="2">
        <f t="shared" ref="I62" si="71">D58</f>
        <v>0</v>
      </c>
      <c r="J62" s="2">
        <f t="shared" ref="J62" si="72">E58</f>
        <v>7.2</v>
      </c>
      <c r="K62" s="2">
        <f t="shared" ref="K62:K64" si="73">H62</f>
        <v>55.6</v>
      </c>
      <c r="L62" s="2">
        <f t="shared" ref="L62:L64" si="74">I62</f>
        <v>0</v>
      </c>
      <c r="N62" s="2">
        <f t="shared" ref="N62" si="75">H62*I63*J64+I62*J63*K64+J62*K63*L64</f>
        <v>257.29599999999994</v>
      </c>
      <c r="O62" s="2" t="s">
        <v>78</v>
      </c>
      <c r="P62" s="2">
        <f t="shared" ref="P62" si="76">H64*I63*J62+I64*J63*K62+J64*K63*L62</f>
        <v>-121.22</v>
      </c>
      <c r="Q62" s="2" t="s">
        <v>8</v>
      </c>
      <c r="R62" s="2">
        <f t="shared" ref="R62" si="77">N62-P62</f>
        <v>378.51599999999996</v>
      </c>
      <c r="S62" s="2" t="s">
        <v>79</v>
      </c>
      <c r="T62" s="2">
        <f t="shared" ref="T62" si="78">G63</f>
        <v>0</v>
      </c>
      <c r="U62" s="2" t="s">
        <v>8</v>
      </c>
      <c r="V62" s="2">
        <f t="shared" ref="V62" si="79">R62*T62</f>
        <v>0</v>
      </c>
    </row>
    <row r="63" spans="1:22" x14ac:dyDescent="0.35">
      <c r="B63" s="2">
        <v>55.6</v>
      </c>
      <c r="G63" s="2">
        <f t="shared" ref="G63" si="80">B59*-1</f>
        <v>0</v>
      </c>
      <c r="H63" s="2">
        <f t="shared" ref="H63:H64" si="81">C60</f>
        <v>-23.4</v>
      </c>
      <c r="I63" s="2">
        <f t="shared" ref="I63:I64" si="82">D60</f>
        <v>-1.3</v>
      </c>
      <c r="J63" s="2">
        <f t="shared" ref="J63:J64" si="83">E60</f>
        <v>-1.1000000000000001</v>
      </c>
      <c r="K63" s="2">
        <f t="shared" si="73"/>
        <v>-23.4</v>
      </c>
      <c r="L63" s="2">
        <f t="shared" si="74"/>
        <v>-1.3</v>
      </c>
    </row>
    <row r="64" spans="1:22" x14ac:dyDescent="0.35">
      <c r="B64" s="2">
        <v>16.8</v>
      </c>
      <c r="H64" s="2">
        <f t="shared" si="81"/>
        <v>31.9</v>
      </c>
      <c r="I64" s="2">
        <f t="shared" si="82"/>
        <v>-2.9</v>
      </c>
      <c r="J64" s="2">
        <f t="shared" si="83"/>
        <v>3.2</v>
      </c>
      <c r="K64" s="2">
        <f t="shared" si="73"/>
        <v>31.9</v>
      </c>
      <c r="L64" s="2">
        <f t="shared" si="74"/>
        <v>-2.9</v>
      </c>
    </row>
    <row r="65" spans="1:22" x14ac:dyDescent="0.35">
      <c r="A65" s="2" t="s">
        <v>58</v>
      </c>
      <c r="B65" s="2">
        <v>-23.4</v>
      </c>
    </row>
    <row r="66" spans="1:22" x14ac:dyDescent="0.35">
      <c r="B66" s="2">
        <v>31.9</v>
      </c>
      <c r="H66" s="2">
        <f t="shared" ref="H66:H67" si="84">C58</f>
        <v>55.6</v>
      </c>
      <c r="I66" s="2">
        <f t="shared" ref="I66:I67" si="85">D58</f>
        <v>0</v>
      </c>
      <c r="J66" s="2">
        <f t="shared" ref="J66:J67" si="86">E58</f>
        <v>7.2</v>
      </c>
      <c r="K66" s="2">
        <f t="shared" ref="K66:K68" si="87">H66</f>
        <v>55.6</v>
      </c>
      <c r="L66" s="2">
        <f t="shared" ref="L66:L68" si="88">I66</f>
        <v>0</v>
      </c>
      <c r="N66" s="2">
        <f t="shared" ref="N66" si="89">H66*I67*J68+I66*J67*K68+J66*K67*L68</f>
        <v>432.06400000000008</v>
      </c>
      <c r="O66" s="2" t="s">
        <v>78</v>
      </c>
      <c r="P66" s="2">
        <f t="shared" ref="P66" si="90">H68*I67*J66+I68*J67*K66+J68*K67*L66</f>
        <v>768.73200000000008</v>
      </c>
      <c r="Q66" s="2" t="s">
        <v>8</v>
      </c>
      <c r="R66" s="2">
        <f t="shared" ref="R66" si="91">N66-P66</f>
        <v>-336.66800000000001</v>
      </c>
      <c r="S66" s="2" t="s">
        <v>79</v>
      </c>
      <c r="T66" s="2">
        <f t="shared" ref="T66" si="92">G67</f>
        <v>3.2</v>
      </c>
      <c r="U66" s="2" t="s">
        <v>8</v>
      </c>
      <c r="V66" s="2">
        <f t="shared" ref="V66" si="93">R66*T66</f>
        <v>-1077.3376000000001</v>
      </c>
    </row>
    <row r="67" spans="1:22" x14ac:dyDescent="0.35">
      <c r="G67" s="2">
        <f t="shared" ref="G67" si="94">B60</f>
        <v>3.2</v>
      </c>
      <c r="H67" s="2">
        <f t="shared" si="84"/>
        <v>16.8</v>
      </c>
      <c r="I67" s="2">
        <f t="shared" si="85"/>
        <v>4.4000000000000004</v>
      </c>
      <c r="J67" s="2">
        <f t="shared" si="86"/>
        <v>1.5</v>
      </c>
      <c r="K67" s="2">
        <f t="shared" si="87"/>
        <v>16.8</v>
      </c>
      <c r="L67" s="2">
        <f t="shared" si="88"/>
        <v>4.4000000000000004</v>
      </c>
    </row>
    <row r="68" spans="1:22" x14ac:dyDescent="0.35">
      <c r="H68" s="2">
        <f t="shared" ref="H68" si="95">C61</f>
        <v>31.9</v>
      </c>
      <c r="I68" s="2">
        <f t="shared" ref="I68" si="96">D61</f>
        <v>-2.9</v>
      </c>
      <c r="J68" s="2">
        <f t="shared" ref="J68" si="97">E61</f>
        <v>3.2</v>
      </c>
      <c r="K68" s="2">
        <f t="shared" si="87"/>
        <v>31.9</v>
      </c>
      <c r="L68" s="2">
        <f t="shared" si="88"/>
        <v>-2.9</v>
      </c>
    </row>
    <row r="70" spans="1:22" x14ac:dyDescent="0.35">
      <c r="H70" s="2">
        <f t="shared" ref="H70:H72" si="98">C58</f>
        <v>55.6</v>
      </c>
      <c r="I70" s="2">
        <f t="shared" ref="I70:I72" si="99">D58</f>
        <v>0</v>
      </c>
      <c r="J70" s="2">
        <f t="shared" ref="J70:J72" si="100">E58</f>
        <v>7.2</v>
      </c>
      <c r="K70" s="2">
        <f t="shared" ref="K70:K72" si="101">H70</f>
        <v>55.6</v>
      </c>
      <c r="L70" s="2">
        <f t="shared" ref="L70:L72" si="102">I70</f>
        <v>0</v>
      </c>
      <c r="N70" s="2">
        <f t="shared" ref="N70" si="103">H70*I71*J72+I70*J71*K72+J70*K71*L72</f>
        <v>-426.35200000000009</v>
      </c>
      <c r="O70" s="2" t="s">
        <v>78</v>
      </c>
      <c r="P70" s="2">
        <f t="shared" ref="P70" si="104">H72*I71*J70+I72*J71*K70+J72*K71*L70</f>
        <v>-849.7320000000002</v>
      </c>
      <c r="Q70" s="2" t="s">
        <v>8</v>
      </c>
      <c r="R70" s="2">
        <f t="shared" ref="R70" si="105">N70-P70</f>
        <v>423.38000000000011</v>
      </c>
      <c r="S70" s="2" t="s">
        <v>79</v>
      </c>
      <c r="T70" s="2">
        <f t="shared" ref="T70" si="106">G71</f>
        <v>-7.5</v>
      </c>
      <c r="U70" s="2" t="s">
        <v>8</v>
      </c>
      <c r="V70" s="2">
        <f t="shared" ref="V70" si="107">R70*T70</f>
        <v>-3175.3500000000008</v>
      </c>
    </row>
    <row r="71" spans="1:22" x14ac:dyDescent="0.35">
      <c r="G71" s="2">
        <f t="shared" ref="G71" si="108">B61*-1</f>
        <v>-7.5</v>
      </c>
      <c r="H71" s="2">
        <f t="shared" si="98"/>
        <v>16.8</v>
      </c>
      <c r="I71" s="2">
        <f t="shared" si="99"/>
        <v>4.4000000000000004</v>
      </c>
      <c r="J71" s="2">
        <f t="shared" si="100"/>
        <v>1.5</v>
      </c>
      <c r="K71" s="2">
        <f t="shared" si="101"/>
        <v>16.8</v>
      </c>
      <c r="L71" s="2">
        <f t="shared" si="102"/>
        <v>4.4000000000000004</v>
      </c>
    </row>
    <row r="72" spans="1:22" x14ac:dyDescent="0.35">
      <c r="H72" s="2">
        <f t="shared" si="98"/>
        <v>-23.4</v>
      </c>
      <c r="I72" s="2">
        <f t="shared" si="99"/>
        <v>-1.3</v>
      </c>
      <c r="J72" s="2">
        <f t="shared" si="100"/>
        <v>-1.1000000000000001</v>
      </c>
      <c r="K72" s="2">
        <f t="shared" si="101"/>
        <v>-23.4</v>
      </c>
      <c r="L72" s="2">
        <f t="shared" si="102"/>
        <v>-1.3</v>
      </c>
      <c r="U72" s="2" t="s">
        <v>81</v>
      </c>
      <c r="V72" s="2" t="s">
        <v>80</v>
      </c>
    </row>
    <row r="73" spans="1:22" x14ac:dyDescent="0.35">
      <c r="V73" s="2">
        <f t="shared" ref="V73" si="109">V58+V62+V66+V70</f>
        <v>-3433.4418000000014</v>
      </c>
    </row>
    <row r="75" spans="1:22" x14ac:dyDescent="0.35">
      <c r="B75" s="2">
        <v>3.8</v>
      </c>
      <c r="C75" s="2">
        <v>3.2</v>
      </c>
      <c r="D75" s="2">
        <v>55.6</v>
      </c>
      <c r="E75" s="2">
        <v>7.2</v>
      </c>
      <c r="H75" s="2">
        <f t="shared" ref="H75:H77" si="110">C76</f>
        <v>2.8</v>
      </c>
      <c r="I75" s="2">
        <f t="shared" ref="I75:I77" si="111">D76</f>
        <v>16.8</v>
      </c>
      <c r="J75" s="2">
        <f t="shared" ref="J75:J77" si="112">E76</f>
        <v>1.5</v>
      </c>
      <c r="K75" s="2">
        <f t="shared" ref="K75:K77" si="113">H75</f>
        <v>2.8</v>
      </c>
      <c r="L75" s="2">
        <f t="shared" ref="L75:L77" si="114">I75</f>
        <v>16.8</v>
      </c>
      <c r="N75" s="2">
        <f t="shared" ref="N75" si="115">H75*I76*J77+I75*J76*K77+J75*K76*L77</f>
        <v>63.081000000000017</v>
      </c>
      <c r="O75" s="2" t="s">
        <v>78</v>
      </c>
      <c r="P75" s="2">
        <f t="shared" ref="P75" si="116">H77*I76*J75+I77*J76*K75+J77*K76*L75</f>
        <v>208.18000000000006</v>
      </c>
      <c r="Q75" s="2" t="s">
        <v>8</v>
      </c>
      <c r="R75" s="2">
        <f t="shared" ref="R75" si="117">N75-P75</f>
        <v>-145.09900000000005</v>
      </c>
      <c r="S75" s="2" t="s">
        <v>79</v>
      </c>
      <c r="T75" s="2">
        <f t="shared" ref="T75" si="118">G76</f>
        <v>3.8</v>
      </c>
      <c r="U75" s="2" t="s">
        <v>8</v>
      </c>
      <c r="V75" s="2">
        <f t="shared" ref="V75" si="119">R75*T75</f>
        <v>-551.37620000000015</v>
      </c>
    </row>
    <row r="76" spans="1:22" x14ac:dyDescent="0.35">
      <c r="B76" s="2">
        <v>0</v>
      </c>
      <c r="C76" s="2">
        <v>2.8</v>
      </c>
      <c r="D76" s="2">
        <v>16.8</v>
      </c>
      <c r="E76" s="2">
        <v>1.5</v>
      </c>
      <c r="G76" s="2">
        <f t="shared" ref="G76" si="120">B75</f>
        <v>3.8</v>
      </c>
      <c r="H76" s="2">
        <f t="shared" si="110"/>
        <v>5.7</v>
      </c>
      <c r="I76" s="2">
        <f t="shared" si="111"/>
        <v>-23.4</v>
      </c>
      <c r="J76" s="2">
        <f t="shared" si="112"/>
        <v>-1.1000000000000001</v>
      </c>
      <c r="K76" s="2">
        <f t="shared" si="113"/>
        <v>5.7</v>
      </c>
      <c r="L76" s="2">
        <f t="shared" si="114"/>
        <v>-23.4</v>
      </c>
    </row>
    <row r="77" spans="1:22" x14ac:dyDescent="0.35">
      <c r="A77" s="2" t="s">
        <v>84</v>
      </c>
      <c r="B77" s="2">
        <v>3.2</v>
      </c>
      <c r="C77" s="2">
        <v>5.7</v>
      </c>
      <c r="D77" s="2">
        <v>-23.4</v>
      </c>
      <c r="E77" s="2">
        <v>-1.1000000000000001</v>
      </c>
      <c r="H77" s="2">
        <f t="shared" si="110"/>
        <v>0</v>
      </c>
      <c r="I77" s="2">
        <f t="shared" si="111"/>
        <v>31.9</v>
      </c>
      <c r="J77" s="2">
        <f t="shared" si="112"/>
        <v>3.2</v>
      </c>
      <c r="K77" s="2">
        <f t="shared" si="113"/>
        <v>0</v>
      </c>
      <c r="L77" s="2">
        <f t="shared" si="114"/>
        <v>31.9</v>
      </c>
    </row>
    <row r="78" spans="1:22" x14ac:dyDescent="0.35">
      <c r="B78" s="2">
        <v>7.5</v>
      </c>
      <c r="C78" s="2">
        <v>0</v>
      </c>
      <c r="D78" s="2">
        <v>31.9</v>
      </c>
      <c r="E78" s="2">
        <v>3.2</v>
      </c>
    </row>
    <row r="79" spans="1:22" x14ac:dyDescent="0.35">
      <c r="H79" s="2">
        <f t="shared" ref="H79" si="121">C75</f>
        <v>3.2</v>
      </c>
      <c r="I79" s="2">
        <f t="shared" ref="I79" si="122">D75</f>
        <v>55.6</v>
      </c>
      <c r="J79" s="2">
        <f t="shared" ref="J79" si="123">E75</f>
        <v>7.2</v>
      </c>
      <c r="K79" s="2">
        <f t="shared" ref="K79:K81" si="124">H79</f>
        <v>3.2</v>
      </c>
      <c r="L79" s="2">
        <f t="shared" ref="L79:L81" si="125">I79</f>
        <v>55.6</v>
      </c>
      <c r="N79" s="2">
        <f t="shared" ref="N79" si="126">H79*I80*J81+I79*J80*K81+J79*K80*L81</f>
        <v>1069.56</v>
      </c>
      <c r="O79" s="2" t="s">
        <v>78</v>
      </c>
      <c r="P79" s="2">
        <f t="shared" ref="P79" si="127">H81*I80*J79+I81*J80*K79+J81*K80*L79</f>
        <v>901.85600000000011</v>
      </c>
      <c r="Q79" s="2" t="s">
        <v>8</v>
      </c>
      <c r="R79" s="2">
        <f t="shared" ref="R79" si="128">N79-P79</f>
        <v>167.70399999999984</v>
      </c>
      <c r="S79" s="2" t="s">
        <v>79</v>
      </c>
      <c r="T79" s="2">
        <f t="shared" ref="T79" si="129">G80</f>
        <v>0</v>
      </c>
      <c r="U79" s="2" t="s">
        <v>8</v>
      </c>
      <c r="V79" s="2">
        <f t="shared" ref="V79" si="130">R79*T79</f>
        <v>0</v>
      </c>
    </row>
    <row r="80" spans="1:22" x14ac:dyDescent="0.35">
      <c r="B80" s="2">
        <v>55.6</v>
      </c>
      <c r="G80" s="2">
        <f t="shared" ref="G80" si="131">B76*-1</f>
        <v>0</v>
      </c>
      <c r="H80" s="2">
        <f t="shared" ref="H80:H81" si="132">C77</f>
        <v>5.7</v>
      </c>
      <c r="I80" s="2">
        <f t="shared" ref="I80:I81" si="133">D77</f>
        <v>-23.4</v>
      </c>
      <c r="J80" s="2">
        <f t="shared" ref="J80:J81" si="134">E77</f>
        <v>-1.1000000000000001</v>
      </c>
      <c r="K80" s="2">
        <f t="shared" si="124"/>
        <v>5.7</v>
      </c>
      <c r="L80" s="2">
        <f t="shared" si="125"/>
        <v>-23.4</v>
      </c>
    </row>
    <row r="81" spans="1:22" x14ac:dyDescent="0.35">
      <c r="B81" s="2">
        <v>16.8</v>
      </c>
      <c r="H81" s="2">
        <f t="shared" si="132"/>
        <v>0</v>
      </c>
      <c r="I81" s="2">
        <f t="shared" si="133"/>
        <v>31.9</v>
      </c>
      <c r="J81" s="2">
        <f t="shared" si="134"/>
        <v>3.2</v>
      </c>
      <c r="K81" s="2">
        <f t="shared" si="124"/>
        <v>0</v>
      </c>
      <c r="L81" s="2">
        <f t="shared" si="125"/>
        <v>31.9</v>
      </c>
    </row>
    <row r="82" spans="1:22" x14ac:dyDescent="0.35">
      <c r="A82" s="2" t="s">
        <v>58</v>
      </c>
      <c r="B82" s="2">
        <v>-23.4</v>
      </c>
    </row>
    <row r="83" spans="1:22" x14ac:dyDescent="0.35">
      <c r="B83" s="2">
        <v>31.9</v>
      </c>
      <c r="H83" s="2">
        <f t="shared" ref="H83:H84" si="135">C75</f>
        <v>3.2</v>
      </c>
      <c r="I83" s="2">
        <f t="shared" ref="I83:I84" si="136">D75</f>
        <v>55.6</v>
      </c>
      <c r="J83" s="2">
        <f t="shared" ref="J83:J84" si="137">E75</f>
        <v>7.2</v>
      </c>
      <c r="K83" s="2">
        <f t="shared" ref="K83:K85" si="138">H83</f>
        <v>3.2</v>
      </c>
      <c r="L83" s="2">
        <f t="shared" ref="L83:L85" si="139">I83</f>
        <v>55.6</v>
      </c>
      <c r="N83" s="2">
        <f t="shared" ref="N83" si="140">H83*I84*J85+I83*J84*K85+J83*K84*L85</f>
        <v>815.13599999999997</v>
      </c>
      <c r="O83" s="2" t="s">
        <v>78</v>
      </c>
      <c r="P83" s="2">
        <f t="shared" ref="P83" si="141">H85*I84*J83+I85*J84*K83+J85*K84*L83</f>
        <v>651.29599999999994</v>
      </c>
      <c r="Q83" s="2" t="s">
        <v>8</v>
      </c>
      <c r="R83" s="2">
        <f t="shared" ref="R83" si="142">N83-P83</f>
        <v>163.84000000000003</v>
      </c>
      <c r="S83" s="2" t="s">
        <v>79</v>
      </c>
      <c r="T83" s="2">
        <f t="shared" ref="T83" si="143">G84</f>
        <v>3.2</v>
      </c>
      <c r="U83" s="2" t="s">
        <v>8</v>
      </c>
      <c r="V83" s="2">
        <f t="shared" ref="V83" si="144">R83*T83</f>
        <v>524.28800000000012</v>
      </c>
    </row>
    <row r="84" spans="1:22" x14ac:dyDescent="0.35">
      <c r="G84" s="2">
        <f t="shared" ref="G84" si="145">B77</f>
        <v>3.2</v>
      </c>
      <c r="H84" s="2">
        <f t="shared" si="135"/>
        <v>2.8</v>
      </c>
      <c r="I84" s="2">
        <f t="shared" si="136"/>
        <v>16.8</v>
      </c>
      <c r="J84" s="2">
        <f t="shared" si="137"/>
        <v>1.5</v>
      </c>
      <c r="K84" s="2">
        <f t="shared" si="138"/>
        <v>2.8</v>
      </c>
      <c r="L84" s="2">
        <f t="shared" si="139"/>
        <v>16.8</v>
      </c>
    </row>
    <row r="85" spans="1:22" x14ac:dyDescent="0.35">
      <c r="H85" s="2">
        <f t="shared" ref="H85" si="146">C78</f>
        <v>0</v>
      </c>
      <c r="I85" s="2">
        <f t="shared" ref="I85" si="147">D78</f>
        <v>31.9</v>
      </c>
      <c r="J85" s="2">
        <f t="shared" ref="J85" si="148">E78</f>
        <v>3.2</v>
      </c>
      <c r="K85" s="2">
        <f t="shared" si="138"/>
        <v>0</v>
      </c>
      <c r="L85" s="2">
        <f t="shared" si="139"/>
        <v>31.9</v>
      </c>
    </row>
    <row r="87" spans="1:22" x14ac:dyDescent="0.35">
      <c r="H87" s="2">
        <f t="shared" ref="H87:H89" si="149">C75</f>
        <v>3.2</v>
      </c>
      <c r="I87" s="2">
        <f t="shared" ref="I87:I89" si="150">D75</f>
        <v>55.6</v>
      </c>
      <c r="J87" s="2">
        <f t="shared" ref="J87:J89" si="151">E75</f>
        <v>7.2</v>
      </c>
      <c r="K87" s="2">
        <f t="shared" ref="K87:K89" si="152">H87</f>
        <v>3.2</v>
      </c>
      <c r="L87" s="2">
        <f t="shared" ref="L87:L89" si="153">I87</f>
        <v>55.6</v>
      </c>
      <c r="N87" s="2">
        <f t="shared" ref="N87" si="154">H87*I88*J89+I87*J88*K89+J87*K88*L89</f>
        <v>-55.499999999999943</v>
      </c>
      <c r="O87" s="2" t="s">
        <v>78</v>
      </c>
      <c r="P87" s="2">
        <f t="shared" ref="P87" si="155">H89*I88*J87+I89*J88*K87+J89*K88*L87</f>
        <v>405.904</v>
      </c>
      <c r="Q87" s="2" t="s">
        <v>8</v>
      </c>
      <c r="R87" s="2">
        <f t="shared" ref="R87" si="156">N87-P87</f>
        <v>-461.40399999999994</v>
      </c>
      <c r="S87" s="2" t="s">
        <v>79</v>
      </c>
      <c r="T87" s="2">
        <f t="shared" ref="T87" si="157">G88</f>
        <v>-7.5</v>
      </c>
      <c r="U87" s="2" t="s">
        <v>8</v>
      </c>
      <c r="V87" s="2">
        <f t="shared" ref="V87" si="158">R87*T87</f>
        <v>3460.5299999999997</v>
      </c>
    </row>
    <row r="88" spans="1:22" x14ac:dyDescent="0.35">
      <c r="G88" s="2">
        <f t="shared" ref="G88" si="159">B78*-1</f>
        <v>-7.5</v>
      </c>
      <c r="H88" s="2">
        <f t="shared" si="149"/>
        <v>2.8</v>
      </c>
      <c r="I88" s="2">
        <f t="shared" si="150"/>
        <v>16.8</v>
      </c>
      <c r="J88" s="2">
        <f t="shared" si="151"/>
        <v>1.5</v>
      </c>
      <c r="K88" s="2">
        <f t="shared" si="152"/>
        <v>2.8</v>
      </c>
      <c r="L88" s="2">
        <f t="shared" si="153"/>
        <v>16.8</v>
      </c>
    </row>
    <row r="89" spans="1:22" x14ac:dyDescent="0.35">
      <c r="H89" s="2">
        <f t="shared" si="149"/>
        <v>5.7</v>
      </c>
      <c r="I89" s="2">
        <f t="shared" si="150"/>
        <v>-23.4</v>
      </c>
      <c r="J89" s="2">
        <f t="shared" si="151"/>
        <v>-1.1000000000000001</v>
      </c>
      <c r="K89" s="2">
        <f t="shared" si="152"/>
        <v>5.7</v>
      </c>
      <c r="L89" s="2">
        <f t="shared" si="153"/>
        <v>-23.4</v>
      </c>
      <c r="U89" s="2" t="s">
        <v>81</v>
      </c>
      <c r="V89" s="2" t="s">
        <v>80</v>
      </c>
    </row>
    <row r="90" spans="1:22" x14ac:dyDescent="0.35">
      <c r="V90" s="2">
        <f t="shared" ref="V90" si="160">V75+V79+V83+V87</f>
        <v>3433.4417999999996</v>
      </c>
    </row>
    <row r="92" spans="1:22" x14ac:dyDescent="0.35">
      <c r="B92" s="2">
        <v>3.8</v>
      </c>
      <c r="C92" s="2">
        <v>3.2</v>
      </c>
      <c r="D92" s="2">
        <v>0</v>
      </c>
      <c r="E92" s="2">
        <v>55.6</v>
      </c>
      <c r="H92" s="2">
        <f t="shared" ref="H92:H94" si="161">C93</f>
        <v>2.8</v>
      </c>
      <c r="I92" s="2">
        <f t="shared" ref="I92:I94" si="162">D93</f>
        <v>4.4000000000000004</v>
      </c>
      <c r="J92" s="2">
        <f t="shared" ref="J92:J94" si="163">E93</f>
        <v>16.8</v>
      </c>
      <c r="K92" s="2">
        <f t="shared" ref="K92:K94" si="164">H92</f>
        <v>2.8</v>
      </c>
      <c r="L92" s="2">
        <f t="shared" ref="L92:L94" si="165">I92</f>
        <v>4.4000000000000004</v>
      </c>
      <c r="N92" s="2">
        <f t="shared" ref="N92" si="166">H92*I93*J94+I92*J93*K94+J92*K93*L94</f>
        <v>-393.82</v>
      </c>
      <c r="O92" s="2" t="s">
        <v>78</v>
      </c>
      <c r="P92" s="2">
        <f t="shared" ref="P92" si="167">H94*I93*J92+I94*J93*K92+J94*K93*L92</f>
        <v>990.06</v>
      </c>
      <c r="Q92" s="2" t="s">
        <v>8</v>
      </c>
      <c r="R92" s="2">
        <f t="shared" ref="R92" si="168">N92-P92</f>
        <v>-1383.8799999999999</v>
      </c>
      <c r="S92" s="2" t="s">
        <v>79</v>
      </c>
      <c r="T92" s="2">
        <f t="shared" ref="T92" si="169">G93</f>
        <v>3.8</v>
      </c>
      <c r="U92" s="2" t="s">
        <v>8</v>
      </c>
      <c r="V92" s="2">
        <f t="shared" ref="V92" si="170">R92*T92</f>
        <v>-5258.7439999999997</v>
      </c>
    </row>
    <row r="93" spans="1:22" x14ac:dyDescent="0.35">
      <c r="B93" s="2">
        <v>0</v>
      </c>
      <c r="C93" s="2">
        <v>2.8</v>
      </c>
      <c r="D93" s="2">
        <v>4.4000000000000004</v>
      </c>
      <c r="E93" s="2">
        <v>16.8</v>
      </c>
      <c r="G93" s="2">
        <f t="shared" ref="G93" si="171">B92</f>
        <v>3.8</v>
      </c>
      <c r="H93" s="2">
        <f t="shared" si="161"/>
        <v>5.7</v>
      </c>
      <c r="I93" s="2">
        <f t="shared" si="162"/>
        <v>-1.3</v>
      </c>
      <c r="J93" s="2">
        <f t="shared" si="163"/>
        <v>-23.4</v>
      </c>
      <c r="K93" s="2">
        <f t="shared" si="164"/>
        <v>5.7</v>
      </c>
      <c r="L93" s="2">
        <f t="shared" si="165"/>
        <v>-1.3</v>
      </c>
    </row>
    <row r="94" spans="1:22" x14ac:dyDescent="0.35">
      <c r="A94" s="2" t="s">
        <v>85</v>
      </c>
      <c r="B94" s="2">
        <v>3.2</v>
      </c>
      <c r="C94" s="2">
        <v>5.7</v>
      </c>
      <c r="D94" s="2">
        <v>-1.3</v>
      </c>
      <c r="E94" s="2">
        <v>-23.4</v>
      </c>
      <c r="H94" s="2">
        <f t="shared" si="161"/>
        <v>0</v>
      </c>
      <c r="I94" s="2">
        <f t="shared" si="162"/>
        <v>-2.9</v>
      </c>
      <c r="J94" s="2">
        <f t="shared" si="163"/>
        <v>31.9</v>
      </c>
      <c r="K94" s="2">
        <f t="shared" si="164"/>
        <v>0</v>
      </c>
      <c r="L94" s="2">
        <f t="shared" si="165"/>
        <v>-2.9</v>
      </c>
    </row>
    <row r="95" spans="1:22" x14ac:dyDescent="0.35">
      <c r="B95" s="2">
        <v>7.5</v>
      </c>
      <c r="C95" s="2">
        <v>0</v>
      </c>
      <c r="D95" s="2">
        <v>-2.9</v>
      </c>
      <c r="E95" s="2">
        <v>31.9</v>
      </c>
    </row>
    <row r="96" spans="1:22" x14ac:dyDescent="0.35">
      <c r="H96" s="2">
        <f t="shared" ref="H96" si="172">C92</f>
        <v>3.2</v>
      </c>
      <c r="I96" s="2">
        <f t="shared" ref="I96" si="173">D92</f>
        <v>0</v>
      </c>
      <c r="J96" s="2">
        <f t="shared" ref="J96" si="174">E92</f>
        <v>55.6</v>
      </c>
      <c r="K96" s="2">
        <f t="shared" ref="K96:K98" si="175">H96</f>
        <v>3.2</v>
      </c>
      <c r="L96" s="2">
        <f t="shared" ref="L96:L98" si="176">I96</f>
        <v>0</v>
      </c>
      <c r="N96" s="2">
        <f t="shared" ref="N96" si="177">H96*I97*J98+I96*J97*K98+J96*K97*L98</f>
        <v>-1051.7719999999999</v>
      </c>
      <c r="O96" s="2" t="s">
        <v>78</v>
      </c>
      <c r="P96" s="2">
        <f t="shared" ref="P96" si="178">H98*I97*J96+I98*J97*K96+J98*K97*L96</f>
        <v>217.15200000000002</v>
      </c>
      <c r="Q96" s="2" t="s">
        <v>8</v>
      </c>
      <c r="R96" s="2">
        <f t="shared" ref="R96" si="179">N96-P96</f>
        <v>-1268.924</v>
      </c>
      <c r="S96" s="2" t="s">
        <v>79</v>
      </c>
      <c r="T96" s="2">
        <f t="shared" ref="T96" si="180">G97</f>
        <v>0</v>
      </c>
      <c r="U96" s="2" t="s">
        <v>8</v>
      </c>
      <c r="V96" s="2">
        <f t="shared" ref="V96" si="181">R96*T96</f>
        <v>0</v>
      </c>
    </row>
    <row r="97" spans="1:22" x14ac:dyDescent="0.35">
      <c r="B97" s="2">
        <v>55.6</v>
      </c>
      <c r="G97" s="2">
        <f t="shared" ref="G97" si="182">B93*-1</f>
        <v>0</v>
      </c>
      <c r="H97" s="2">
        <f t="shared" ref="H97:H98" si="183">C94</f>
        <v>5.7</v>
      </c>
      <c r="I97" s="2">
        <f t="shared" ref="I97:I98" si="184">D94</f>
        <v>-1.3</v>
      </c>
      <c r="J97" s="2">
        <f t="shared" ref="J97:J98" si="185">E94</f>
        <v>-23.4</v>
      </c>
      <c r="K97" s="2">
        <f t="shared" si="175"/>
        <v>5.7</v>
      </c>
      <c r="L97" s="2">
        <f t="shared" si="176"/>
        <v>-1.3</v>
      </c>
    </row>
    <row r="98" spans="1:22" x14ac:dyDescent="0.35">
      <c r="B98" s="2">
        <v>16.8</v>
      </c>
      <c r="H98" s="2">
        <f t="shared" si="183"/>
        <v>0</v>
      </c>
      <c r="I98" s="2">
        <f t="shared" si="184"/>
        <v>-2.9</v>
      </c>
      <c r="J98" s="2">
        <f t="shared" si="185"/>
        <v>31.9</v>
      </c>
      <c r="K98" s="2">
        <f t="shared" si="175"/>
        <v>0</v>
      </c>
      <c r="L98" s="2">
        <f t="shared" si="176"/>
        <v>-2.9</v>
      </c>
    </row>
    <row r="99" spans="1:22" x14ac:dyDescent="0.35">
      <c r="A99" s="2" t="s">
        <v>58</v>
      </c>
      <c r="B99" s="2">
        <v>-23.4</v>
      </c>
    </row>
    <row r="100" spans="1:22" x14ac:dyDescent="0.35">
      <c r="B100" s="2">
        <v>31.9</v>
      </c>
      <c r="H100" s="2">
        <f t="shared" ref="H100:H101" si="186">C92</f>
        <v>3.2</v>
      </c>
      <c r="I100" s="2">
        <f t="shared" ref="I100:I101" si="187">D92</f>
        <v>0</v>
      </c>
      <c r="J100" s="2">
        <f t="shared" ref="J100:J101" si="188">E92</f>
        <v>55.6</v>
      </c>
      <c r="K100" s="2">
        <f t="shared" ref="K100:K102" si="189">H100</f>
        <v>3.2</v>
      </c>
      <c r="L100" s="2">
        <f t="shared" ref="L100:L102" si="190">I100</f>
        <v>0</v>
      </c>
      <c r="N100" s="2">
        <f t="shared" ref="N100" si="191">H100*I101*J102+I100*J101*K102+J100*K101*L102</f>
        <v>-2.3199999999999363</v>
      </c>
      <c r="O100" s="2" t="s">
        <v>78</v>
      </c>
      <c r="P100" s="2">
        <f t="shared" ref="P100" si="192">H102*I101*J100+I102*J101*K100+J102*K101*L100</f>
        <v>-155.904</v>
      </c>
      <c r="Q100" s="2" t="s">
        <v>8</v>
      </c>
      <c r="R100" s="2">
        <f t="shared" ref="R100" si="193">N100-P100</f>
        <v>153.58400000000006</v>
      </c>
      <c r="S100" s="2" t="s">
        <v>79</v>
      </c>
      <c r="T100" s="2">
        <f t="shared" ref="T100" si="194">G101</f>
        <v>3.2</v>
      </c>
      <c r="U100" s="2" t="s">
        <v>8</v>
      </c>
      <c r="V100" s="2">
        <f t="shared" ref="V100" si="195">R100*T100</f>
        <v>491.46880000000021</v>
      </c>
    </row>
    <row r="101" spans="1:22" x14ac:dyDescent="0.35">
      <c r="G101" s="2">
        <f t="shared" ref="G101" si="196">B94</f>
        <v>3.2</v>
      </c>
      <c r="H101" s="2">
        <f t="shared" si="186"/>
        <v>2.8</v>
      </c>
      <c r="I101" s="2">
        <f t="shared" si="187"/>
        <v>4.4000000000000004</v>
      </c>
      <c r="J101" s="2">
        <f t="shared" si="188"/>
        <v>16.8</v>
      </c>
      <c r="K101" s="2">
        <f t="shared" si="189"/>
        <v>2.8</v>
      </c>
      <c r="L101" s="2">
        <f t="shared" si="190"/>
        <v>4.4000000000000004</v>
      </c>
    </row>
    <row r="102" spans="1:22" x14ac:dyDescent="0.35">
      <c r="H102" s="2">
        <f t="shared" ref="H102" si="197">C95</f>
        <v>0</v>
      </c>
      <c r="I102" s="2">
        <f t="shared" ref="I102" si="198">D95</f>
        <v>-2.9</v>
      </c>
      <c r="J102" s="2">
        <f t="shared" ref="J102" si="199">E95</f>
        <v>31.9</v>
      </c>
      <c r="K102" s="2">
        <f t="shared" si="189"/>
        <v>0</v>
      </c>
      <c r="L102" s="2">
        <f t="shared" si="190"/>
        <v>-2.9</v>
      </c>
    </row>
    <row r="104" spans="1:22" x14ac:dyDescent="0.35">
      <c r="H104" s="2">
        <f t="shared" ref="H104:H106" si="200">C92</f>
        <v>3.2</v>
      </c>
      <c r="I104" s="2">
        <f t="shared" ref="I104:I106" si="201">D92</f>
        <v>0</v>
      </c>
      <c r="J104" s="2">
        <f t="shared" ref="J104:J106" si="202">E92</f>
        <v>55.6</v>
      </c>
      <c r="K104" s="2">
        <f t="shared" ref="K104:K106" si="203">H104</f>
        <v>3.2</v>
      </c>
      <c r="L104" s="2">
        <f t="shared" ref="L104:L106" si="204">I104</f>
        <v>0</v>
      </c>
      <c r="N104" s="2">
        <f t="shared" ref="N104" si="205">H104*I105*J106+I104*J105*K106+J104*K105*L106</f>
        <v>-531.85599999999999</v>
      </c>
      <c r="O104" s="2" t="s">
        <v>78</v>
      </c>
      <c r="P104" s="2">
        <f t="shared" ref="P104" si="206">H106*I105*J104+I106*J105*K104+J106*K105*L104</f>
        <v>1324.5600000000002</v>
      </c>
      <c r="Q104" s="2" t="s">
        <v>8</v>
      </c>
      <c r="R104" s="2">
        <f t="shared" ref="R104" si="207">N104-P104</f>
        <v>-1856.4160000000002</v>
      </c>
      <c r="S104" s="2" t="s">
        <v>79</v>
      </c>
      <c r="T104" s="2">
        <f t="shared" ref="T104" si="208">G105</f>
        <v>-7.5</v>
      </c>
      <c r="U104" s="2" t="s">
        <v>8</v>
      </c>
      <c r="V104" s="2">
        <f t="shared" ref="V104" si="209">R104*T104</f>
        <v>13923.12</v>
      </c>
    </row>
    <row r="105" spans="1:22" x14ac:dyDescent="0.35">
      <c r="G105" s="2">
        <f t="shared" ref="G105" si="210">B95*-1</f>
        <v>-7.5</v>
      </c>
      <c r="H105" s="2">
        <f t="shared" si="200"/>
        <v>2.8</v>
      </c>
      <c r="I105" s="2">
        <f t="shared" si="201"/>
        <v>4.4000000000000004</v>
      </c>
      <c r="J105" s="2">
        <f t="shared" si="202"/>
        <v>16.8</v>
      </c>
      <c r="K105" s="2">
        <f t="shared" si="203"/>
        <v>2.8</v>
      </c>
      <c r="L105" s="2">
        <f t="shared" si="204"/>
        <v>4.4000000000000004</v>
      </c>
    </row>
    <row r="106" spans="1:22" x14ac:dyDescent="0.35">
      <c r="H106" s="2">
        <f t="shared" si="200"/>
        <v>5.7</v>
      </c>
      <c r="I106" s="2">
        <f t="shared" si="201"/>
        <v>-1.3</v>
      </c>
      <c r="J106" s="2">
        <f t="shared" si="202"/>
        <v>-23.4</v>
      </c>
      <c r="K106" s="2">
        <f t="shared" si="203"/>
        <v>5.7</v>
      </c>
      <c r="L106" s="2">
        <f t="shared" si="204"/>
        <v>-1.3</v>
      </c>
      <c r="U106" s="2" t="s">
        <v>81</v>
      </c>
      <c r="V106" s="2" t="s">
        <v>80</v>
      </c>
    </row>
    <row r="107" spans="1:22" x14ac:dyDescent="0.35">
      <c r="V107" s="2">
        <f t="shared" ref="V107" si="211">V92+V96+V100+V104</f>
        <v>9155.8448000000026</v>
      </c>
    </row>
    <row r="109" spans="1:22" x14ac:dyDescent="0.35">
      <c r="A109" s="2" t="s">
        <v>22</v>
      </c>
      <c r="B109" s="2" t="s">
        <v>8</v>
      </c>
      <c r="C109" s="2">
        <f>V56/V39</f>
        <v>1.9999999999999989</v>
      </c>
    </row>
    <row r="110" spans="1:22" x14ac:dyDescent="0.35">
      <c r="A110" s="2" t="s">
        <v>11</v>
      </c>
      <c r="B110" s="2" t="s">
        <v>8</v>
      </c>
      <c r="C110" s="2">
        <f>V73/V39</f>
        <v>-3.0000000000000009</v>
      </c>
    </row>
    <row r="111" spans="1:22" x14ac:dyDescent="0.35">
      <c r="A111" s="2" t="s">
        <v>60</v>
      </c>
      <c r="B111" s="2" t="s">
        <v>8</v>
      </c>
      <c r="C111" s="2">
        <f>V90/V39</f>
        <v>2.9999999999999996</v>
      </c>
    </row>
    <row r="112" spans="1:22" x14ac:dyDescent="0.35">
      <c r="A112" s="2" t="s">
        <v>61</v>
      </c>
      <c r="B112" s="2" t="s">
        <v>8</v>
      </c>
      <c r="C112" s="2">
        <f>V107/V39</f>
        <v>8.0000000000000018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716D0-843F-41CA-8D18-CD1D72E8BE9C}">
  <dimension ref="A1:AE137"/>
  <sheetViews>
    <sheetView topLeftCell="A111" zoomScale="146" zoomScaleNormal="145" workbookViewId="0">
      <selection activeCell="V136" sqref="V136"/>
    </sheetView>
  </sheetViews>
  <sheetFormatPr baseColWidth="10" defaultColWidth="6.453125" defaultRowHeight="14.5" x14ac:dyDescent="0.35"/>
  <cols>
    <col min="2" max="2" width="7.6328125" customWidth="1"/>
    <col min="7" max="7" width="7.6328125" bestFit="1" customWidth="1"/>
    <col min="9" max="9" width="8.54296875" customWidth="1"/>
    <col min="10" max="10" width="6.453125" customWidth="1"/>
    <col min="14" max="14" width="8" customWidth="1"/>
    <col min="15" max="15" width="5.81640625" customWidth="1"/>
    <col min="16" max="16" width="2.90625" customWidth="1"/>
    <col min="17" max="18" width="6.453125" customWidth="1"/>
    <col min="19" max="19" width="8" customWidth="1"/>
    <col min="20" max="21" width="6.453125" customWidth="1"/>
    <col min="22" max="22" width="10.08984375" bestFit="1" customWidth="1"/>
    <col min="23" max="23" width="11.453125" customWidth="1"/>
    <col min="24" max="24" width="6.453125" customWidth="1"/>
  </cols>
  <sheetData>
    <row r="1" spans="1:23" x14ac:dyDescent="0.35">
      <c r="A1" s="2">
        <v>3.8</v>
      </c>
      <c r="B1" s="2" t="s">
        <v>22</v>
      </c>
      <c r="C1" s="2">
        <v>3.2</v>
      </c>
      <c r="D1" s="2" t="s">
        <v>11</v>
      </c>
      <c r="E1" s="2">
        <v>0</v>
      </c>
      <c r="F1" s="2" t="s">
        <v>60</v>
      </c>
      <c r="G1" s="2">
        <v>7.2</v>
      </c>
      <c r="H1" s="2" t="s">
        <v>61</v>
      </c>
      <c r="I1" s="2" t="s">
        <v>8</v>
      </c>
      <c r="J1" s="2">
        <v>55.6</v>
      </c>
    </row>
    <row r="2" spans="1:23" x14ac:dyDescent="0.35">
      <c r="A2" s="2">
        <v>0</v>
      </c>
      <c r="B2" s="2" t="s">
        <v>11</v>
      </c>
      <c r="C2" s="2">
        <v>2.8</v>
      </c>
      <c r="D2" s="2" t="s">
        <v>60</v>
      </c>
      <c r="E2" s="2">
        <v>4.4000000000000004</v>
      </c>
      <c r="F2" s="2" t="s">
        <v>61</v>
      </c>
      <c r="G2" s="2">
        <v>1.5</v>
      </c>
      <c r="H2" s="2" t="s">
        <v>62</v>
      </c>
      <c r="I2" s="2" t="s">
        <v>8</v>
      </c>
      <c r="J2" s="2">
        <v>16.8</v>
      </c>
    </row>
    <row r="3" spans="1:23" x14ac:dyDescent="0.35">
      <c r="A3" s="2">
        <v>3.2</v>
      </c>
      <c r="B3" s="2" t="s">
        <v>60</v>
      </c>
      <c r="C3" s="2">
        <v>5.7</v>
      </c>
      <c r="D3" s="2" t="s">
        <v>61</v>
      </c>
      <c r="E3" s="2">
        <v>-1.3</v>
      </c>
      <c r="F3" s="2" t="s">
        <v>62</v>
      </c>
      <c r="G3" s="2">
        <v>-1.1000000000000001</v>
      </c>
      <c r="H3" s="2" t="s">
        <v>63</v>
      </c>
      <c r="I3" s="2" t="s">
        <v>8</v>
      </c>
      <c r="J3" s="2">
        <v>-23.4</v>
      </c>
    </row>
    <row r="4" spans="1:23" x14ac:dyDescent="0.35">
      <c r="A4" s="2">
        <v>7.5</v>
      </c>
      <c r="B4" s="2" t="s">
        <v>61</v>
      </c>
      <c r="C4" s="2">
        <v>0</v>
      </c>
      <c r="D4" s="2" t="s">
        <v>62</v>
      </c>
      <c r="E4" s="2">
        <v>-2.9</v>
      </c>
      <c r="F4" s="2" t="s">
        <v>63</v>
      </c>
      <c r="G4" s="2">
        <v>3.2</v>
      </c>
      <c r="H4" s="2" t="s">
        <v>64</v>
      </c>
      <c r="I4" s="2" t="s">
        <v>8</v>
      </c>
      <c r="J4" s="2">
        <v>31.9</v>
      </c>
    </row>
    <row r="5" spans="1:23" x14ac:dyDescent="0.35">
      <c r="A5" s="2"/>
      <c r="B5" s="2"/>
      <c r="C5" s="2"/>
      <c r="D5" s="2"/>
      <c r="E5" s="2"/>
      <c r="F5" s="2"/>
      <c r="G5" s="2"/>
      <c r="H5" s="2"/>
      <c r="I5" s="2"/>
      <c r="J5" s="2"/>
    </row>
    <row r="6" spans="1:23" x14ac:dyDescent="0.35">
      <c r="A6" s="2"/>
      <c r="B6" s="4">
        <f>A1</f>
        <v>3.8</v>
      </c>
      <c r="C6" s="2">
        <f>C1</f>
        <v>3.2</v>
      </c>
      <c r="D6" s="2">
        <f>E1</f>
        <v>0</v>
      </c>
      <c r="E6" s="5">
        <f>G1</f>
        <v>7.2</v>
      </c>
      <c r="F6" s="2"/>
      <c r="G6" s="4">
        <f>B6</f>
        <v>3.8</v>
      </c>
      <c r="H6" s="5">
        <f>C6</f>
        <v>3.2</v>
      </c>
      <c r="I6" s="2"/>
      <c r="J6" s="4">
        <f>B6</f>
        <v>3.8</v>
      </c>
      <c r="K6" s="5">
        <f>D6</f>
        <v>0</v>
      </c>
      <c r="M6" s="6">
        <f>B6</f>
        <v>3.8</v>
      </c>
      <c r="N6" s="7">
        <f>E6</f>
        <v>7.2</v>
      </c>
      <c r="Q6">
        <f>G6*H7-G7*H6</f>
        <v>10.639999999999999</v>
      </c>
      <c r="R6">
        <f>J6*K7-J7*K6</f>
        <v>16.72</v>
      </c>
      <c r="S6">
        <f>M6*N7-M7*N6</f>
        <v>5.6999999999999993</v>
      </c>
      <c r="T6">
        <v>10.639999999999999</v>
      </c>
      <c r="U6">
        <v>16.72</v>
      </c>
      <c r="W6">
        <f>Q6*R7*S8+R6*S7*T8+S6*T7*U8</f>
        <v>12404.683063999999</v>
      </c>
    </row>
    <row r="7" spans="1:23" x14ac:dyDescent="0.35">
      <c r="A7" s="2"/>
      <c r="B7" s="4">
        <f t="shared" ref="B7:B9" si="0">A2</f>
        <v>0</v>
      </c>
      <c r="C7" s="2">
        <f t="shared" ref="C7:C9" si="1">C2</f>
        <v>2.8</v>
      </c>
      <c r="D7" s="2">
        <f t="shared" ref="D7:D9" si="2">E2</f>
        <v>4.4000000000000004</v>
      </c>
      <c r="E7" s="5">
        <f t="shared" ref="E7:E9" si="3">G2</f>
        <v>1.5</v>
      </c>
      <c r="F7" s="2"/>
      <c r="G7" s="4">
        <f>B7</f>
        <v>0</v>
      </c>
      <c r="H7" s="5">
        <f>C7</f>
        <v>2.8</v>
      </c>
      <c r="I7" s="2"/>
      <c r="J7" s="4">
        <f>B7</f>
        <v>0</v>
      </c>
      <c r="K7" s="5">
        <f>D7</f>
        <v>4.4000000000000004</v>
      </c>
      <c r="M7" s="6">
        <f>B7</f>
        <v>0</v>
      </c>
      <c r="N7" s="7">
        <f>E7</f>
        <v>1.5</v>
      </c>
      <c r="Q7">
        <f>G9*H10-G10*H9</f>
        <v>11.419999999999998</v>
      </c>
      <c r="R7">
        <f>J9*K10-J10*K9</f>
        <v>-4.9399999999999995</v>
      </c>
      <c r="S7">
        <f>M9*N10-M10*N9</f>
        <v>-27.220000000000002</v>
      </c>
      <c r="T7">
        <v>11.419999999999998</v>
      </c>
      <c r="U7">
        <v>-4.9399999999999995</v>
      </c>
      <c r="W7">
        <f>Q8*R7*S6+R8*S7*T6+S8*T7*U6</f>
        <v>-4121.6167999999998</v>
      </c>
    </row>
    <row r="8" spans="1:23" x14ac:dyDescent="0.35">
      <c r="A8" s="2" t="s">
        <v>14</v>
      </c>
      <c r="B8" s="4">
        <f t="shared" si="0"/>
        <v>3.2</v>
      </c>
      <c r="C8" s="2">
        <f t="shared" si="1"/>
        <v>5.7</v>
      </c>
      <c r="D8" s="2">
        <f t="shared" si="2"/>
        <v>-1.3</v>
      </c>
      <c r="E8" s="5">
        <f t="shared" si="3"/>
        <v>-1.1000000000000001</v>
      </c>
      <c r="F8" s="2"/>
      <c r="G8" s="2"/>
      <c r="H8" s="2"/>
      <c r="I8" s="2"/>
      <c r="J8" s="2"/>
      <c r="Q8">
        <f>G12*H13-G13*H12</f>
        <v>-24</v>
      </c>
      <c r="R8">
        <f>J12*K13-J13*K12</f>
        <v>-11.02</v>
      </c>
      <c r="S8">
        <f>M12*N13-M13*N12</f>
        <v>-41.84</v>
      </c>
      <c r="T8">
        <v>-24</v>
      </c>
      <c r="U8">
        <v>-11.02</v>
      </c>
      <c r="W8">
        <f>W6-W7</f>
        <v>16526.299864000001</v>
      </c>
    </row>
    <row r="9" spans="1:23" x14ac:dyDescent="0.35">
      <c r="A9" s="2"/>
      <c r="B9" s="4">
        <f t="shared" si="0"/>
        <v>7.5</v>
      </c>
      <c r="C9" s="2">
        <f t="shared" si="1"/>
        <v>0</v>
      </c>
      <c r="D9" s="2">
        <f t="shared" si="2"/>
        <v>-2.9</v>
      </c>
      <c r="E9" s="5">
        <f t="shared" si="3"/>
        <v>3.2</v>
      </c>
      <c r="F9" s="2"/>
      <c r="G9" s="4">
        <f>B6</f>
        <v>3.8</v>
      </c>
      <c r="H9" s="5">
        <f>C6</f>
        <v>3.2</v>
      </c>
      <c r="I9" s="2"/>
      <c r="J9" s="4">
        <f>B6</f>
        <v>3.8</v>
      </c>
      <c r="K9" s="7">
        <f>D6</f>
        <v>0</v>
      </c>
      <c r="M9" s="6">
        <f>B6</f>
        <v>3.8</v>
      </c>
      <c r="N9" s="7">
        <f>E6</f>
        <v>7.2</v>
      </c>
    </row>
    <row r="10" spans="1:23" x14ac:dyDescent="0.35">
      <c r="A10" s="2"/>
      <c r="B10" s="2"/>
      <c r="C10" s="2"/>
      <c r="D10" s="2"/>
      <c r="E10" s="2"/>
      <c r="F10" s="2"/>
      <c r="G10" s="4">
        <f>B8</f>
        <v>3.2</v>
      </c>
      <c r="H10" s="5">
        <f>C8</f>
        <v>5.7</v>
      </c>
      <c r="I10" s="2"/>
      <c r="J10" s="4">
        <f>B8</f>
        <v>3.2</v>
      </c>
      <c r="K10" s="7">
        <f>D8</f>
        <v>-1.3</v>
      </c>
      <c r="M10" s="6">
        <f>B8</f>
        <v>3.2</v>
      </c>
      <c r="N10" s="7">
        <f>E8</f>
        <v>-1.1000000000000001</v>
      </c>
    </row>
    <row r="11" spans="1:23" x14ac:dyDescent="0.35">
      <c r="A11" s="2"/>
      <c r="B11" s="2">
        <f>J1</f>
        <v>55.6</v>
      </c>
      <c r="C11" s="2"/>
      <c r="D11" s="2"/>
      <c r="E11" s="2"/>
      <c r="F11" s="2"/>
      <c r="G11" s="2"/>
      <c r="H11" s="2"/>
      <c r="I11" s="2"/>
      <c r="J11" s="2"/>
      <c r="Q11">
        <f>(-1)^(1-1)*(1/(B6)^(4-2))*W8</f>
        <v>1144.4806000000001</v>
      </c>
    </row>
    <row r="12" spans="1:23" x14ac:dyDescent="0.35">
      <c r="A12" s="2"/>
      <c r="B12" s="2">
        <f t="shared" ref="B12:B14" si="4">J2</f>
        <v>16.8</v>
      </c>
      <c r="C12" s="2"/>
      <c r="D12" s="2"/>
      <c r="E12" s="2"/>
      <c r="F12" s="2"/>
      <c r="G12" s="4">
        <f>B6</f>
        <v>3.8</v>
      </c>
      <c r="H12" s="5">
        <f>C6</f>
        <v>3.2</v>
      </c>
      <c r="I12" s="5"/>
      <c r="J12" s="2">
        <f>B6</f>
        <v>3.8</v>
      </c>
      <c r="K12" s="7">
        <f>D6</f>
        <v>0</v>
      </c>
      <c r="L12" s="7"/>
      <c r="M12">
        <f>B6</f>
        <v>3.8</v>
      </c>
      <c r="N12" s="7">
        <f>E6</f>
        <v>7.2</v>
      </c>
    </row>
    <row r="13" spans="1:23" x14ac:dyDescent="0.35">
      <c r="A13" s="2" t="s">
        <v>58</v>
      </c>
      <c r="B13" s="2">
        <f t="shared" si="4"/>
        <v>-23.4</v>
      </c>
      <c r="C13" s="2"/>
      <c r="D13" s="2"/>
      <c r="E13" s="2"/>
      <c r="F13" s="2"/>
      <c r="G13" s="4">
        <f>B9</f>
        <v>7.5</v>
      </c>
      <c r="H13" s="5">
        <f>C9</f>
        <v>0</v>
      </c>
      <c r="I13" s="5"/>
      <c r="J13" s="2">
        <f>B9</f>
        <v>7.5</v>
      </c>
      <c r="K13" s="7">
        <f>D9</f>
        <v>-2.9</v>
      </c>
      <c r="L13" s="7"/>
      <c r="M13">
        <f>B9</f>
        <v>7.5</v>
      </c>
      <c r="N13" s="7">
        <f>E9</f>
        <v>3.2</v>
      </c>
    </row>
    <row r="14" spans="1:23" x14ac:dyDescent="0.35">
      <c r="A14" s="2"/>
      <c r="B14" s="2">
        <f t="shared" si="4"/>
        <v>31.9</v>
      </c>
      <c r="C14" s="2"/>
      <c r="D14" s="2"/>
      <c r="E14" s="2"/>
      <c r="F14" s="2"/>
      <c r="G14" s="2"/>
      <c r="H14" s="2"/>
      <c r="I14" s="2"/>
      <c r="J14" s="2"/>
    </row>
    <row r="15" spans="1:23" x14ac:dyDescent="0.35">
      <c r="G15" s="2"/>
      <c r="H15" s="2"/>
      <c r="I15" s="2"/>
      <c r="J15" s="2"/>
    </row>
    <row r="17" spans="1:31" x14ac:dyDescent="0.35">
      <c r="A17" s="2" t="s">
        <v>24</v>
      </c>
      <c r="B17" s="2" t="s">
        <v>22</v>
      </c>
      <c r="C17" s="2" t="s">
        <v>25</v>
      </c>
      <c r="D17" s="2" t="s">
        <v>11</v>
      </c>
      <c r="E17" s="2" t="s">
        <v>26</v>
      </c>
      <c r="F17" s="2" t="s">
        <v>60</v>
      </c>
      <c r="G17" s="2" t="s">
        <v>49</v>
      </c>
      <c r="H17" s="2" t="s">
        <v>61</v>
      </c>
      <c r="I17" s="2" t="s">
        <v>8</v>
      </c>
      <c r="J17" s="2" t="s">
        <v>13</v>
      </c>
    </row>
    <row r="18" spans="1:31" x14ac:dyDescent="0.35">
      <c r="A18" s="2" t="s">
        <v>43</v>
      </c>
      <c r="B18" s="2" t="s">
        <v>11</v>
      </c>
      <c r="C18" s="2" t="s">
        <v>45</v>
      </c>
      <c r="D18" s="2" t="s">
        <v>60</v>
      </c>
      <c r="E18" s="2" t="s">
        <v>47</v>
      </c>
      <c r="F18" s="2" t="s">
        <v>61</v>
      </c>
      <c r="G18" s="2" t="s">
        <v>50</v>
      </c>
      <c r="H18" s="2" t="s">
        <v>62</v>
      </c>
      <c r="I18" s="2" t="s">
        <v>8</v>
      </c>
      <c r="J18" s="2" t="s">
        <v>12</v>
      </c>
    </row>
    <row r="19" spans="1:31" x14ac:dyDescent="0.35">
      <c r="A19" s="2" t="s">
        <v>44</v>
      </c>
      <c r="B19" s="2" t="s">
        <v>60</v>
      </c>
      <c r="C19" s="2" t="s">
        <v>46</v>
      </c>
      <c r="D19" s="2" t="s">
        <v>61</v>
      </c>
      <c r="E19" s="2" t="s">
        <v>48</v>
      </c>
      <c r="F19" s="2" t="s">
        <v>62</v>
      </c>
      <c r="G19" s="2" t="s">
        <v>51</v>
      </c>
      <c r="H19" s="2" t="s">
        <v>63</v>
      </c>
      <c r="I19" s="2" t="s">
        <v>8</v>
      </c>
      <c r="J19" s="2" t="s">
        <v>27</v>
      </c>
    </row>
    <row r="20" spans="1:31" x14ac:dyDescent="0.35">
      <c r="A20" s="2" t="s">
        <v>52</v>
      </c>
      <c r="B20" s="2" t="s">
        <v>61</v>
      </c>
      <c r="C20" s="2" t="s">
        <v>53</v>
      </c>
      <c r="D20" s="2" t="s">
        <v>62</v>
      </c>
      <c r="E20" s="2" t="s">
        <v>54</v>
      </c>
      <c r="F20" s="2" t="s">
        <v>63</v>
      </c>
      <c r="G20" s="2" t="s">
        <v>55</v>
      </c>
      <c r="H20" s="2" t="s">
        <v>64</v>
      </c>
      <c r="I20" s="2" t="s">
        <v>8</v>
      </c>
      <c r="J20" s="2" t="s">
        <v>56</v>
      </c>
    </row>
    <row r="22" spans="1:31" x14ac:dyDescent="0.35">
      <c r="B22" s="2" t="s">
        <v>24</v>
      </c>
      <c r="C22" s="2" t="s">
        <v>25</v>
      </c>
      <c r="D22" s="2" t="s">
        <v>26</v>
      </c>
      <c r="E22" s="2" t="s">
        <v>49</v>
      </c>
      <c r="G22" s="4" t="str">
        <f>B22</f>
        <v>a11</v>
      </c>
      <c r="H22" s="5" t="str">
        <f>C22</f>
        <v>a12</v>
      </c>
      <c r="I22" s="2"/>
      <c r="J22" s="4" t="str">
        <f>B22</f>
        <v>a11</v>
      </c>
      <c r="K22" s="5" t="str">
        <f>D22</f>
        <v>a13</v>
      </c>
      <c r="M22" s="6" t="str">
        <f>B22</f>
        <v>a11</v>
      </c>
      <c r="N22" s="7" t="str">
        <f>E22</f>
        <v>a14</v>
      </c>
      <c r="Q22" t="str">
        <f>"("&amp;G22&amp;"*"&amp;H23&amp;"-"&amp;G23&amp;"*"&amp;H22&amp;")"</f>
        <v>(a11*a22-a21*a12)</v>
      </c>
      <c r="T22" t="str">
        <f t="shared" ref="T22" si="5">"("&amp;J22&amp;"*"&amp;K23&amp;"-"&amp;J23&amp;"*"&amp;K22&amp;")"</f>
        <v>(a11*a23-a21*a13)</v>
      </c>
      <c r="W22" t="str">
        <f t="shared" ref="W22" si="6">"("&amp;M22&amp;"*"&amp;N23&amp;"-"&amp;M23&amp;"*"&amp;N22&amp;")"</f>
        <v>(a11*a24-a21*a14)</v>
      </c>
      <c r="Y22" t="s">
        <v>86</v>
      </c>
      <c r="AB22" t="s">
        <v>87</v>
      </c>
      <c r="AE22" t="str">
        <f>"("&amp;Q22&amp;"*"&amp;T25&amp;"*"&amp;W28&amp;"+"&amp;T22&amp;"*"&amp;W25&amp;"*"&amp;Y28&amp;"+"&amp;W22&amp;"*"&amp;Y25&amp;"*"&amp;AB28&amp;")-("&amp;Q28&amp;"*"&amp;T25&amp;"*"&amp;W22&amp;"+"&amp;T28&amp;"*"&amp;W25&amp;"*"&amp;Y22&amp;"+"&amp;W28&amp;"*"&amp;Y25&amp;"*"&amp;AB22&amp;")"</f>
        <v>((a11*a22-a21*a12)*(a11*a33-a31*a13)*(a11*a44-a41*a14)+(a11*a23-a21*a13)*(a11*a34-a31*a14)*(a11*a42-a41*a12)+(a11*a24-a21*a14)*(a11*a32-a31*a12)*(a11*a43-a41*a13))-((a11*a42-a41*a12)*(a11*a33-a31*a13)*(a11*a24-a21*a14)+(a11*a43-a41*a13)*(a11*a34-a31*a14)*(a11*a22-a21*a12)+(a11*a44-a41*a14)*(a11*a32-a31*a12)*(a11*a23-a21*a13))</v>
      </c>
    </row>
    <row r="23" spans="1:31" x14ac:dyDescent="0.35">
      <c r="B23" s="2" t="s">
        <v>43</v>
      </c>
      <c r="C23" s="2" t="s">
        <v>45</v>
      </c>
      <c r="D23" s="2" t="s">
        <v>47</v>
      </c>
      <c r="E23" s="2" t="s">
        <v>50</v>
      </c>
      <c r="G23" s="4" t="str">
        <f>B23</f>
        <v>a21</v>
      </c>
      <c r="H23" s="5" t="str">
        <f>C23</f>
        <v>a22</v>
      </c>
      <c r="I23" s="2"/>
      <c r="J23" s="4" t="str">
        <f>B23</f>
        <v>a21</v>
      </c>
      <c r="K23" s="5" t="str">
        <f>D23</f>
        <v>a23</v>
      </c>
      <c r="M23" s="6" t="str">
        <f>B23</f>
        <v>a21</v>
      </c>
      <c r="N23" s="7" t="str">
        <f>E23</f>
        <v>a24</v>
      </c>
    </row>
    <row r="24" spans="1:31" x14ac:dyDescent="0.35">
      <c r="B24" s="2" t="s">
        <v>44</v>
      </c>
      <c r="C24" s="2" t="s">
        <v>46</v>
      </c>
      <c r="D24" s="2" t="s">
        <v>48</v>
      </c>
      <c r="E24" s="2" t="s">
        <v>51</v>
      </c>
      <c r="G24" s="2"/>
      <c r="H24" s="2"/>
      <c r="I24" s="2"/>
      <c r="J24" s="2"/>
    </row>
    <row r="25" spans="1:31" x14ac:dyDescent="0.35">
      <c r="B25" s="2" t="s">
        <v>52</v>
      </c>
      <c r="C25" s="2" t="s">
        <v>53</v>
      </c>
      <c r="D25" s="2" t="s">
        <v>54</v>
      </c>
      <c r="E25" s="2" t="s">
        <v>55</v>
      </c>
      <c r="G25" s="4" t="str">
        <f>B22</f>
        <v>a11</v>
      </c>
      <c r="H25" s="5" t="str">
        <f>C22</f>
        <v>a12</v>
      </c>
      <c r="I25" s="2"/>
      <c r="J25" s="4" t="str">
        <f>B22</f>
        <v>a11</v>
      </c>
      <c r="K25" s="7" t="str">
        <f>D22</f>
        <v>a13</v>
      </c>
      <c r="M25" s="6" t="str">
        <f>B22</f>
        <v>a11</v>
      </c>
      <c r="N25" s="7" t="str">
        <f>E22</f>
        <v>a14</v>
      </c>
      <c r="Q25" t="str">
        <f t="shared" ref="Q25" si="7">"("&amp;G25&amp;"*"&amp;H26&amp;"-"&amp;G26&amp;"*"&amp;H25&amp;")"</f>
        <v>(a11*a32-a31*a12)</v>
      </c>
      <c r="T25" t="str">
        <f t="shared" ref="T25" si="8">"("&amp;J25&amp;"*"&amp;K26&amp;"-"&amp;J26&amp;"*"&amp;K25&amp;")"</f>
        <v>(a11*a33-a31*a13)</v>
      </c>
      <c r="W25" t="str">
        <f t="shared" ref="W25" si="9">"("&amp;M25&amp;"*"&amp;N26&amp;"-"&amp;M26&amp;"*"&amp;N25&amp;")"</f>
        <v>(a11*a34-a31*a14)</v>
      </c>
      <c r="Y25" t="s">
        <v>88</v>
      </c>
      <c r="AB25" t="s">
        <v>89</v>
      </c>
    </row>
    <row r="26" spans="1:31" x14ac:dyDescent="0.35">
      <c r="G26" s="4" t="str">
        <f>B24</f>
        <v>a31</v>
      </c>
      <c r="H26" s="5" t="str">
        <f>C24</f>
        <v>a32</v>
      </c>
      <c r="I26" s="2"/>
      <c r="J26" s="4" t="str">
        <f>B24</f>
        <v>a31</v>
      </c>
      <c r="K26" s="7" t="str">
        <f>D24</f>
        <v>a33</v>
      </c>
      <c r="M26" s="6" t="str">
        <f>B24</f>
        <v>a31</v>
      </c>
      <c r="N26" s="7" t="str">
        <f>E24</f>
        <v>a34</v>
      </c>
    </row>
    <row r="27" spans="1:31" x14ac:dyDescent="0.35">
      <c r="B27" s="2" t="s">
        <v>13</v>
      </c>
      <c r="G27" s="2"/>
      <c r="H27" s="2"/>
      <c r="I27" s="2"/>
      <c r="J27" s="2"/>
    </row>
    <row r="28" spans="1:31" x14ac:dyDescent="0.35">
      <c r="B28" s="2" t="s">
        <v>12</v>
      </c>
      <c r="G28" s="4" t="str">
        <f>B22</f>
        <v>a11</v>
      </c>
      <c r="H28" s="5" t="str">
        <f>C22</f>
        <v>a12</v>
      </c>
      <c r="I28" s="5"/>
      <c r="J28" s="2" t="str">
        <f>B22</f>
        <v>a11</v>
      </c>
      <c r="K28" s="7" t="str">
        <f>D22</f>
        <v>a13</v>
      </c>
      <c r="L28" s="7"/>
      <c r="M28" t="str">
        <f>B22</f>
        <v>a11</v>
      </c>
      <c r="N28" s="7" t="str">
        <f>E22</f>
        <v>a14</v>
      </c>
      <c r="Q28" t="str">
        <f t="shared" ref="Q28" si="10">"("&amp;G28&amp;"*"&amp;H29&amp;"-"&amp;G29&amp;"*"&amp;H28&amp;")"</f>
        <v>(a11*a42-a41*a12)</v>
      </c>
      <c r="T28" t="str">
        <f t="shared" ref="T28" si="11">"("&amp;J28&amp;"*"&amp;K29&amp;"-"&amp;J29&amp;"*"&amp;K28&amp;")"</f>
        <v>(a11*a43-a41*a13)</v>
      </c>
      <c r="W28" t="str">
        <f t="shared" ref="W28" si="12">"("&amp;M28&amp;"*"&amp;N29&amp;"-"&amp;M29&amp;"*"&amp;N28&amp;")"</f>
        <v>(a11*a44-a41*a14)</v>
      </c>
      <c r="Y28" t="s">
        <v>90</v>
      </c>
      <c r="AB28" t="s">
        <v>91</v>
      </c>
    </row>
    <row r="29" spans="1:31" x14ac:dyDescent="0.35">
      <c r="B29" s="2" t="s">
        <v>27</v>
      </c>
      <c r="G29" s="4" t="str">
        <f>B25</f>
        <v>a41</v>
      </c>
      <c r="H29" s="5" t="str">
        <f>C25</f>
        <v>a42</v>
      </c>
      <c r="I29" s="5"/>
      <c r="J29" s="2" t="str">
        <f>B25</f>
        <v>a41</v>
      </c>
      <c r="K29" s="7" t="str">
        <f>D25</f>
        <v>a43</v>
      </c>
      <c r="L29" s="7"/>
      <c r="M29" t="str">
        <f>B25</f>
        <v>a41</v>
      </c>
      <c r="N29" s="7" t="str">
        <f>E25</f>
        <v>a44</v>
      </c>
    </row>
    <row r="30" spans="1:31" x14ac:dyDescent="0.35">
      <c r="B30" s="2" t="s">
        <v>56</v>
      </c>
    </row>
    <row r="32" spans="1:31" x14ac:dyDescent="0.35">
      <c r="B32" s="2" t="s">
        <v>13</v>
      </c>
      <c r="C32" s="2" t="s">
        <v>25</v>
      </c>
      <c r="D32" s="2" t="s">
        <v>26</v>
      </c>
      <c r="E32" s="2" t="s">
        <v>49</v>
      </c>
      <c r="G32" s="4" t="str">
        <f>B32</f>
        <v>b1</v>
      </c>
      <c r="H32" s="5" t="str">
        <f>C32</f>
        <v>a12</v>
      </c>
      <c r="I32" s="2"/>
      <c r="J32" s="4" t="str">
        <f>B32</f>
        <v>b1</v>
      </c>
      <c r="K32" s="5" t="str">
        <f>D32</f>
        <v>a13</v>
      </c>
      <c r="M32" s="6" t="str">
        <f>B32</f>
        <v>b1</v>
      </c>
      <c r="N32" s="7" t="str">
        <f>E32</f>
        <v>a14</v>
      </c>
      <c r="Q32" t="str">
        <f>"("&amp;G32&amp;"*"&amp;H33&amp;"-"&amp;G33&amp;"*"&amp;H32&amp;")"</f>
        <v>(b1*a22-b2*a12)</v>
      </c>
      <c r="T32" t="str">
        <f t="shared" ref="T32" si="13">"("&amp;J32&amp;"*"&amp;K33&amp;"-"&amp;J33&amp;"*"&amp;K32&amp;")"</f>
        <v>(b1*a23-b2*a13)</v>
      </c>
      <c r="W32" t="str">
        <f t="shared" ref="W32" si="14">"("&amp;M32&amp;"*"&amp;N33&amp;"-"&amp;M33&amp;"*"&amp;N32&amp;")"</f>
        <v>(b1*a24-b2*a14)</v>
      </c>
      <c r="Y32" t="s">
        <v>86</v>
      </c>
      <c r="AB32" t="s">
        <v>87</v>
      </c>
      <c r="AE32" t="str">
        <f>"("&amp;Q32&amp;"*"&amp;T35&amp;"*"&amp;W38&amp;"+"&amp;T32&amp;"*"&amp;W35&amp;"*"&amp;Y38&amp;"+"&amp;W32&amp;"*"&amp;Y35&amp;"*"&amp;AB38&amp;")-("&amp;Q38&amp;"*"&amp;T35&amp;"*"&amp;W32&amp;"+"&amp;T38&amp;"*"&amp;W35&amp;"*"&amp;Y32&amp;"+"&amp;W38&amp;"*"&amp;Y35&amp;"*"&amp;AB32&amp;")"</f>
        <v>((b1*a22-b2*a12)*(b1*a33-b3*a13)*(b1*a44-b4*a14)+(b1*a23-b2*a13)*(b1*a34-b3*a14)*(a11*a42-a41*a12)+(b1*a24-b2*a14)*(a11*a32-a31*a12)*(a11*a43-a41*a13))-((b1*a42-b4*a12)*(b1*a33-b3*a13)*(b1*a24-b2*a14)+(b1*a43-b4*a13)*(b1*a34-b3*a14)*(a11*a22-a21*a12)+(b1*a44-b4*a14)*(a11*a32-a31*a12)*(a11*a23-a21*a13))</v>
      </c>
    </row>
    <row r="33" spans="2:31" x14ac:dyDescent="0.35">
      <c r="B33" s="2" t="s">
        <v>12</v>
      </c>
      <c r="C33" s="2" t="s">
        <v>45</v>
      </c>
      <c r="D33" s="2" t="s">
        <v>47</v>
      </c>
      <c r="E33" s="2" t="s">
        <v>50</v>
      </c>
      <c r="G33" s="4" t="str">
        <f>B33</f>
        <v>b2</v>
      </c>
      <c r="H33" s="5" t="str">
        <f>C33</f>
        <v>a22</v>
      </c>
      <c r="I33" s="2"/>
      <c r="J33" s="4" t="str">
        <f>B33</f>
        <v>b2</v>
      </c>
      <c r="K33" s="5" t="str">
        <f>D33</f>
        <v>a23</v>
      </c>
      <c r="M33" s="6" t="str">
        <f>B33</f>
        <v>b2</v>
      </c>
      <c r="N33" s="7" t="str">
        <f>E33</f>
        <v>a24</v>
      </c>
    </row>
    <row r="34" spans="2:31" x14ac:dyDescent="0.35">
      <c r="B34" s="2" t="s">
        <v>27</v>
      </c>
      <c r="C34" s="2" t="s">
        <v>46</v>
      </c>
      <c r="D34" s="2" t="s">
        <v>48</v>
      </c>
      <c r="E34" s="2" t="s">
        <v>51</v>
      </c>
      <c r="G34" s="2"/>
      <c r="H34" s="2"/>
      <c r="I34" s="2"/>
      <c r="J34" s="2"/>
    </row>
    <row r="35" spans="2:31" x14ac:dyDescent="0.35">
      <c r="B35" s="2" t="s">
        <v>56</v>
      </c>
      <c r="C35" s="2" t="s">
        <v>53</v>
      </c>
      <c r="D35" s="2" t="s">
        <v>54</v>
      </c>
      <c r="E35" s="2" t="s">
        <v>55</v>
      </c>
      <c r="G35" s="4" t="str">
        <f>B32</f>
        <v>b1</v>
      </c>
      <c r="H35" s="5" t="str">
        <f>C32</f>
        <v>a12</v>
      </c>
      <c r="I35" s="2"/>
      <c r="J35" s="4" t="str">
        <f>B32</f>
        <v>b1</v>
      </c>
      <c r="K35" s="7" t="str">
        <f>D32</f>
        <v>a13</v>
      </c>
      <c r="M35" s="6" t="str">
        <f>B32</f>
        <v>b1</v>
      </c>
      <c r="N35" s="7" t="str">
        <f>E32</f>
        <v>a14</v>
      </c>
      <c r="Q35" t="str">
        <f t="shared" ref="Q35" si="15">"("&amp;G35&amp;"*"&amp;H36&amp;"-"&amp;G36&amp;"*"&amp;H35&amp;")"</f>
        <v>(b1*a32-b3*a12)</v>
      </c>
      <c r="T35" t="str">
        <f t="shared" ref="T35" si="16">"("&amp;J35&amp;"*"&amp;K36&amp;"-"&amp;J36&amp;"*"&amp;K35&amp;")"</f>
        <v>(b1*a33-b3*a13)</v>
      </c>
      <c r="W35" t="str">
        <f t="shared" ref="W35" si="17">"("&amp;M35&amp;"*"&amp;N36&amp;"-"&amp;M36&amp;"*"&amp;N35&amp;")"</f>
        <v>(b1*a34-b3*a14)</v>
      </c>
      <c r="Y35" t="s">
        <v>88</v>
      </c>
      <c r="AB35" t="s">
        <v>89</v>
      </c>
    </row>
    <row r="36" spans="2:31" x14ac:dyDescent="0.35">
      <c r="G36" s="4" t="str">
        <f>B34</f>
        <v>b3</v>
      </c>
      <c r="H36" s="5" t="str">
        <f>C34</f>
        <v>a32</v>
      </c>
      <c r="I36" s="2"/>
      <c r="J36" s="4" t="str">
        <f>B34</f>
        <v>b3</v>
      </c>
      <c r="K36" s="7" t="str">
        <f>D34</f>
        <v>a33</v>
      </c>
      <c r="M36" s="6" t="str">
        <f>B34</f>
        <v>b3</v>
      </c>
      <c r="N36" s="7" t="str">
        <f>E34</f>
        <v>a34</v>
      </c>
    </row>
    <row r="37" spans="2:31" x14ac:dyDescent="0.35">
      <c r="B37" s="2" t="s">
        <v>13</v>
      </c>
      <c r="G37" s="2"/>
      <c r="H37" s="2"/>
      <c r="I37" s="2"/>
      <c r="J37" s="2"/>
    </row>
    <row r="38" spans="2:31" x14ac:dyDescent="0.35">
      <c r="B38" s="2" t="s">
        <v>12</v>
      </c>
      <c r="G38" s="4" t="str">
        <f>B32</f>
        <v>b1</v>
      </c>
      <c r="H38" s="5" t="str">
        <f>C32</f>
        <v>a12</v>
      </c>
      <c r="I38" s="5"/>
      <c r="J38" s="2" t="str">
        <f>B32</f>
        <v>b1</v>
      </c>
      <c r="K38" s="7" t="str">
        <f>D32</f>
        <v>a13</v>
      </c>
      <c r="L38" s="7"/>
      <c r="M38" t="str">
        <f>B32</f>
        <v>b1</v>
      </c>
      <c r="N38" s="7" t="str">
        <f>E32</f>
        <v>a14</v>
      </c>
      <c r="Q38" t="str">
        <f t="shared" ref="Q38" si="18">"("&amp;G38&amp;"*"&amp;H39&amp;"-"&amp;G39&amp;"*"&amp;H38&amp;")"</f>
        <v>(b1*a42-b4*a12)</v>
      </c>
      <c r="T38" t="str">
        <f t="shared" ref="T38" si="19">"("&amp;J38&amp;"*"&amp;K39&amp;"-"&amp;J39&amp;"*"&amp;K38&amp;")"</f>
        <v>(b1*a43-b4*a13)</v>
      </c>
      <c r="W38" t="str">
        <f t="shared" ref="W38" si="20">"("&amp;M38&amp;"*"&amp;N39&amp;"-"&amp;M39&amp;"*"&amp;N38&amp;")"</f>
        <v>(b1*a44-b4*a14)</v>
      </c>
      <c r="Y38" t="s">
        <v>90</v>
      </c>
      <c r="AB38" t="s">
        <v>91</v>
      </c>
    </row>
    <row r="39" spans="2:31" x14ac:dyDescent="0.35">
      <c r="B39" s="2" t="s">
        <v>27</v>
      </c>
      <c r="G39" s="4" t="str">
        <f>B35</f>
        <v>b4</v>
      </c>
      <c r="H39" s="5" t="str">
        <f>C35</f>
        <v>a42</v>
      </c>
      <c r="I39" s="5"/>
      <c r="J39" s="2" t="str">
        <f>B35</f>
        <v>b4</v>
      </c>
      <c r="K39" s="7" t="str">
        <f>D35</f>
        <v>a43</v>
      </c>
      <c r="L39" s="7"/>
      <c r="M39" t="str">
        <f>B35</f>
        <v>b4</v>
      </c>
      <c r="N39" s="7" t="str">
        <f>E35</f>
        <v>a44</v>
      </c>
    </row>
    <row r="40" spans="2:31" x14ac:dyDescent="0.35">
      <c r="B40" s="2" t="s">
        <v>56</v>
      </c>
    </row>
    <row r="42" spans="2:31" x14ac:dyDescent="0.35">
      <c r="B42" s="2" t="s">
        <v>24</v>
      </c>
      <c r="C42" s="2" t="s">
        <v>13</v>
      </c>
      <c r="D42" s="2" t="s">
        <v>26</v>
      </c>
      <c r="E42" s="2" t="s">
        <v>49</v>
      </c>
      <c r="G42" s="4" t="str">
        <f>B42</f>
        <v>a11</v>
      </c>
      <c r="H42" s="5" t="str">
        <f>C42</f>
        <v>b1</v>
      </c>
      <c r="I42" s="2"/>
      <c r="J42" s="4" t="str">
        <f>B42</f>
        <v>a11</v>
      </c>
      <c r="K42" s="5" t="str">
        <f>D42</f>
        <v>a13</v>
      </c>
      <c r="M42" s="6" t="str">
        <f>B42</f>
        <v>a11</v>
      </c>
      <c r="N42" s="7" t="str">
        <f>E42</f>
        <v>a14</v>
      </c>
      <c r="Q42" t="str">
        <f>"("&amp;G42&amp;"*"&amp;H43&amp;"-"&amp;G43&amp;"*"&amp;H42&amp;")"</f>
        <v>(a11*b2-a21*b1)</v>
      </c>
      <c r="T42" t="str">
        <f t="shared" ref="T42" si="21">"("&amp;J42&amp;"*"&amp;K43&amp;"-"&amp;J43&amp;"*"&amp;K42&amp;")"</f>
        <v>(a11*a23-a21*a13)</v>
      </c>
      <c r="W42" t="str">
        <f t="shared" ref="W42" si="22">"("&amp;M42&amp;"*"&amp;N43&amp;"-"&amp;M43&amp;"*"&amp;N42&amp;")"</f>
        <v>(a11*a24-a21*a14)</v>
      </c>
      <c r="Y42" t="s">
        <v>86</v>
      </c>
      <c r="AB42" t="s">
        <v>87</v>
      </c>
      <c r="AE42" t="str">
        <f>"("&amp;Q42&amp;"*"&amp;T45&amp;"*"&amp;W48&amp;"+"&amp;T42&amp;"*"&amp;W45&amp;"*"&amp;Y48&amp;"+"&amp;W42&amp;"*"&amp;Y45&amp;"*"&amp;AB48&amp;")-("&amp;Q48&amp;"*"&amp;T45&amp;"*"&amp;W42&amp;"+"&amp;T48&amp;"*"&amp;W45&amp;"*"&amp;Y42&amp;"+"&amp;W48&amp;"*"&amp;Y45&amp;"*"&amp;AB42&amp;")"</f>
        <v>((a11*b2-a21*b1)*(a11*a33-a31*a13)*(a11*a44-a41*a14)+(a11*a23-a21*a13)*(a11*a34-a31*a14)*(a11*a42-a41*a12)+(a11*a24-a21*a14)*(a11*a32-a31*a12)*(a11*a43-a41*a13))-((a11*b4-a41*b1)*(a11*a33-a31*a13)*(a11*a24-a21*a14)+(a11*a43-a41*a13)*(a11*a34-a31*a14)*(a11*a22-a21*a12)+(a11*a44-a41*a14)*(a11*a32-a31*a12)*(a11*a23-a21*a13))</v>
      </c>
    </row>
    <row r="43" spans="2:31" x14ac:dyDescent="0.35">
      <c r="B43" s="2" t="s">
        <v>43</v>
      </c>
      <c r="C43" s="2" t="s">
        <v>12</v>
      </c>
      <c r="D43" s="2" t="s">
        <v>47</v>
      </c>
      <c r="E43" s="2" t="s">
        <v>50</v>
      </c>
      <c r="G43" s="4" t="str">
        <f>B43</f>
        <v>a21</v>
      </c>
      <c r="H43" s="5" t="str">
        <f>C43</f>
        <v>b2</v>
      </c>
      <c r="I43" s="2"/>
      <c r="J43" s="4" t="str">
        <f>B43</f>
        <v>a21</v>
      </c>
      <c r="K43" s="5" t="str">
        <f>D43</f>
        <v>a23</v>
      </c>
      <c r="M43" s="6" t="str">
        <f>B43</f>
        <v>a21</v>
      </c>
      <c r="N43" s="7" t="str">
        <f>E43</f>
        <v>a24</v>
      </c>
    </row>
    <row r="44" spans="2:31" x14ac:dyDescent="0.35">
      <c r="B44" s="2" t="s">
        <v>44</v>
      </c>
      <c r="C44" s="2" t="s">
        <v>27</v>
      </c>
      <c r="D44" s="2" t="s">
        <v>48</v>
      </c>
      <c r="E44" s="2" t="s">
        <v>51</v>
      </c>
      <c r="G44" s="2"/>
      <c r="H44" s="2"/>
      <c r="I44" s="2"/>
      <c r="J44" s="2"/>
    </row>
    <row r="45" spans="2:31" x14ac:dyDescent="0.35">
      <c r="B45" s="2" t="s">
        <v>52</v>
      </c>
      <c r="C45" s="2" t="s">
        <v>56</v>
      </c>
      <c r="D45" s="2" t="s">
        <v>54</v>
      </c>
      <c r="E45" s="2" t="s">
        <v>55</v>
      </c>
      <c r="G45" s="4" t="str">
        <f>B42</f>
        <v>a11</v>
      </c>
      <c r="H45" s="5" t="str">
        <f>C42</f>
        <v>b1</v>
      </c>
      <c r="I45" s="2"/>
      <c r="J45" s="4" t="str">
        <f>B42</f>
        <v>a11</v>
      </c>
      <c r="K45" s="7" t="str">
        <f>D42</f>
        <v>a13</v>
      </c>
      <c r="M45" s="6" t="str">
        <f>B42</f>
        <v>a11</v>
      </c>
      <c r="N45" s="7" t="str">
        <f>E42</f>
        <v>a14</v>
      </c>
      <c r="Q45" t="str">
        <f t="shared" ref="Q45" si="23">"("&amp;G45&amp;"*"&amp;H46&amp;"-"&amp;G46&amp;"*"&amp;H45&amp;")"</f>
        <v>(a11*b3-a31*b1)</v>
      </c>
      <c r="T45" t="str">
        <f t="shared" ref="T45" si="24">"("&amp;J45&amp;"*"&amp;K46&amp;"-"&amp;J46&amp;"*"&amp;K45&amp;")"</f>
        <v>(a11*a33-a31*a13)</v>
      </c>
      <c r="W45" t="str">
        <f t="shared" ref="W45" si="25">"("&amp;M45&amp;"*"&amp;N46&amp;"-"&amp;M46&amp;"*"&amp;N45&amp;")"</f>
        <v>(a11*a34-a31*a14)</v>
      </c>
      <c r="Y45" t="s">
        <v>88</v>
      </c>
      <c r="AB45" t="s">
        <v>89</v>
      </c>
    </row>
    <row r="46" spans="2:31" x14ac:dyDescent="0.35">
      <c r="G46" s="4" t="str">
        <f>B44</f>
        <v>a31</v>
      </c>
      <c r="H46" s="5" t="str">
        <f>C44</f>
        <v>b3</v>
      </c>
      <c r="I46" s="2"/>
      <c r="J46" s="4" t="str">
        <f>B44</f>
        <v>a31</v>
      </c>
      <c r="K46" s="7" t="str">
        <f>D44</f>
        <v>a33</v>
      </c>
      <c r="M46" s="6" t="str">
        <f>B44</f>
        <v>a31</v>
      </c>
      <c r="N46" s="7" t="str">
        <f>E44</f>
        <v>a34</v>
      </c>
    </row>
    <row r="47" spans="2:31" x14ac:dyDescent="0.35">
      <c r="B47" s="2" t="s">
        <v>13</v>
      </c>
      <c r="G47" s="2"/>
      <c r="H47" s="2"/>
      <c r="I47" s="2"/>
      <c r="J47" s="2"/>
    </row>
    <row r="48" spans="2:31" x14ac:dyDescent="0.35">
      <c r="B48" s="2" t="s">
        <v>12</v>
      </c>
      <c r="G48" s="4" t="str">
        <f>B42</f>
        <v>a11</v>
      </c>
      <c r="H48" s="5" t="str">
        <f>C42</f>
        <v>b1</v>
      </c>
      <c r="I48" s="5"/>
      <c r="J48" s="2" t="str">
        <f>B42</f>
        <v>a11</v>
      </c>
      <c r="K48" s="7" t="str">
        <f>D42</f>
        <v>a13</v>
      </c>
      <c r="L48" s="7"/>
      <c r="M48" t="str">
        <f>B42</f>
        <v>a11</v>
      </c>
      <c r="N48" s="7" t="str">
        <f>E42</f>
        <v>a14</v>
      </c>
      <c r="Q48" t="str">
        <f t="shared" ref="Q48" si="26">"("&amp;G48&amp;"*"&amp;H49&amp;"-"&amp;G49&amp;"*"&amp;H48&amp;")"</f>
        <v>(a11*b4-a41*b1)</v>
      </c>
      <c r="T48" t="str">
        <f t="shared" ref="T48" si="27">"("&amp;J48&amp;"*"&amp;K49&amp;"-"&amp;J49&amp;"*"&amp;K48&amp;")"</f>
        <v>(a11*a43-a41*a13)</v>
      </c>
      <c r="W48" t="str">
        <f t="shared" ref="W48" si="28">"("&amp;M48&amp;"*"&amp;N49&amp;"-"&amp;M49&amp;"*"&amp;N48&amp;")"</f>
        <v>(a11*a44-a41*a14)</v>
      </c>
      <c r="Y48" t="s">
        <v>90</v>
      </c>
      <c r="AB48" t="s">
        <v>91</v>
      </c>
    </row>
    <row r="49" spans="2:31" x14ac:dyDescent="0.35">
      <c r="B49" s="2" t="s">
        <v>27</v>
      </c>
      <c r="G49" s="4" t="str">
        <f>B45</f>
        <v>a41</v>
      </c>
      <c r="H49" s="5" t="str">
        <f>C45</f>
        <v>b4</v>
      </c>
      <c r="I49" s="5"/>
      <c r="J49" s="2" t="str">
        <f>B45</f>
        <v>a41</v>
      </c>
      <c r="K49" s="7" t="str">
        <f>D45</f>
        <v>a43</v>
      </c>
      <c r="L49" s="7"/>
      <c r="M49" t="str">
        <f>B45</f>
        <v>a41</v>
      </c>
      <c r="N49" s="7" t="str">
        <f>E45</f>
        <v>a44</v>
      </c>
    </row>
    <row r="50" spans="2:31" x14ac:dyDescent="0.35">
      <c r="B50" s="2" t="s">
        <v>56</v>
      </c>
    </row>
    <row r="52" spans="2:31" x14ac:dyDescent="0.35">
      <c r="B52" s="2" t="s">
        <v>24</v>
      </c>
      <c r="C52" s="2" t="s">
        <v>25</v>
      </c>
      <c r="D52" s="2" t="s">
        <v>13</v>
      </c>
      <c r="E52" s="2" t="s">
        <v>49</v>
      </c>
      <c r="G52" s="4" t="str">
        <f>B52</f>
        <v>a11</v>
      </c>
      <c r="H52" s="5" t="str">
        <f>C52</f>
        <v>a12</v>
      </c>
      <c r="I52" s="2"/>
      <c r="J52" s="4" t="str">
        <f>B52</f>
        <v>a11</v>
      </c>
      <c r="K52" s="5" t="str">
        <f>D52</f>
        <v>b1</v>
      </c>
      <c r="M52" s="6" t="str">
        <f>B52</f>
        <v>a11</v>
      </c>
      <c r="N52" s="7" t="str">
        <f>E52</f>
        <v>a14</v>
      </c>
      <c r="Q52" t="str">
        <f>"("&amp;G52&amp;"*"&amp;H53&amp;"-"&amp;G53&amp;"*"&amp;H52&amp;")"</f>
        <v>(a11*a22-a21*a12)</v>
      </c>
      <c r="T52" t="str">
        <f t="shared" ref="T52" si="29">"("&amp;J52&amp;"*"&amp;K53&amp;"-"&amp;J53&amp;"*"&amp;K52&amp;")"</f>
        <v>(a11*b2-a21*b1)</v>
      </c>
      <c r="W52" t="str">
        <f t="shared" ref="W52" si="30">"("&amp;M52&amp;"*"&amp;N53&amp;"-"&amp;M53&amp;"*"&amp;N52&amp;")"</f>
        <v>(a11*a24-a21*a14)</v>
      </c>
      <c r="Y52" t="s">
        <v>86</v>
      </c>
      <c r="AB52" t="s">
        <v>87</v>
      </c>
      <c r="AE52" t="str">
        <f>"("&amp;Q52&amp;"*"&amp;T55&amp;"*"&amp;W58&amp;"+"&amp;T52&amp;"*"&amp;W55&amp;"*"&amp;Y58&amp;"+"&amp;W52&amp;"*"&amp;Y55&amp;"*"&amp;AB58&amp;")-("&amp;Q58&amp;"*"&amp;T55&amp;"*"&amp;W52&amp;"+"&amp;T58&amp;"*"&amp;W55&amp;"*"&amp;Y52&amp;"+"&amp;W58&amp;"*"&amp;Y55&amp;"*"&amp;AB52&amp;")"</f>
        <v>((a11*a22-a21*a12)*(a11*b3-a31*b1)*(a11*a44-a41*a14)+(a11*b2-a21*b1)*(a11*a34-a31*a14)*(a11*a42-a41*a12)+(a11*a24-a21*a14)*(a11*a32-a31*a12)*(a11*a43-a41*a13))-((a11*a42-a41*a12)*(a11*b3-a31*b1)*(a11*a24-a21*a14)+(a11*b4-a41*b1)*(a11*a34-a31*a14)*(a11*a22-a21*a12)+(a11*a44-a41*a14)*(a11*a32-a31*a12)*(a11*a23-a21*a13))</v>
      </c>
    </row>
    <row r="53" spans="2:31" x14ac:dyDescent="0.35">
      <c r="B53" s="2" t="s">
        <v>43</v>
      </c>
      <c r="C53" s="2" t="s">
        <v>45</v>
      </c>
      <c r="D53" s="2" t="s">
        <v>12</v>
      </c>
      <c r="E53" s="2" t="s">
        <v>50</v>
      </c>
      <c r="G53" s="4" t="str">
        <f>B53</f>
        <v>a21</v>
      </c>
      <c r="H53" s="5" t="str">
        <f>C53</f>
        <v>a22</v>
      </c>
      <c r="I53" s="2"/>
      <c r="J53" s="4" t="str">
        <f>B53</f>
        <v>a21</v>
      </c>
      <c r="K53" s="5" t="str">
        <f>D53</f>
        <v>b2</v>
      </c>
      <c r="M53" s="6" t="str">
        <f>B53</f>
        <v>a21</v>
      </c>
      <c r="N53" s="7" t="str">
        <f>E53</f>
        <v>a24</v>
      </c>
    </row>
    <row r="54" spans="2:31" x14ac:dyDescent="0.35">
      <c r="B54" s="2" t="s">
        <v>44</v>
      </c>
      <c r="C54" s="2" t="s">
        <v>46</v>
      </c>
      <c r="D54" s="2" t="s">
        <v>27</v>
      </c>
      <c r="E54" s="2" t="s">
        <v>51</v>
      </c>
      <c r="G54" s="2"/>
      <c r="H54" s="2"/>
      <c r="I54" s="2"/>
      <c r="J54" s="2"/>
    </row>
    <row r="55" spans="2:31" x14ac:dyDescent="0.35">
      <c r="B55" s="2" t="s">
        <v>52</v>
      </c>
      <c r="C55" s="2" t="s">
        <v>53</v>
      </c>
      <c r="D55" s="2" t="s">
        <v>56</v>
      </c>
      <c r="E55" s="2" t="s">
        <v>55</v>
      </c>
      <c r="G55" s="4" t="str">
        <f>B52</f>
        <v>a11</v>
      </c>
      <c r="H55" s="5" t="str">
        <f>C52</f>
        <v>a12</v>
      </c>
      <c r="I55" s="2"/>
      <c r="J55" s="4" t="str">
        <f>B52</f>
        <v>a11</v>
      </c>
      <c r="K55" s="7" t="str">
        <f>D52</f>
        <v>b1</v>
      </c>
      <c r="M55" s="6" t="str">
        <f>B52</f>
        <v>a11</v>
      </c>
      <c r="N55" s="7" t="str">
        <f>E52</f>
        <v>a14</v>
      </c>
      <c r="Q55" t="str">
        <f t="shared" ref="Q55" si="31">"("&amp;G55&amp;"*"&amp;H56&amp;"-"&amp;G56&amp;"*"&amp;H55&amp;")"</f>
        <v>(a11*a32-a31*a12)</v>
      </c>
      <c r="T55" t="str">
        <f t="shared" ref="T55" si="32">"("&amp;J55&amp;"*"&amp;K56&amp;"-"&amp;J56&amp;"*"&amp;K55&amp;")"</f>
        <v>(a11*b3-a31*b1)</v>
      </c>
      <c r="W55" t="str">
        <f t="shared" ref="W55" si="33">"("&amp;M55&amp;"*"&amp;N56&amp;"-"&amp;M56&amp;"*"&amp;N55&amp;")"</f>
        <v>(a11*a34-a31*a14)</v>
      </c>
      <c r="Y55" t="s">
        <v>88</v>
      </c>
      <c r="AB55" t="s">
        <v>89</v>
      </c>
    </row>
    <row r="56" spans="2:31" x14ac:dyDescent="0.35">
      <c r="G56" s="4" t="str">
        <f>B54</f>
        <v>a31</v>
      </c>
      <c r="H56" s="5" t="str">
        <f>C54</f>
        <v>a32</v>
      </c>
      <c r="I56" s="2"/>
      <c r="J56" s="4" t="str">
        <f>B54</f>
        <v>a31</v>
      </c>
      <c r="K56" s="7" t="str">
        <f>D54</f>
        <v>b3</v>
      </c>
      <c r="M56" s="6" t="str">
        <f>B54</f>
        <v>a31</v>
      </c>
      <c r="N56" s="7" t="str">
        <f>E54</f>
        <v>a34</v>
      </c>
    </row>
    <row r="57" spans="2:31" x14ac:dyDescent="0.35">
      <c r="B57" s="2" t="s">
        <v>13</v>
      </c>
      <c r="G57" s="2"/>
      <c r="H57" s="2"/>
      <c r="I57" s="2"/>
      <c r="J57" s="2"/>
    </row>
    <row r="58" spans="2:31" x14ac:dyDescent="0.35">
      <c r="B58" s="2" t="s">
        <v>12</v>
      </c>
      <c r="G58" s="4" t="str">
        <f>B52</f>
        <v>a11</v>
      </c>
      <c r="H58" s="5" t="str">
        <f>C52</f>
        <v>a12</v>
      </c>
      <c r="I58" s="5"/>
      <c r="J58" s="2" t="str">
        <f>B52</f>
        <v>a11</v>
      </c>
      <c r="K58" s="7" t="str">
        <f>D52</f>
        <v>b1</v>
      </c>
      <c r="L58" s="7"/>
      <c r="M58" t="str">
        <f>B52</f>
        <v>a11</v>
      </c>
      <c r="N58" s="7" t="str">
        <f>E52</f>
        <v>a14</v>
      </c>
      <c r="Q58" t="str">
        <f t="shared" ref="Q58" si="34">"("&amp;G58&amp;"*"&amp;H59&amp;"-"&amp;G59&amp;"*"&amp;H58&amp;")"</f>
        <v>(a11*a42-a41*a12)</v>
      </c>
      <c r="T58" t="str">
        <f t="shared" ref="T58" si="35">"("&amp;J58&amp;"*"&amp;K59&amp;"-"&amp;J59&amp;"*"&amp;K58&amp;")"</f>
        <v>(a11*b4-a41*b1)</v>
      </c>
      <c r="W58" t="str">
        <f t="shared" ref="W58" si="36">"("&amp;M58&amp;"*"&amp;N59&amp;"-"&amp;M59&amp;"*"&amp;N58&amp;")"</f>
        <v>(a11*a44-a41*a14)</v>
      </c>
      <c r="Y58" t="s">
        <v>90</v>
      </c>
      <c r="AB58" t="s">
        <v>91</v>
      </c>
    </row>
    <row r="59" spans="2:31" x14ac:dyDescent="0.35">
      <c r="B59" s="2" t="s">
        <v>27</v>
      </c>
      <c r="G59" s="4" t="str">
        <f>B55</f>
        <v>a41</v>
      </c>
      <c r="H59" s="5" t="str">
        <f>C55</f>
        <v>a42</v>
      </c>
      <c r="I59" s="5"/>
      <c r="J59" s="2" t="str">
        <f>B55</f>
        <v>a41</v>
      </c>
      <c r="K59" s="7" t="str">
        <f>D55</f>
        <v>b4</v>
      </c>
      <c r="L59" s="7"/>
      <c r="M59" t="str">
        <f>B55</f>
        <v>a41</v>
      </c>
      <c r="N59" s="7" t="str">
        <f>E55</f>
        <v>a44</v>
      </c>
    </row>
    <row r="60" spans="2:31" x14ac:dyDescent="0.35">
      <c r="B60" s="2" t="s">
        <v>56</v>
      </c>
    </row>
    <row r="62" spans="2:31" x14ac:dyDescent="0.35">
      <c r="B62" s="2" t="s">
        <v>24</v>
      </c>
      <c r="C62" s="2" t="s">
        <v>25</v>
      </c>
      <c r="D62" s="2" t="s">
        <v>26</v>
      </c>
      <c r="E62" s="2" t="s">
        <v>13</v>
      </c>
      <c r="G62" s="4" t="str">
        <f>B62</f>
        <v>a11</v>
      </c>
      <c r="H62" s="5" t="str">
        <f>C62</f>
        <v>a12</v>
      </c>
      <c r="I62" s="2"/>
      <c r="J62" s="4" t="str">
        <f>B62</f>
        <v>a11</v>
      </c>
      <c r="K62" s="5" t="str">
        <f>D62</f>
        <v>a13</v>
      </c>
      <c r="M62" s="6" t="str">
        <f>B62</f>
        <v>a11</v>
      </c>
      <c r="N62" s="7" t="str">
        <f>E62</f>
        <v>b1</v>
      </c>
      <c r="Q62" t="str">
        <f>"("&amp;G62&amp;"*"&amp;H63&amp;"-"&amp;G63&amp;"*"&amp;H62&amp;")"</f>
        <v>(a11*a22-a21*a12)</v>
      </c>
      <c r="T62" t="str">
        <f t="shared" ref="T62" si="37">"("&amp;J62&amp;"*"&amp;K63&amp;"-"&amp;J63&amp;"*"&amp;K62&amp;")"</f>
        <v>(a11*a23-a21*a13)</v>
      </c>
      <c r="W62" t="str">
        <f t="shared" ref="W62" si="38">"("&amp;M62&amp;"*"&amp;N63&amp;"-"&amp;M63&amp;"*"&amp;N62&amp;")"</f>
        <v>(a11*b2-a21*b1)</v>
      </c>
      <c r="Y62" t="s">
        <v>86</v>
      </c>
      <c r="AB62" t="s">
        <v>87</v>
      </c>
      <c r="AE62" t="str">
        <f>"("&amp;Q62&amp;"*"&amp;T65&amp;"*"&amp;W68&amp;"+"&amp;T62&amp;"*"&amp;W65&amp;"*"&amp;Y68&amp;"+"&amp;W62&amp;"*"&amp;Y65&amp;"*"&amp;AB68&amp;")-("&amp;Q68&amp;"*"&amp;T65&amp;"*"&amp;W62&amp;"+"&amp;T68&amp;"*"&amp;W65&amp;"*"&amp;Y62&amp;"+"&amp;W68&amp;"*"&amp;Y65&amp;"*"&amp;AB62&amp;")"</f>
        <v>((a11*a22-a21*a12)*(a11*a33-a31*a13)*(a11*b4-a41*b1)+(a11*a23-a21*a13)*(a11*b3-a31*b1)*(a11*a42-a41*a12)+(a11*b2-a21*b1)*(a11*a32-a31*a12)*(a11*a43-a41*a13))-((a11*a42-a41*a12)*(a11*a33-a31*a13)*(a11*b2-a21*b1)+(a11*a43-a41*a13)*(a11*b3-a31*b1)*(a11*a22-a21*a12)+(a11*b4-a41*b1)*(a11*a32-a31*a12)*(a11*a23-a21*a13))</v>
      </c>
    </row>
    <row r="63" spans="2:31" x14ac:dyDescent="0.35">
      <c r="B63" s="2" t="s">
        <v>43</v>
      </c>
      <c r="C63" s="2" t="s">
        <v>45</v>
      </c>
      <c r="D63" s="2" t="s">
        <v>47</v>
      </c>
      <c r="E63" s="2" t="s">
        <v>12</v>
      </c>
      <c r="G63" s="4" t="str">
        <f>B63</f>
        <v>a21</v>
      </c>
      <c r="H63" s="5" t="str">
        <f>C63</f>
        <v>a22</v>
      </c>
      <c r="I63" s="2"/>
      <c r="J63" s="4" t="str">
        <f>B63</f>
        <v>a21</v>
      </c>
      <c r="K63" s="5" t="str">
        <f>D63</f>
        <v>a23</v>
      </c>
      <c r="M63" s="6" t="str">
        <f>B63</f>
        <v>a21</v>
      </c>
      <c r="N63" s="7" t="str">
        <f>E63</f>
        <v>b2</v>
      </c>
    </row>
    <row r="64" spans="2:31" x14ac:dyDescent="0.35">
      <c r="B64" s="2" t="s">
        <v>44</v>
      </c>
      <c r="C64" s="2" t="s">
        <v>46</v>
      </c>
      <c r="D64" s="2" t="s">
        <v>48</v>
      </c>
      <c r="E64" s="2" t="s">
        <v>27</v>
      </c>
      <c r="G64" s="2"/>
      <c r="H64" s="2"/>
      <c r="I64" s="2"/>
      <c r="J64" s="2"/>
    </row>
    <row r="65" spans="1:28" x14ac:dyDescent="0.35">
      <c r="B65" s="2" t="s">
        <v>52</v>
      </c>
      <c r="C65" s="2" t="s">
        <v>53</v>
      </c>
      <c r="D65" s="2" t="s">
        <v>54</v>
      </c>
      <c r="E65" s="2" t="s">
        <v>56</v>
      </c>
      <c r="G65" s="4" t="str">
        <f>B62</f>
        <v>a11</v>
      </c>
      <c r="H65" s="5" t="str">
        <f>C62</f>
        <v>a12</v>
      </c>
      <c r="I65" s="2"/>
      <c r="J65" s="4" t="str">
        <f>B62</f>
        <v>a11</v>
      </c>
      <c r="K65" s="7" t="str">
        <f>D62</f>
        <v>a13</v>
      </c>
      <c r="M65" s="6" t="str">
        <f>B62</f>
        <v>a11</v>
      </c>
      <c r="N65" s="7" t="str">
        <f>E62</f>
        <v>b1</v>
      </c>
      <c r="Q65" t="str">
        <f t="shared" ref="Q65" si="39">"("&amp;G65&amp;"*"&amp;H66&amp;"-"&amp;G66&amp;"*"&amp;H65&amp;")"</f>
        <v>(a11*a32-a31*a12)</v>
      </c>
      <c r="T65" t="str">
        <f t="shared" ref="T65" si="40">"("&amp;J65&amp;"*"&amp;K66&amp;"-"&amp;J66&amp;"*"&amp;K65&amp;")"</f>
        <v>(a11*a33-a31*a13)</v>
      </c>
      <c r="W65" t="str">
        <f t="shared" ref="W65" si="41">"("&amp;M65&amp;"*"&amp;N66&amp;"-"&amp;M66&amp;"*"&amp;N65&amp;")"</f>
        <v>(a11*b3-a31*b1)</v>
      </c>
      <c r="Y65" t="s">
        <v>88</v>
      </c>
      <c r="AB65" t="s">
        <v>89</v>
      </c>
    </row>
    <row r="66" spans="1:28" x14ac:dyDescent="0.35">
      <c r="G66" s="4" t="str">
        <f>B64</f>
        <v>a31</v>
      </c>
      <c r="H66" s="5" t="str">
        <f>C64</f>
        <v>a32</v>
      </c>
      <c r="I66" s="2"/>
      <c r="J66" s="4" t="str">
        <f>B64</f>
        <v>a31</v>
      </c>
      <c r="K66" s="7" t="str">
        <f>D64</f>
        <v>a33</v>
      </c>
      <c r="M66" s="6" t="str">
        <f>B64</f>
        <v>a31</v>
      </c>
      <c r="N66" s="7" t="str">
        <f>E64</f>
        <v>b3</v>
      </c>
    </row>
    <row r="67" spans="1:28" x14ac:dyDescent="0.35">
      <c r="B67" s="2" t="s">
        <v>13</v>
      </c>
      <c r="G67" s="2"/>
      <c r="H67" s="2"/>
      <c r="I67" s="2"/>
      <c r="J67" s="2"/>
    </row>
    <row r="68" spans="1:28" x14ac:dyDescent="0.35">
      <c r="B68" s="2" t="s">
        <v>12</v>
      </c>
      <c r="G68" s="4" t="str">
        <f>B62</f>
        <v>a11</v>
      </c>
      <c r="H68" s="5" t="str">
        <f>C62</f>
        <v>a12</v>
      </c>
      <c r="I68" s="5"/>
      <c r="J68" s="2" t="str">
        <f>B62</f>
        <v>a11</v>
      </c>
      <c r="K68" s="7" t="str">
        <f>D62</f>
        <v>a13</v>
      </c>
      <c r="L68" s="7"/>
      <c r="M68" t="str">
        <f>B62</f>
        <v>a11</v>
      </c>
      <c r="N68" s="7" t="str">
        <f>E62</f>
        <v>b1</v>
      </c>
      <c r="Q68" t="str">
        <f t="shared" ref="Q68" si="42">"("&amp;G68&amp;"*"&amp;H69&amp;"-"&amp;G69&amp;"*"&amp;H68&amp;")"</f>
        <v>(a11*a42-a41*a12)</v>
      </c>
      <c r="T68" t="str">
        <f t="shared" ref="T68" si="43">"("&amp;J68&amp;"*"&amp;K69&amp;"-"&amp;J69&amp;"*"&amp;K68&amp;")"</f>
        <v>(a11*a43-a41*a13)</v>
      </c>
      <c r="W68" t="str">
        <f t="shared" ref="W68" si="44">"("&amp;M68&amp;"*"&amp;N69&amp;"-"&amp;M69&amp;"*"&amp;N68&amp;")"</f>
        <v>(a11*b4-a41*b1)</v>
      </c>
      <c r="Y68" t="s">
        <v>90</v>
      </c>
      <c r="AB68" t="s">
        <v>91</v>
      </c>
    </row>
    <row r="69" spans="1:28" x14ac:dyDescent="0.35">
      <c r="B69" s="2" t="s">
        <v>27</v>
      </c>
      <c r="G69" s="4" t="str">
        <f>B65</f>
        <v>a41</v>
      </c>
      <c r="H69" s="5" t="str">
        <f>C65</f>
        <v>a42</v>
      </c>
      <c r="I69" s="5"/>
      <c r="J69" s="2" t="str">
        <f>B65</f>
        <v>a41</v>
      </c>
      <c r="K69" s="7" t="str">
        <f>D65</f>
        <v>a43</v>
      </c>
      <c r="L69" s="7"/>
      <c r="M69" t="str">
        <f>B65</f>
        <v>a41</v>
      </c>
      <c r="N69" s="7" t="str">
        <f>E65</f>
        <v>b4</v>
      </c>
    </row>
    <row r="70" spans="1:28" x14ac:dyDescent="0.35">
      <c r="B70" s="2" t="s">
        <v>56</v>
      </c>
    </row>
    <row r="73" spans="1:28" x14ac:dyDescent="0.35">
      <c r="A73" t="s">
        <v>92</v>
      </c>
    </row>
    <row r="74" spans="1:28" x14ac:dyDescent="0.35">
      <c r="A74" s="2"/>
      <c r="B74" s="2">
        <v>-2.8</v>
      </c>
      <c r="C74" s="2">
        <v>3.2</v>
      </c>
      <c r="D74" s="2">
        <v>0</v>
      </c>
      <c r="E74" s="2">
        <v>7.1</v>
      </c>
      <c r="F74" s="2"/>
      <c r="G74" s="2">
        <f>B74</f>
        <v>-2.8</v>
      </c>
      <c r="H74" s="2">
        <f t="shared" ref="H74:J74" si="45">C74</f>
        <v>3.2</v>
      </c>
      <c r="I74" s="2">
        <f t="shared" si="45"/>
        <v>0</v>
      </c>
      <c r="J74" s="2">
        <f t="shared" si="45"/>
        <v>7.1</v>
      </c>
      <c r="K74" s="2"/>
      <c r="L74" s="2">
        <f>G74</f>
        <v>-2.8</v>
      </c>
      <c r="M74" s="2">
        <f t="shared" ref="M74:O75" si="46">H74</f>
        <v>3.2</v>
      </c>
      <c r="N74" s="2">
        <f t="shared" si="46"/>
        <v>0</v>
      </c>
      <c r="O74" s="2">
        <f t="shared" si="46"/>
        <v>7.1</v>
      </c>
      <c r="P74" s="2"/>
      <c r="Q74" s="2">
        <f>L74</f>
        <v>-2.8</v>
      </c>
      <c r="R74" s="2">
        <f t="shared" ref="R74:T77" si="47">M74</f>
        <v>3.2</v>
      </c>
      <c r="S74" s="2">
        <f t="shared" si="47"/>
        <v>0</v>
      </c>
      <c r="T74" s="2">
        <f t="shared" si="47"/>
        <v>7.1</v>
      </c>
      <c r="U74" s="2"/>
      <c r="V74" s="2"/>
      <c r="W74" s="2"/>
      <c r="X74" s="2"/>
      <c r="Y74" s="2"/>
      <c r="Z74" s="2"/>
    </row>
    <row r="75" spans="1:28" x14ac:dyDescent="0.35">
      <c r="A75" s="2"/>
      <c r="B75" s="2">
        <v>0</v>
      </c>
      <c r="C75" s="2">
        <v>2.7</v>
      </c>
      <c r="D75" s="2">
        <v>-4.5</v>
      </c>
      <c r="E75" s="2">
        <v>1.2</v>
      </c>
      <c r="F75" s="2"/>
      <c r="G75" s="2">
        <f>B75+B74*(-$B$75/$B$74)</f>
        <v>0</v>
      </c>
      <c r="H75" s="2">
        <f t="shared" ref="H75:J75" si="48">C75+C74*(-$B$75/$B$74)</f>
        <v>2.7</v>
      </c>
      <c r="I75" s="2">
        <f t="shared" si="48"/>
        <v>-4.5</v>
      </c>
      <c r="J75" s="2">
        <f t="shared" si="48"/>
        <v>1.2</v>
      </c>
      <c r="K75" s="2"/>
      <c r="L75" s="2">
        <f>G75</f>
        <v>0</v>
      </c>
      <c r="M75" s="2">
        <f t="shared" si="46"/>
        <v>2.7</v>
      </c>
      <c r="N75" s="2">
        <f t="shared" si="46"/>
        <v>-4.5</v>
      </c>
      <c r="O75" s="2">
        <f t="shared" si="46"/>
        <v>1.2</v>
      </c>
      <c r="P75" s="2"/>
      <c r="Q75" s="2">
        <f t="shared" ref="Q75:Q77" si="49">L75</f>
        <v>0</v>
      </c>
      <c r="R75" s="2">
        <f t="shared" si="47"/>
        <v>2.7</v>
      </c>
      <c r="S75" s="2">
        <f t="shared" si="47"/>
        <v>-4.5</v>
      </c>
      <c r="T75" s="2">
        <f t="shared" si="47"/>
        <v>1.2</v>
      </c>
      <c r="U75" s="2"/>
      <c r="V75" s="2">
        <f>Q74*R75*S76*T77</f>
        <v>1375.8560999999995</v>
      </c>
      <c r="W75" s="2"/>
      <c r="X75" s="2"/>
      <c r="Y75" s="2"/>
      <c r="Z75" s="2"/>
    </row>
    <row r="76" spans="1:28" x14ac:dyDescent="0.35">
      <c r="A76" s="2" t="s">
        <v>14</v>
      </c>
      <c r="B76" s="2">
        <v>3.3</v>
      </c>
      <c r="C76" s="2">
        <v>-6.2</v>
      </c>
      <c r="D76" s="2">
        <v>1.3</v>
      </c>
      <c r="E76" s="2">
        <v>0</v>
      </c>
      <c r="F76" s="2"/>
      <c r="G76" s="2">
        <f>B76+B74*(-$B$76/$B$74)</f>
        <v>0</v>
      </c>
      <c r="H76" s="2">
        <f t="shared" ref="H76:J76" si="50">C76+C74*(-$B$76/$B$74)</f>
        <v>-2.4285714285714284</v>
      </c>
      <c r="I76" s="2">
        <f t="shared" si="50"/>
        <v>1.3</v>
      </c>
      <c r="J76" s="2">
        <f t="shared" si="50"/>
        <v>8.367857142857142</v>
      </c>
      <c r="K76" s="2"/>
      <c r="L76" s="2">
        <f>G76</f>
        <v>0</v>
      </c>
      <c r="M76" s="2">
        <f>H76+H75*(-$H$76/$H$75)</f>
        <v>0</v>
      </c>
      <c r="N76" s="2">
        <f t="shared" ref="N76:O76" si="51">I76+I75*(-$H$76/$H$75)</f>
        <v>-2.7476190476190467</v>
      </c>
      <c r="O76" s="2">
        <f t="shared" si="51"/>
        <v>9.4472222222222211</v>
      </c>
      <c r="P76" s="2"/>
      <c r="Q76" s="2">
        <f t="shared" si="49"/>
        <v>0</v>
      </c>
      <c r="R76" s="2">
        <f t="shared" si="47"/>
        <v>0</v>
      </c>
      <c r="S76" s="2">
        <f t="shared" si="47"/>
        <v>-2.7476190476190467</v>
      </c>
      <c r="T76" s="2">
        <f t="shared" si="47"/>
        <v>9.4472222222222211</v>
      </c>
      <c r="U76" s="2"/>
      <c r="V76" s="2"/>
      <c r="W76" s="2"/>
      <c r="X76" s="2"/>
      <c r="Y76" s="2"/>
      <c r="Z76" s="2"/>
    </row>
    <row r="77" spans="1:28" x14ac:dyDescent="0.35">
      <c r="A77" s="2"/>
      <c r="B77" s="2">
        <v>6.2</v>
      </c>
      <c r="C77" s="2">
        <v>0</v>
      </c>
      <c r="D77" s="2">
        <v>3.1</v>
      </c>
      <c r="E77" s="2">
        <v>2.4</v>
      </c>
      <c r="F77" s="2"/>
      <c r="G77" s="2">
        <f>B77+B74*(-$B$77/$B$74)</f>
        <v>0</v>
      </c>
      <c r="H77" s="2">
        <f t="shared" ref="H77:J77" si="52">C77+C74*(-$B$77/$B$74)</f>
        <v>7.0857142857142863</v>
      </c>
      <c r="I77" s="2">
        <f t="shared" si="52"/>
        <v>3.1</v>
      </c>
      <c r="J77" s="2">
        <f t="shared" si="52"/>
        <v>18.12142857142857</v>
      </c>
      <c r="K77" s="2"/>
      <c r="L77" s="2">
        <f>G77</f>
        <v>0</v>
      </c>
      <c r="M77" s="2">
        <f>H77+H75*(-$H$77/$H$75)</f>
        <v>0</v>
      </c>
      <c r="N77" s="2">
        <f t="shared" ref="N77:O77" si="53">I77+I75*(-$H$77/$H$75)</f>
        <v>14.909523809523808</v>
      </c>
      <c r="O77" s="2">
        <f t="shared" si="53"/>
        <v>14.972222222222221</v>
      </c>
      <c r="P77" s="2"/>
      <c r="Q77" s="2">
        <f t="shared" si="49"/>
        <v>0</v>
      </c>
      <c r="R77" s="2">
        <f t="shared" si="47"/>
        <v>0</v>
      </c>
      <c r="S77" s="2">
        <f>N77+N76*(-$N$77/$N$76)</f>
        <v>0</v>
      </c>
      <c r="T77" s="2">
        <f>O77+O76*(-$N$77/$N$76)</f>
        <v>66.236091854419413</v>
      </c>
      <c r="U77" s="2"/>
      <c r="V77" s="2"/>
      <c r="W77" s="2"/>
      <c r="X77" s="2"/>
      <c r="Y77" s="2"/>
      <c r="Z77" s="2"/>
    </row>
    <row r="78" spans="1:28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8" x14ac:dyDescent="0.35">
      <c r="A79" s="2"/>
      <c r="B79" s="2">
        <v>-45.6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8" x14ac:dyDescent="0.35">
      <c r="A80" s="2"/>
      <c r="B80" s="2">
        <v>-14.25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5">
      <c r="A81" s="2" t="s">
        <v>58</v>
      </c>
      <c r="B81" s="2">
        <v>24.65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5">
      <c r="A82" s="2"/>
      <c r="B82" s="2">
        <v>16.75</v>
      </c>
      <c r="C82" s="2"/>
      <c r="D82" s="2"/>
      <c r="E82" s="2"/>
      <c r="F82" s="2"/>
      <c r="G82" s="2"/>
      <c r="H82" s="2"/>
      <c r="I82" s="2"/>
      <c r="J82" s="2"/>
    </row>
    <row r="84" spans="1:26" x14ac:dyDescent="0.35">
      <c r="A84" t="s">
        <v>93</v>
      </c>
    </row>
    <row r="85" spans="1:26" x14ac:dyDescent="0.35">
      <c r="A85" s="2"/>
      <c r="B85" s="2">
        <v>-45.6</v>
      </c>
      <c r="C85" s="2">
        <v>3.2</v>
      </c>
      <c r="D85" s="2">
        <v>0</v>
      </c>
      <c r="E85" s="2">
        <v>7.1</v>
      </c>
      <c r="F85" s="2"/>
      <c r="G85" s="2">
        <f>B85</f>
        <v>-45.6</v>
      </c>
      <c r="H85" s="2">
        <f t="shared" ref="H85" si="54">C85</f>
        <v>3.2</v>
      </c>
      <c r="I85" s="2">
        <f t="shared" ref="I85" si="55">D85</f>
        <v>0</v>
      </c>
      <c r="J85" s="2">
        <f t="shared" ref="J85" si="56">E85</f>
        <v>7.1</v>
      </c>
      <c r="K85" s="2"/>
      <c r="L85" s="2">
        <f>G85</f>
        <v>-45.6</v>
      </c>
      <c r="M85" s="2">
        <f t="shared" ref="M85:M86" si="57">H85</f>
        <v>3.2</v>
      </c>
      <c r="N85" s="2">
        <f t="shared" ref="N85:N86" si="58">I85</f>
        <v>0</v>
      </c>
      <c r="O85" s="2">
        <f t="shared" ref="O85:O86" si="59">J85</f>
        <v>7.1</v>
      </c>
      <c r="P85" s="2"/>
      <c r="Q85" s="2">
        <f>L85</f>
        <v>-45.6</v>
      </c>
      <c r="R85" s="2">
        <f t="shared" ref="R85:R88" si="60">M85</f>
        <v>3.2</v>
      </c>
      <c r="S85" s="2">
        <f t="shared" ref="S85:S87" si="61">N85</f>
        <v>0</v>
      </c>
      <c r="T85" s="2">
        <f t="shared" ref="T85:T87" si="62">O85</f>
        <v>7.1</v>
      </c>
      <c r="U85" s="2"/>
      <c r="V85" s="2"/>
    </row>
    <row r="86" spans="1:26" x14ac:dyDescent="0.35">
      <c r="A86" s="2"/>
      <c r="B86" s="2">
        <v>-14.25</v>
      </c>
      <c r="C86" s="2">
        <v>2.7</v>
      </c>
      <c r="D86" s="2">
        <v>-4.5</v>
      </c>
      <c r="E86" s="2">
        <v>1.2</v>
      </c>
      <c r="F86" s="2"/>
      <c r="G86" s="2">
        <f>B86+B85*(-$B$86/$B$85)</f>
        <v>0</v>
      </c>
      <c r="H86" s="2">
        <f t="shared" ref="H86:J86" si="63">C86+C85*(-$B$86/$B$85)</f>
        <v>1.7000000000000002</v>
      </c>
      <c r="I86" s="2">
        <f t="shared" si="63"/>
        <v>-4.5</v>
      </c>
      <c r="J86" s="2">
        <f t="shared" si="63"/>
        <v>-1.01875</v>
      </c>
      <c r="K86" s="2"/>
      <c r="L86" s="2">
        <f>G86</f>
        <v>0</v>
      </c>
      <c r="M86" s="2">
        <f t="shared" si="57"/>
        <v>1.7000000000000002</v>
      </c>
      <c r="N86" s="2">
        <f t="shared" si="58"/>
        <v>-4.5</v>
      </c>
      <c r="O86" s="2">
        <f t="shared" si="59"/>
        <v>-1.01875</v>
      </c>
      <c r="P86" s="2"/>
      <c r="Q86" s="2">
        <f t="shared" ref="Q86:Q88" si="64">L86</f>
        <v>0</v>
      </c>
      <c r="R86" s="2">
        <f t="shared" si="60"/>
        <v>1.7000000000000002</v>
      </c>
      <c r="S86" s="2">
        <f t="shared" si="61"/>
        <v>-4.5</v>
      </c>
      <c r="T86" s="2">
        <f t="shared" si="62"/>
        <v>-1.01875</v>
      </c>
      <c r="U86" s="2"/>
      <c r="V86" s="2">
        <f>Q85*R86*S87*T88</f>
        <v>5222.3831999999993</v>
      </c>
    </row>
    <row r="87" spans="1:26" x14ac:dyDescent="0.35">
      <c r="A87" s="2" t="s">
        <v>14</v>
      </c>
      <c r="B87" s="2">
        <v>24.65</v>
      </c>
      <c r="C87" s="2">
        <v>-6.2</v>
      </c>
      <c r="D87" s="2">
        <v>1.3</v>
      </c>
      <c r="E87" s="2">
        <v>0</v>
      </c>
      <c r="F87" s="2"/>
      <c r="G87" s="2">
        <f>B87+B85*(-$B$87/$B$85)</f>
        <v>0</v>
      </c>
      <c r="H87" s="2">
        <f t="shared" ref="H87:J87" si="65">C87+C85*(-$B$87/$B$85)</f>
        <v>-4.4701754385964918</v>
      </c>
      <c r="I87" s="2">
        <f t="shared" si="65"/>
        <v>1.3</v>
      </c>
      <c r="J87" s="2">
        <f t="shared" si="65"/>
        <v>3.8380482456140346</v>
      </c>
      <c r="K87" s="2"/>
      <c r="L87" s="2">
        <f>G87</f>
        <v>0</v>
      </c>
      <c r="M87" s="2">
        <f>H87+H86*(-$H$87/$H$86)</f>
        <v>0</v>
      </c>
      <c r="N87" s="2">
        <f t="shared" ref="N87:O87" si="66">I87+I86*(-$H$87/$H$86)</f>
        <v>-10.532817337461299</v>
      </c>
      <c r="O87" s="2">
        <f t="shared" si="66"/>
        <v>1.1592298761609903</v>
      </c>
      <c r="P87" s="2"/>
      <c r="Q87" s="2">
        <f t="shared" si="64"/>
        <v>0</v>
      </c>
      <c r="R87" s="2">
        <f t="shared" si="60"/>
        <v>0</v>
      </c>
      <c r="S87" s="2">
        <f t="shared" si="61"/>
        <v>-10.532817337461299</v>
      </c>
      <c r="T87" s="2">
        <f t="shared" si="62"/>
        <v>1.1592298761609903</v>
      </c>
      <c r="U87" s="2"/>
      <c r="V87" s="2"/>
    </row>
    <row r="88" spans="1:26" x14ac:dyDescent="0.35">
      <c r="A88" s="2"/>
      <c r="B88" s="2">
        <v>16.75</v>
      </c>
      <c r="C88" s="2">
        <v>0</v>
      </c>
      <c r="D88" s="2">
        <v>3.1</v>
      </c>
      <c r="E88" s="2">
        <v>2.4</v>
      </c>
      <c r="F88" s="2"/>
      <c r="G88" s="2">
        <f>B88+B85*(-$B$88/$B$85)</f>
        <v>0</v>
      </c>
      <c r="H88" s="2">
        <f t="shared" ref="H88:J88" si="67">C88+C85*(-$B$88/$B$85)</f>
        <v>1.1754385964912282</v>
      </c>
      <c r="I88" s="2">
        <f t="shared" si="67"/>
        <v>3.1</v>
      </c>
      <c r="J88" s="2">
        <f t="shared" si="67"/>
        <v>5.0080043859649122</v>
      </c>
      <c r="K88" s="2"/>
      <c r="L88" s="2">
        <f>G88</f>
        <v>0</v>
      </c>
      <c r="M88" s="2">
        <f>H88+H86*(-$H$88/$H$86)</f>
        <v>0</v>
      </c>
      <c r="N88" s="2">
        <f t="shared" ref="N88:O88" si="68">I88+I86*(-$H$88/$H$86)</f>
        <v>6.2114551083591332</v>
      </c>
      <c r="O88" s="2">
        <f t="shared" si="68"/>
        <v>5.7124032507739937</v>
      </c>
      <c r="P88" s="2"/>
      <c r="Q88" s="2">
        <f t="shared" si="64"/>
        <v>0</v>
      </c>
      <c r="R88" s="2">
        <f t="shared" si="60"/>
        <v>0</v>
      </c>
      <c r="S88" s="2">
        <f>N88+N87*(-$N$88/$N$87)</f>
        <v>0</v>
      </c>
      <c r="T88" s="2">
        <f>O88+O87*(-$N$88/$N$87)</f>
        <v>6.3960289233120715</v>
      </c>
      <c r="U88" s="2"/>
      <c r="V88" s="2"/>
    </row>
    <row r="89" spans="1:2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6" x14ac:dyDescent="0.35">
      <c r="A90" s="2"/>
      <c r="B90" s="2">
        <f>$B$79</f>
        <v>-45.6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6" x14ac:dyDescent="0.35">
      <c r="A91" s="2"/>
      <c r="B91" s="2">
        <f>$B$80</f>
        <v>-14.25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6" x14ac:dyDescent="0.35">
      <c r="A92" s="2" t="s">
        <v>58</v>
      </c>
      <c r="B92" s="2">
        <f>$B$81</f>
        <v>24.65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6" x14ac:dyDescent="0.35">
      <c r="A93" s="2"/>
      <c r="B93" s="2">
        <f>$B$82</f>
        <v>16.75</v>
      </c>
      <c r="C93" s="2"/>
      <c r="D93" s="2"/>
      <c r="E93" s="2"/>
      <c r="F93" s="2"/>
      <c r="G93" s="2"/>
      <c r="H93" s="2"/>
      <c r="I93" s="2"/>
      <c r="J93" s="2"/>
    </row>
    <row r="94" spans="1:26" x14ac:dyDescent="0.35">
      <c r="B94" s="2"/>
    </row>
    <row r="95" spans="1:26" x14ac:dyDescent="0.35">
      <c r="A95" t="s">
        <v>94</v>
      </c>
    </row>
    <row r="96" spans="1:26" x14ac:dyDescent="0.35">
      <c r="A96" s="2"/>
      <c r="B96" s="2">
        <v>-2.8</v>
      </c>
      <c r="C96" s="2">
        <v>-45.6</v>
      </c>
      <c r="D96" s="2">
        <v>0</v>
      </c>
      <c r="E96" s="2">
        <v>7.1</v>
      </c>
      <c r="F96" s="2"/>
      <c r="G96" s="2">
        <f>B96</f>
        <v>-2.8</v>
      </c>
      <c r="H96" s="2">
        <f t="shared" ref="H96" si="69">C96</f>
        <v>-45.6</v>
      </c>
      <c r="I96" s="2">
        <f t="shared" ref="I96" si="70">D96</f>
        <v>0</v>
      </c>
      <c r="J96" s="2">
        <f t="shared" ref="J96" si="71">E96</f>
        <v>7.1</v>
      </c>
      <c r="K96" s="2"/>
      <c r="L96" s="2">
        <f>G96</f>
        <v>-2.8</v>
      </c>
      <c r="M96" s="2">
        <f t="shared" ref="M96:M97" si="72">H96</f>
        <v>-45.6</v>
      </c>
      <c r="N96" s="2">
        <f t="shared" ref="N96:N97" si="73">I96</f>
        <v>0</v>
      </c>
      <c r="O96" s="2">
        <f t="shared" ref="O96:O97" si="74">J96</f>
        <v>7.1</v>
      </c>
      <c r="P96" s="2"/>
      <c r="Q96" s="2">
        <f>L96</f>
        <v>-2.8</v>
      </c>
      <c r="R96" s="2">
        <f t="shared" ref="R96:R99" si="75">M96</f>
        <v>-45.6</v>
      </c>
      <c r="S96" s="2">
        <f t="shared" ref="S96:S98" si="76">N96</f>
        <v>0</v>
      </c>
      <c r="T96" s="2">
        <f t="shared" ref="T96:T98" si="77">O96</f>
        <v>7.1</v>
      </c>
      <c r="U96" s="2"/>
      <c r="V96" s="2"/>
    </row>
    <row r="97" spans="1:22" x14ac:dyDescent="0.35">
      <c r="A97" s="2"/>
      <c r="B97" s="2">
        <v>0</v>
      </c>
      <c r="C97" s="2">
        <v>-14.25</v>
      </c>
      <c r="D97" s="2">
        <v>-4.5</v>
      </c>
      <c r="E97" s="2">
        <v>1.2</v>
      </c>
      <c r="F97" s="2"/>
      <c r="G97" s="2">
        <f>B97+B96*(-$B$97/$B$96)</f>
        <v>0</v>
      </c>
      <c r="H97" s="2">
        <f t="shared" ref="H97:J97" si="78">C97+C96*(-$B$97/$B$96)</f>
        <v>-14.25</v>
      </c>
      <c r="I97" s="2">
        <f t="shared" si="78"/>
        <v>-4.5</v>
      </c>
      <c r="J97" s="2">
        <f t="shared" si="78"/>
        <v>1.2</v>
      </c>
      <c r="K97" s="2"/>
      <c r="L97" s="2">
        <f>G97</f>
        <v>0</v>
      </c>
      <c r="M97" s="2">
        <f t="shared" si="72"/>
        <v>-14.25</v>
      </c>
      <c r="N97" s="2">
        <f t="shared" si="73"/>
        <v>-4.5</v>
      </c>
      <c r="O97" s="2">
        <f t="shared" si="74"/>
        <v>1.2</v>
      </c>
      <c r="P97" s="2"/>
      <c r="Q97" s="2">
        <f t="shared" ref="Q97:Q99" si="79">L97</f>
        <v>0</v>
      </c>
      <c r="R97" s="2">
        <f t="shared" si="75"/>
        <v>-14.25</v>
      </c>
      <c r="S97" s="2">
        <f t="shared" si="76"/>
        <v>-4.5</v>
      </c>
      <c r="T97" s="2">
        <f t="shared" si="77"/>
        <v>1.2</v>
      </c>
      <c r="U97" s="2"/>
      <c r="V97" s="2">
        <f>Q96*R97*S98*T99</f>
        <v>-2397.0239999999999</v>
      </c>
    </row>
    <row r="98" spans="1:22" x14ac:dyDescent="0.35">
      <c r="A98" s="2" t="s">
        <v>14</v>
      </c>
      <c r="B98" s="2">
        <v>3.3</v>
      </c>
      <c r="C98" s="2">
        <v>24.65</v>
      </c>
      <c r="D98" s="2">
        <v>1.3</v>
      </c>
      <c r="E98" s="2">
        <v>0</v>
      </c>
      <c r="F98" s="2"/>
      <c r="G98" s="2">
        <f>B98+B96*(-$B$98/$B$96)</f>
        <v>0</v>
      </c>
      <c r="H98" s="2">
        <f t="shared" ref="H98:J98" si="80">C98+C96*(-$B$98/$B$96)</f>
        <v>-29.092857142857149</v>
      </c>
      <c r="I98" s="2">
        <f t="shared" si="80"/>
        <v>1.3</v>
      </c>
      <c r="J98" s="2">
        <f t="shared" si="80"/>
        <v>8.367857142857142</v>
      </c>
      <c r="K98" s="2"/>
      <c r="L98" s="2">
        <f>G98</f>
        <v>0</v>
      </c>
      <c r="M98" s="2">
        <f>H98+H97*(-$H$98/$H$97)</f>
        <v>0</v>
      </c>
      <c r="N98" s="2">
        <f>I98+I97*(-$H$98/$H$97)</f>
        <v>10.487218045112783</v>
      </c>
      <c r="O98" s="2">
        <f t="shared" ref="O98" si="81">J98+J97*(-$H$98/$H$97)</f>
        <v>5.9179323308270666</v>
      </c>
      <c r="P98" s="2"/>
      <c r="Q98" s="2">
        <f t="shared" si="79"/>
        <v>0</v>
      </c>
      <c r="R98" s="2">
        <f t="shared" si="75"/>
        <v>0</v>
      </c>
      <c r="S98" s="2">
        <f t="shared" si="76"/>
        <v>10.487218045112783</v>
      </c>
      <c r="T98" s="2">
        <f t="shared" si="77"/>
        <v>5.9179323308270666</v>
      </c>
      <c r="U98" s="2"/>
      <c r="V98" s="2"/>
    </row>
    <row r="99" spans="1:22" x14ac:dyDescent="0.35">
      <c r="A99" s="2"/>
      <c r="B99" s="2">
        <v>6.2</v>
      </c>
      <c r="C99" s="2">
        <v>16.75</v>
      </c>
      <c r="D99" s="2">
        <v>3.1</v>
      </c>
      <c r="E99" s="2">
        <v>2.4</v>
      </c>
      <c r="F99" s="2"/>
      <c r="G99" s="2">
        <f>B99+B96*(-$B$99/$B$96)</f>
        <v>0</v>
      </c>
      <c r="H99" s="2">
        <f t="shared" ref="H99:J99" si="82">C99+C96*(-$B$99/$B$96)</f>
        <v>-84.221428571428575</v>
      </c>
      <c r="I99" s="2">
        <f t="shared" si="82"/>
        <v>3.1</v>
      </c>
      <c r="J99" s="2">
        <f t="shared" si="82"/>
        <v>18.12142857142857</v>
      </c>
      <c r="K99" s="2"/>
      <c r="L99" s="2">
        <f>G99</f>
        <v>0</v>
      </c>
      <c r="M99" s="2">
        <f>H99+H97*(-$H$99/$H$97)</f>
        <v>0</v>
      </c>
      <c r="N99" s="2">
        <f t="shared" ref="N99:O99" si="83">I99+I97*(-$H$99/$H$97)</f>
        <v>29.69624060150376</v>
      </c>
      <c r="O99" s="2">
        <f t="shared" si="83"/>
        <v>11.0290977443609</v>
      </c>
      <c r="P99" s="2"/>
      <c r="Q99" s="2">
        <f t="shared" si="79"/>
        <v>0</v>
      </c>
      <c r="R99" s="2">
        <f t="shared" si="75"/>
        <v>0</v>
      </c>
      <c r="S99" s="2">
        <f>N99+N98*(-$N$99/$N$98)</f>
        <v>0</v>
      </c>
      <c r="T99" s="2">
        <f>O99+O98*(-$N$99/$N$98)</f>
        <v>-5.7284772010324048</v>
      </c>
      <c r="U99" s="2"/>
      <c r="V99" s="2"/>
    </row>
    <row r="100" spans="1:22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x14ac:dyDescent="0.35">
      <c r="A101" s="2"/>
      <c r="B101" s="2">
        <f>$B$79</f>
        <v>-45.6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x14ac:dyDescent="0.35">
      <c r="A102" s="2"/>
      <c r="B102" s="2">
        <f>$B$80</f>
        <v>-14.25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x14ac:dyDescent="0.35">
      <c r="A103" s="2" t="s">
        <v>58</v>
      </c>
      <c r="B103" s="2">
        <f>$B$81</f>
        <v>24.65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x14ac:dyDescent="0.35">
      <c r="A104" s="2"/>
      <c r="B104" s="2">
        <f>$B$82</f>
        <v>16.75</v>
      </c>
      <c r="C104" s="2"/>
      <c r="D104" s="2"/>
      <c r="E104" s="2"/>
      <c r="F104" s="2"/>
      <c r="G104" s="2"/>
      <c r="H104" s="2"/>
      <c r="I104" s="2"/>
      <c r="J104" s="2"/>
    </row>
    <row r="106" spans="1:22" x14ac:dyDescent="0.35">
      <c r="A106" t="s">
        <v>95</v>
      </c>
    </row>
    <row r="107" spans="1:22" x14ac:dyDescent="0.35">
      <c r="A107" s="2"/>
      <c r="B107" s="2">
        <v>-2.8</v>
      </c>
      <c r="C107" s="2">
        <v>3.2</v>
      </c>
      <c r="D107" s="2">
        <v>-45.6</v>
      </c>
      <c r="E107" s="2">
        <v>7.1</v>
      </c>
      <c r="F107" s="2"/>
      <c r="G107" s="2">
        <f>B107</f>
        <v>-2.8</v>
      </c>
      <c r="H107" s="2">
        <f t="shared" ref="H107" si="84">C107</f>
        <v>3.2</v>
      </c>
      <c r="I107" s="2">
        <f t="shared" ref="I107" si="85">D107</f>
        <v>-45.6</v>
      </c>
      <c r="J107" s="2">
        <f t="shared" ref="J107" si="86">E107</f>
        <v>7.1</v>
      </c>
      <c r="K107" s="2"/>
      <c r="L107" s="2">
        <f>G107</f>
        <v>-2.8</v>
      </c>
      <c r="M107" s="2">
        <f t="shared" ref="M107:M108" si="87">H107</f>
        <v>3.2</v>
      </c>
      <c r="N107" s="2">
        <f t="shared" ref="N107:N108" si="88">I107</f>
        <v>-45.6</v>
      </c>
      <c r="O107" s="2">
        <f t="shared" ref="O107:O108" si="89">J107</f>
        <v>7.1</v>
      </c>
      <c r="P107" s="2"/>
      <c r="Q107" s="2">
        <f>L107</f>
        <v>-2.8</v>
      </c>
      <c r="R107" s="2">
        <f t="shared" ref="R107:R110" si="90">M107</f>
        <v>3.2</v>
      </c>
      <c r="S107" s="2">
        <f t="shared" ref="S107:S109" si="91">N107</f>
        <v>-45.6</v>
      </c>
      <c r="T107" s="2">
        <f t="shared" ref="T107:T109" si="92">O107</f>
        <v>7.1</v>
      </c>
      <c r="U107" s="2"/>
      <c r="V107" s="2"/>
    </row>
    <row r="108" spans="1:22" x14ac:dyDescent="0.35">
      <c r="A108" s="2"/>
      <c r="B108" s="2">
        <v>0</v>
      </c>
      <c r="C108" s="2">
        <v>2.7</v>
      </c>
      <c r="D108" s="2">
        <v>-14.25</v>
      </c>
      <c r="E108" s="2">
        <v>1.2</v>
      </c>
      <c r="F108" s="2"/>
      <c r="G108" s="2">
        <f>B108+B107*(-$B$108/$B$107)</f>
        <v>0</v>
      </c>
      <c r="H108" s="2">
        <f t="shared" ref="H108:J108" si="93">C108+C107*(-$B$108/$B$107)</f>
        <v>2.7</v>
      </c>
      <c r="I108" s="2">
        <f t="shared" si="93"/>
        <v>-14.25</v>
      </c>
      <c r="J108" s="2">
        <f t="shared" si="93"/>
        <v>1.2</v>
      </c>
      <c r="K108" s="2"/>
      <c r="L108" s="2">
        <f>G108</f>
        <v>0</v>
      </c>
      <c r="M108" s="2">
        <f t="shared" si="87"/>
        <v>2.7</v>
      </c>
      <c r="N108" s="2">
        <f t="shared" si="88"/>
        <v>-14.25</v>
      </c>
      <c r="O108" s="2">
        <f t="shared" si="89"/>
        <v>1.2</v>
      </c>
      <c r="P108" s="2"/>
      <c r="Q108" s="2">
        <f t="shared" ref="Q108:Q110" si="94">L108</f>
        <v>0</v>
      </c>
      <c r="R108" s="2">
        <f t="shared" si="90"/>
        <v>2.7</v>
      </c>
      <c r="S108" s="2">
        <f t="shared" si="91"/>
        <v>-14.25</v>
      </c>
      <c r="T108" s="2">
        <f t="shared" si="92"/>
        <v>1.2</v>
      </c>
      <c r="U108" s="2"/>
      <c r="V108" s="2">
        <f>Q107*R108*S109*T110</f>
        <v>1399.5688500000003</v>
      </c>
    </row>
    <row r="109" spans="1:22" x14ac:dyDescent="0.35">
      <c r="A109" s="2" t="s">
        <v>14</v>
      </c>
      <c r="B109" s="2">
        <v>3.3</v>
      </c>
      <c r="C109" s="2">
        <v>-6.2</v>
      </c>
      <c r="D109" s="2">
        <v>24.65</v>
      </c>
      <c r="E109" s="2">
        <v>0</v>
      </c>
      <c r="F109" s="2"/>
      <c r="G109" s="2">
        <f>B109+B107*(-$B$109/$B$107)</f>
        <v>0</v>
      </c>
      <c r="H109" s="2">
        <f t="shared" ref="H109:J109" si="95">C109+C107*(-$B$109/$B$107)</f>
        <v>-2.4285714285714284</v>
      </c>
      <c r="I109" s="2">
        <f t="shared" si="95"/>
        <v>-29.092857142857149</v>
      </c>
      <c r="J109" s="2">
        <f t="shared" si="95"/>
        <v>8.367857142857142</v>
      </c>
      <c r="K109" s="2"/>
      <c r="L109" s="2">
        <f>G109</f>
        <v>0</v>
      </c>
      <c r="M109" s="2">
        <f>H109+H108*(-$H$109/$H$108)</f>
        <v>0</v>
      </c>
      <c r="N109" s="2">
        <f t="shared" ref="N109:O109" si="96">I109+I108*(-$H$109/$H$108)</f>
        <v>-41.910317460317465</v>
      </c>
      <c r="O109" s="2">
        <f t="shared" si="96"/>
        <v>9.4472222222222211</v>
      </c>
      <c r="P109" s="2"/>
      <c r="Q109" s="2">
        <f t="shared" si="94"/>
        <v>0</v>
      </c>
      <c r="R109" s="2">
        <f t="shared" si="90"/>
        <v>0</v>
      </c>
      <c r="S109" s="2">
        <f t="shared" si="91"/>
        <v>-41.910317460317465</v>
      </c>
      <c r="T109" s="2">
        <f t="shared" si="92"/>
        <v>9.4472222222222211</v>
      </c>
      <c r="U109" s="2"/>
      <c r="V109" s="2"/>
    </row>
    <row r="110" spans="1:22" x14ac:dyDescent="0.35">
      <c r="A110" s="2"/>
      <c r="B110" s="2">
        <v>6.2</v>
      </c>
      <c r="C110" s="2">
        <v>0</v>
      </c>
      <c r="D110" s="2">
        <v>16.75</v>
      </c>
      <c r="E110" s="2">
        <v>2.4</v>
      </c>
      <c r="F110" s="2"/>
      <c r="G110" s="2">
        <f>B110+B107*(-$B$110/$B$107)</f>
        <v>0</v>
      </c>
      <c r="H110" s="2">
        <f t="shared" ref="H110:J110" si="97">C110+C107*(-$B$110/$B$107)</f>
        <v>7.0857142857142863</v>
      </c>
      <c r="I110" s="2">
        <f t="shared" si="97"/>
        <v>-84.221428571428575</v>
      </c>
      <c r="J110" s="2">
        <f t="shared" si="97"/>
        <v>18.12142857142857</v>
      </c>
      <c r="K110" s="2"/>
      <c r="L110" s="2">
        <f>G110</f>
        <v>0</v>
      </c>
      <c r="M110" s="2">
        <f>H110+H108*(-$H$110/$H$108)</f>
        <v>0</v>
      </c>
      <c r="N110" s="2">
        <f t="shared" ref="N110:O110" si="98">I110+I108*(-$H$110/$H$108)</f>
        <v>-46.824603174603183</v>
      </c>
      <c r="O110" s="2">
        <f t="shared" si="98"/>
        <v>14.972222222222221</v>
      </c>
      <c r="P110" s="2"/>
      <c r="Q110" s="2">
        <f t="shared" si="94"/>
        <v>0</v>
      </c>
      <c r="R110" s="2">
        <f t="shared" si="90"/>
        <v>0</v>
      </c>
      <c r="S110" s="2">
        <f>N110+N109*(-$N$110/$N$109)</f>
        <v>0</v>
      </c>
      <c r="T110" s="2">
        <f>O110+O109*(-$N$110/$N$109)</f>
        <v>4.4172453462609127</v>
      </c>
      <c r="U110" s="2"/>
      <c r="V110" s="2"/>
    </row>
    <row r="111" spans="1:22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x14ac:dyDescent="0.35">
      <c r="A112" s="2"/>
      <c r="B112" s="2">
        <f>$B$79</f>
        <v>-45.6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x14ac:dyDescent="0.35">
      <c r="A113" s="2"/>
      <c r="B113" s="2">
        <f>$B$80</f>
        <v>-14.25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x14ac:dyDescent="0.35">
      <c r="A114" s="2" t="s">
        <v>58</v>
      </c>
      <c r="B114" s="2">
        <f>$B$81</f>
        <v>24.65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x14ac:dyDescent="0.35">
      <c r="A115" s="2"/>
      <c r="B115" s="2">
        <f>$B$82</f>
        <v>16.75</v>
      </c>
      <c r="C115" s="2"/>
      <c r="D115" s="2"/>
      <c r="E115" s="2"/>
      <c r="F115" s="2"/>
      <c r="G115" s="2"/>
      <c r="H115" s="2"/>
      <c r="I115" s="2"/>
      <c r="J115" s="2"/>
    </row>
    <row r="117" spans="1:22" x14ac:dyDescent="0.35">
      <c r="A117" t="s">
        <v>96</v>
      </c>
    </row>
    <row r="118" spans="1:22" x14ac:dyDescent="0.35">
      <c r="A118" s="2"/>
      <c r="B118" s="2">
        <v>-2.8</v>
      </c>
      <c r="C118" s="2">
        <v>3.2</v>
      </c>
      <c r="D118" s="2">
        <v>0</v>
      </c>
      <c r="E118" s="2">
        <v>-45.6</v>
      </c>
      <c r="F118" s="2"/>
      <c r="G118" s="2">
        <f>B118</f>
        <v>-2.8</v>
      </c>
      <c r="H118" s="2">
        <f t="shared" ref="H118" si="99">C118</f>
        <v>3.2</v>
      </c>
      <c r="I118" s="2">
        <f t="shared" ref="I118" si="100">D118</f>
        <v>0</v>
      </c>
      <c r="J118" s="2">
        <f t="shared" ref="J118" si="101">E118</f>
        <v>-45.6</v>
      </c>
      <c r="K118" s="2"/>
      <c r="L118" s="2">
        <f>G118</f>
        <v>-2.8</v>
      </c>
      <c r="M118" s="2">
        <f t="shared" ref="M118:M119" si="102">H118</f>
        <v>3.2</v>
      </c>
      <c r="N118" s="2">
        <f t="shared" ref="N118:N119" si="103">I118</f>
        <v>0</v>
      </c>
      <c r="O118" s="2">
        <f t="shared" ref="O118:O119" si="104">J118</f>
        <v>-45.6</v>
      </c>
      <c r="P118" s="2"/>
      <c r="Q118" s="2">
        <f>L118</f>
        <v>-2.8</v>
      </c>
      <c r="R118" s="2">
        <f t="shared" ref="R118:R121" si="105">M118</f>
        <v>3.2</v>
      </c>
      <c r="S118" s="2">
        <f t="shared" ref="S118:S120" si="106">N118</f>
        <v>0</v>
      </c>
      <c r="T118" s="2">
        <f t="shared" ref="T118:T120" si="107">O118</f>
        <v>-45.6</v>
      </c>
      <c r="U118" s="2"/>
      <c r="V118" s="2"/>
    </row>
    <row r="119" spans="1:22" x14ac:dyDescent="0.35">
      <c r="A119" s="2"/>
      <c r="B119" s="2">
        <v>0</v>
      </c>
      <c r="C119" s="2">
        <v>2.7</v>
      </c>
      <c r="D119" s="2">
        <v>-4.5</v>
      </c>
      <c r="E119" s="2">
        <v>-14.25</v>
      </c>
      <c r="F119" s="2"/>
      <c r="G119" s="2">
        <f>B119+B118*(-$B$75/$B$74)</f>
        <v>0</v>
      </c>
      <c r="H119" s="2">
        <f t="shared" ref="H119" si="108">C119+C118*(-$B$75/$B$74)</f>
        <v>2.7</v>
      </c>
      <c r="I119" s="2">
        <f t="shared" ref="I119" si="109">D119+D118*(-$B$75/$B$74)</f>
        <v>-4.5</v>
      </c>
      <c r="J119" s="2">
        <f t="shared" ref="J119" si="110">E119+E118*(-$B$75/$B$74)</f>
        <v>-14.25</v>
      </c>
      <c r="K119" s="2"/>
      <c r="L119" s="2">
        <f>G119</f>
        <v>0</v>
      </c>
      <c r="M119" s="2">
        <f t="shared" si="102"/>
        <v>2.7</v>
      </c>
      <c r="N119" s="2">
        <f t="shared" si="103"/>
        <v>-4.5</v>
      </c>
      <c r="O119" s="2">
        <f t="shared" si="104"/>
        <v>-14.25</v>
      </c>
      <c r="P119" s="2"/>
      <c r="Q119" s="2">
        <f t="shared" ref="Q119:Q121" si="111">L119</f>
        <v>0</v>
      </c>
      <c r="R119" s="2">
        <f t="shared" si="105"/>
        <v>2.7</v>
      </c>
      <c r="S119" s="2">
        <f t="shared" si="106"/>
        <v>-4.5</v>
      </c>
      <c r="T119" s="2">
        <f t="shared" si="107"/>
        <v>-14.25</v>
      </c>
      <c r="U119" s="2"/>
      <c r="V119" s="2">
        <f>Q118*R119*S120*T121</f>
        <v>-5696.6039999999994</v>
      </c>
    </row>
    <row r="120" spans="1:22" x14ac:dyDescent="0.35">
      <c r="A120" s="2" t="s">
        <v>14</v>
      </c>
      <c r="B120" s="2">
        <v>3.3</v>
      </c>
      <c r="C120" s="2">
        <v>-6.2</v>
      </c>
      <c r="D120" s="2">
        <v>1.3</v>
      </c>
      <c r="E120" s="2">
        <v>24.65</v>
      </c>
      <c r="F120" s="2"/>
      <c r="G120" s="2">
        <f>B120+B118*(-$B$76/$B$74)</f>
        <v>0</v>
      </c>
      <c r="H120" s="2">
        <f t="shared" ref="H120" si="112">C120+C118*(-$B$76/$B$74)</f>
        <v>-2.4285714285714284</v>
      </c>
      <c r="I120" s="2">
        <f t="shared" ref="I120" si="113">D120+D118*(-$B$76/$B$74)</f>
        <v>1.3</v>
      </c>
      <c r="J120" s="2">
        <f t="shared" ref="J120" si="114">E120+E118*(-$B$76/$B$74)</f>
        <v>-29.092857142857149</v>
      </c>
      <c r="K120" s="2"/>
      <c r="L120" s="2">
        <f>G120</f>
        <v>0</v>
      </c>
      <c r="M120" s="2">
        <f>H120+H119*(-$H$76/$H$75)</f>
        <v>0</v>
      </c>
      <c r="N120" s="2">
        <f t="shared" ref="N120" si="115">I120+I119*(-$H$76/$H$75)</f>
        <v>-2.7476190476190467</v>
      </c>
      <c r="O120" s="2">
        <f t="shared" ref="O120" si="116">J120+J119*(-$H$76/$H$75)</f>
        <v>-41.910317460317465</v>
      </c>
      <c r="P120" s="2"/>
      <c r="Q120" s="2">
        <f t="shared" si="111"/>
        <v>0</v>
      </c>
      <c r="R120" s="2">
        <f t="shared" si="105"/>
        <v>0</v>
      </c>
      <c r="S120" s="2">
        <f t="shared" si="106"/>
        <v>-2.7476190476190467</v>
      </c>
      <c r="T120" s="2">
        <f t="shared" si="107"/>
        <v>-41.910317460317465</v>
      </c>
      <c r="U120" s="2"/>
      <c r="V120" s="2"/>
    </row>
    <row r="121" spans="1:22" x14ac:dyDescent="0.35">
      <c r="A121" s="2"/>
      <c r="B121" s="2">
        <v>6.2</v>
      </c>
      <c r="C121" s="2">
        <v>0</v>
      </c>
      <c r="D121" s="2">
        <v>3.1</v>
      </c>
      <c r="E121" s="2">
        <v>16.75</v>
      </c>
      <c r="F121" s="2"/>
      <c r="G121" s="2">
        <f>B121+B118*(-$B$77/$B$74)</f>
        <v>0</v>
      </c>
      <c r="H121" s="2">
        <f t="shared" ref="H121" si="117">C121+C118*(-$B$77/$B$74)</f>
        <v>7.0857142857142863</v>
      </c>
      <c r="I121" s="2">
        <f t="shared" ref="I121" si="118">D121+D118*(-$B$77/$B$74)</f>
        <v>3.1</v>
      </c>
      <c r="J121" s="2">
        <f t="shared" ref="J121" si="119">E121+E118*(-$B$77/$B$74)</f>
        <v>-84.221428571428575</v>
      </c>
      <c r="K121" s="2"/>
      <c r="L121" s="2">
        <f>G121</f>
        <v>0</v>
      </c>
      <c r="M121" s="2">
        <f>H121+H119*(-$H$77/$H$75)</f>
        <v>0</v>
      </c>
      <c r="N121" s="2">
        <f t="shared" ref="N121" si="120">I121+I119*(-$H$77/$H$75)</f>
        <v>14.909523809523808</v>
      </c>
      <c r="O121" s="2">
        <f t="shared" ref="O121" si="121">J121+J119*(-$H$77/$H$75)</f>
        <v>-46.824603174603183</v>
      </c>
      <c r="P121" s="2"/>
      <c r="Q121" s="2">
        <f t="shared" si="111"/>
        <v>0</v>
      </c>
      <c r="R121" s="2">
        <f t="shared" si="105"/>
        <v>0</v>
      </c>
      <c r="S121" s="2">
        <f>N121+N120*(-$N$77/$N$76)</f>
        <v>0</v>
      </c>
      <c r="T121" s="2">
        <f>O121+O120*(-$N$77/$N$76)</f>
        <v>-274.24436741767772</v>
      </c>
      <c r="U121" s="2"/>
      <c r="V121" s="2"/>
    </row>
    <row r="122" spans="1:22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x14ac:dyDescent="0.35">
      <c r="A123" s="2"/>
      <c r="B123" s="2">
        <f>$B$79</f>
        <v>-45.6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x14ac:dyDescent="0.35">
      <c r="A124" s="2"/>
      <c r="B124" s="2">
        <f>$B$80</f>
        <v>-14.25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x14ac:dyDescent="0.35">
      <c r="A125" s="2" t="s">
        <v>58</v>
      </c>
      <c r="B125" s="2">
        <f>$B$81</f>
        <v>24.65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x14ac:dyDescent="0.35">
      <c r="A126" s="2"/>
      <c r="B126" s="2">
        <f>$B$82</f>
        <v>16.75</v>
      </c>
      <c r="C126" s="2"/>
      <c r="D126" s="2"/>
      <c r="E126" s="2"/>
      <c r="F126" s="2"/>
      <c r="G126" s="2"/>
      <c r="H126" s="2"/>
      <c r="I126" s="2"/>
      <c r="J126" s="2"/>
    </row>
    <row r="129" spans="1:22" x14ac:dyDescent="0.35">
      <c r="A129" t="s">
        <v>20</v>
      </c>
      <c r="B129">
        <f>V86/V75</f>
        <v>3.795733579987036</v>
      </c>
    </row>
    <row r="130" spans="1:22" x14ac:dyDescent="0.35">
      <c r="A130" t="s">
        <v>41</v>
      </c>
      <c r="B130">
        <f>V97/V75</f>
        <v>-1.7422054530266651</v>
      </c>
    </row>
    <row r="131" spans="1:22" x14ac:dyDescent="0.35">
      <c r="A131" t="s">
        <v>42</v>
      </c>
      <c r="B131">
        <f>V108/V75</f>
        <v>1.0172349055980496</v>
      </c>
    </row>
    <row r="132" spans="1:22" x14ac:dyDescent="0.35">
      <c r="A132" t="s">
        <v>97</v>
      </c>
      <c r="B132">
        <f>V119/V75</f>
        <v>-4.1404068346973215</v>
      </c>
    </row>
    <row r="134" spans="1:22" x14ac:dyDescent="0.35">
      <c r="A134" s="2"/>
      <c r="B134" s="2">
        <v>-6.0000000000000001E-3</v>
      </c>
      <c r="C134" s="2">
        <v>-12.4</v>
      </c>
      <c r="D134" s="2">
        <v>8.3000000000000007</v>
      </c>
      <c r="E134" s="2">
        <v>-74.376000000000005</v>
      </c>
      <c r="F134" s="2"/>
      <c r="G134" s="2">
        <f>B134</f>
        <v>-6.0000000000000001E-3</v>
      </c>
      <c r="H134" s="2">
        <f t="shared" ref="H134" si="122">C134</f>
        <v>-12.4</v>
      </c>
      <c r="I134" s="2">
        <f t="shared" ref="I134" si="123">D134</f>
        <v>8.3000000000000007</v>
      </c>
      <c r="J134" s="2">
        <f t="shared" ref="J134" si="124">E134</f>
        <v>-74.376000000000005</v>
      </c>
      <c r="K134" s="2"/>
      <c r="L134" s="2">
        <f>G134</f>
        <v>-6.0000000000000001E-3</v>
      </c>
      <c r="M134" s="2">
        <f t="shared" ref="M134:M135" si="125">H134</f>
        <v>-12.4</v>
      </c>
      <c r="N134" s="2">
        <f t="shared" ref="N134:N135" si="126">I134</f>
        <v>8.3000000000000007</v>
      </c>
      <c r="O134" s="2">
        <f t="shared" ref="O134:O135" si="127">J134</f>
        <v>-74.376000000000005</v>
      </c>
      <c r="P134" s="2"/>
      <c r="Q134" s="2">
        <f>L134</f>
        <v>-6.0000000000000001E-3</v>
      </c>
      <c r="R134" s="2">
        <f t="shared" ref="R134:R137" si="128">M134</f>
        <v>-12.4</v>
      </c>
      <c r="S134" s="2">
        <f t="shared" ref="S134:S137" si="129">N134</f>
        <v>8.3000000000000007</v>
      </c>
      <c r="T134" s="2">
        <f t="shared" ref="T134:T137" si="130">O134</f>
        <v>-74.376000000000005</v>
      </c>
      <c r="U134" s="2"/>
      <c r="V134" s="2"/>
    </row>
    <row r="135" spans="1:22" x14ac:dyDescent="0.35">
      <c r="A135" s="2"/>
      <c r="B135" s="2">
        <v>0.2</v>
      </c>
      <c r="C135" s="2">
        <v>4.54</v>
      </c>
      <c r="D135" s="2">
        <v>3</v>
      </c>
      <c r="E135" s="2">
        <v>26.44</v>
      </c>
      <c r="F135" s="2"/>
      <c r="G135" s="2">
        <f>B135+B134*(-$B$135/$B$134)</f>
        <v>0</v>
      </c>
      <c r="H135" s="2">
        <f t="shared" ref="H135:J135" si="131">C135+C134*(-$B$135/$B$134)</f>
        <v>-408.79333333333335</v>
      </c>
      <c r="I135" s="2">
        <f t="shared" si="131"/>
        <v>279.66666666666669</v>
      </c>
      <c r="J135" s="2">
        <f t="shared" si="131"/>
        <v>-2452.7600000000002</v>
      </c>
      <c r="K135" s="2"/>
      <c r="L135" s="2">
        <f>G135</f>
        <v>0</v>
      </c>
      <c r="M135" s="2">
        <f t="shared" si="125"/>
        <v>-408.79333333333335</v>
      </c>
      <c r="N135" s="2">
        <f t="shared" si="126"/>
        <v>279.66666666666669</v>
      </c>
      <c r="O135" s="2">
        <f t="shared" si="127"/>
        <v>-2452.7600000000002</v>
      </c>
      <c r="P135" s="2"/>
      <c r="Q135" s="2">
        <f t="shared" ref="Q135:Q137" si="132">L135</f>
        <v>0</v>
      </c>
      <c r="R135" s="2">
        <f t="shared" si="128"/>
        <v>-408.79333333333335</v>
      </c>
      <c r="S135" s="2">
        <f t="shared" si="129"/>
        <v>279.66666666666669</v>
      </c>
      <c r="T135" s="2">
        <f t="shared" si="130"/>
        <v>-2452.7600000000002</v>
      </c>
      <c r="U135" s="2"/>
      <c r="V135" s="2">
        <f>Q134*R135*S136</f>
        <v>110.55689199999999</v>
      </c>
    </row>
    <row r="136" spans="1:22" x14ac:dyDescent="0.35">
      <c r="A136" s="2" t="s">
        <v>14</v>
      </c>
      <c r="B136" s="2">
        <v>-1.3</v>
      </c>
      <c r="C136" s="2">
        <v>-1.19</v>
      </c>
      <c r="D136" s="2">
        <v>6.2</v>
      </c>
      <c r="E136" s="2">
        <v>-1.94</v>
      </c>
      <c r="F136" s="2"/>
      <c r="G136" s="2">
        <f>B136+B134*(-$B$136/$B$134)</f>
        <v>0</v>
      </c>
      <c r="H136" s="2">
        <f t="shared" ref="H136:J136" si="133">C136+C134*(-$B$136/$B$134)</f>
        <v>2685.4766666666665</v>
      </c>
      <c r="I136" s="2">
        <f t="shared" si="133"/>
        <v>-1792.1333333333334</v>
      </c>
      <c r="J136" s="2">
        <f t="shared" si="133"/>
        <v>16112.86</v>
      </c>
      <c r="K136" s="2"/>
      <c r="L136" s="2">
        <f>G136</f>
        <v>0</v>
      </c>
      <c r="M136" s="2">
        <f>H136+H135*(-$H$136/$H$135)</f>
        <v>0</v>
      </c>
      <c r="N136" s="2">
        <f t="shared" ref="N136:O136" si="134">I136+I135*(-$H$136/$H$135)</f>
        <v>45.074484254472509</v>
      </c>
      <c r="O136" s="2">
        <f t="shared" si="134"/>
        <v>0</v>
      </c>
      <c r="P136" s="2"/>
      <c r="Q136" s="2">
        <f t="shared" si="132"/>
        <v>0</v>
      </c>
      <c r="R136" s="2">
        <f t="shared" si="128"/>
        <v>0</v>
      </c>
      <c r="S136" s="2">
        <f t="shared" si="129"/>
        <v>45.074484254472509</v>
      </c>
      <c r="T136" s="2">
        <f t="shared" si="130"/>
        <v>0</v>
      </c>
      <c r="U136" s="2"/>
      <c r="V136" s="2"/>
    </row>
    <row r="137" spans="1:22" x14ac:dyDescent="0.35">
      <c r="A137" s="2"/>
      <c r="B137" s="2">
        <v>1</v>
      </c>
      <c r="C137" s="2">
        <v>1</v>
      </c>
      <c r="D137" s="2">
        <v>1</v>
      </c>
      <c r="E137" s="2">
        <v>1</v>
      </c>
      <c r="F137" s="2"/>
      <c r="G137" s="2">
        <f>B137</f>
        <v>1</v>
      </c>
      <c r="H137" s="2">
        <f t="shared" ref="H137:J137" si="135">C137</f>
        <v>1</v>
      </c>
      <c r="I137" s="2">
        <f t="shared" si="135"/>
        <v>1</v>
      </c>
      <c r="J137" s="2">
        <f t="shared" si="135"/>
        <v>1</v>
      </c>
      <c r="K137" s="2"/>
      <c r="L137" s="2">
        <f>G137</f>
        <v>1</v>
      </c>
      <c r="M137" s="2">
        <f t="shared" ref="M137:O137" si="136">H137</f>
        <v>1</v>
      </c>
      <c r="N137" s="2">
        <f t="shared" si="136"/>
        <v>1</v>
      </c>
      <c r="O137" s="2">
        <f t="shared" si="136"/>
        <v>1</v>
      </c>
      <c r="P137" s="2"/>
      <c r="Q137" s="2">
        <f t="shared" si="132"/>
        <v>1</v>
      </c>
      <c r="R137" s="2">
        <f t="shared" si="128"/>
        <v>1</v>
      </c>
      <c r="S137" s="2">
        <f t="shared" si="129"/>
        <v>1</v>
      </c>
      <c r="T137" s="2">
        <f t="shared" si="130"/>
        <v>1</v>
      </c>
      <c r="U137" s="2"/>
      <c r="V1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2x2</vt:lpstr>
      <vt:lpstr>3x3</vt:lpstr>
      <vt:lpstr>3x3 (2)</vt:lpstr>
      <vt:lpstr>4x4</vt:lpstr>
      <vt:lpstr>4x4(2)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Francisco Palacios Hernandez</dc:creator>
  <cp:lastModifiedBy>Leonardo Francisco Palacios Hernandez</cp:lastModifiedBy>
  <dcterms:created xsi:type="dcterms:W3CDTF">2024-09-24T13:08:20Z</dcterms:created>
  <dcterms:modified xsi:type="dcterms:W3CDTF">2024-11-25T15:08:49Z</dcterms:modified>
</cp:coreProperties>
</file>